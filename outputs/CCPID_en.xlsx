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99">
    <font>
      <name val="Calibri"/>
      <sz val="12"/>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
      <name val="Calibri"/>
      <sz val="12"/>
    </font>
    <font>
      <name val="Calibri"/>
      <color rgb="FFFFFFFF"/>
      <sz val="12"/>
    </font>
    <font>
      <name val="等线"/>
      <color rgb="FF0E5C46"/>
      <sz val="12"/>
    </font>
    <font>
      <name val="等线"/>
      <charset val="134"/>
      <color rgb="FF000000"/>
      <sz val="12"/>
      <scheme val="minor"/>
    </font>
    <font>
      <name val="等线"/>
      <charset val="134"/>
      <b val="1"/>
      <color rgb="FF000000"/>
      <sz val="12"/>
      <scheme val="minor"/>
    </font>
    <font>
      <name val="等线"/>
      <b val="1"/>
      <color rgb="FF000000"/>
      <sz val="12"/>
    </font>
    <font>
      <name val="等线"/>
      <family val="2"/>
      <color theme="10"/>
      <sz val="12"/>
      <u val="single"/>
      <scheme val="minor"/>
    </font>
    <font>
      <name val="等线"/>
      <charset val="134"/>
      <family val="3"/>
      <color rgb="FF1F2329"/>
      <sz val="12"/>
      <scheme val="minor"/>
    </font>
    <font>
      <name val="等线"/>
      <color rgb="FF0E5C46"/>
      <sz val="16"/>
    </font>
    <font>
      <name val="等线"/>
      <charset val="134"/>
      <color rgb="FF000000"/>
      <sz val="16"/>
      <scheme val="minor"/>
    </font>
    <font>
      <name val="等线"/>
      <charset val="134"/>
      <color theme="1"/>
      <sz val="16"/>
      <scheme val="minor"/>
    </font>
    <font>
      <name val="等线"/>
      <family val="2"/>
      <color theme="1"/>
      <sz val="16"/>
      <scheme val="minor"/>
    </font>
    <font>
      <name val="等线"/>
      <b val="1"/>
      <color rgb="FF0E5C46"/>
      <sz val="16"/>
    </font>
    <font>
      <name val="等线"/>
      <family val="2"/>
      <b val="1"/>
      <color theme="1"/>
      <sz val="16"/>
      <scheme val="minor"/>
    </font>
    <font>
      <name val="等线"/>
      <charset val="134"/>
      <b val="1"/>
      <color rgb="FF000000"/>
      <sz val="16"/>
      <scheme val="minor"/>
    </font>
    <font>
      <name val="等线"/>
      <charset val="134"/>
      <b val="1"/>
      <color theme="1"/>
      <sz val="16"/>
      <scheme val="minor"/>
    </font>
    <font>
      <name val="Calibri"/>
      <b val="1"/>
      <color rgb="FF0E5C46"/>
      <sz val="16"/>
    </font>
    <font>
      <name val="Calibri"/>
      <b val="1"/>
      <color rgb="FF000000"/>
      <sz val="16"/>
    </font>
    <font>
      <name val="Calibri"/>
      <b val="1"/>
      <color theme="1"/>
      <sz val="16"/>
    </font>
    <font>
      <name val="Calibri"/>
      <family val="2"/>
      <color rgb="FF000000"/>
      <sz val="12"/>
    </font>
    <font>
      <name val="Calibri"/>
      <color theme="10"/>
      <sz val="12"/>
      <u val="single"/>
    </font>
    <font>
      <name val="等线"/>
      <b val="1"/>
      <color theme="1"/>
      <sz val="11"/>
    </font>
    <font>
      <name val="等线"/>
      <color theme="1"/>
      <sz val="11"/>
    </font>
    <font>
      <name val="等线"/>
      <family val="2"/>
      <b val="1"/>
      <color theme="1"/>
      <sz val="11"/>
      <scheme val="minor"/>
    </font>
    <font>
      <name val="Calibri"/>
      <b val="1"/>
      <sz val="12"/>
    </font>
    <font>
      <name val="Calibri"/>
      <color rgb="FF1F2329"/>
      <sz val="12"/>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90">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
      <left style="thin">
        <color auto="1"/>
      </left>
      <right style="thin">
        <color rgb="FFDEE0E3"/>
      </right>
      <top/>
      <bottom/>
      <diagonal/>
    </border>
    <border>
      <left style="thin">
        <color auto="1"/>
      </left>
      <right style="thin">
        <color rgb="FFDEE0E3"/>
      </right>
      <top/>
      <bottom style="thin">
        <color rgb="FFDEE0E3"/>
      </bottom>
      <diagonal/>
    </border>
    <border>
      <left/>
      <right style="thin">
        <color rgb="FFDEE0E3"/>
      </right>
      <top/>
      <bottom/>
      <diagonal/>
    </border>
    <border>
      <left/>
      <right/>
      <top/>
      <bottom style="thin">
        <color rgb="FFDEE0E3"/>
      </bottom>
      <diagonal/>
    </border>
    <border>
      <left/>
      <right style="thin">
        <color rgb="FFDEE0E3"/>
      </right>
      <top/>
      <bottom style="thin">
        <color rgb="FFDEE0E3"/>
      </bottom>
      <diagonal/>
    </border>
    <border>
      <left style="thin">
        <color indexed="64"/>
      </left>
      <right style="thin">
        <color rgb="FFDEE0E3"/>
      </right>
      <top style="thin">
        <color indexed="64"/>
      </top>
      <bottom style="thin">
        <color indexed="64"/>
      </bottom>
      <diagonal/>
    </border>
    <border>
      <left/>
      <right style="thin">
        <color rgb="FFDEE0E3"/>
      </right>
      <top style="thin">
        <color indexed="64"/>
      </top>
      <bottom style="thin">
        <color indexed="64"/>
      </bottom>
      <diagonal/>
    </border>
    <border>
      <left/>
      <right style="thin">
        <color rgb="FFDEE0E3"/>
      </right>
      <top style="thin">
        <color indexed="64"/>
      </top>
      <bottom/>
      <diagonal/>
    </border>
  </borders>
  <cellStyleXfs count="1">
    <xf numFmtId="0" fontId="0" fillId="0" borderId="0"/>
  </cellStyleXfs>
  <cellXfs count="654">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xf numFmtId="0" fontId="60" fillId="0" borderId="2" applyAlignment="1" pivotButton="0" quotePrefix="0" xfId="0">
      <alignment vertical="center"/>
    </xf>
    <xf numFmtId="0" fontId="28" fillId="0" borderId="0" pivotButton="0" quotePrefix="0" xfId="0"/>
    <xf numFmtId="0" fontId="60" fillId="0" borderId="15" applyAlignment="1" pivotButton="0" quotePrefix="0" xfId="0">
      <alignment vertical="center"/>
    </xf>
    <xf numFmtId="0" fontId="28" fillId="0" borderId="44" pivotButton="0" quotePrefix="0" xfId="0"/>
    <xf numFmtId="0" fontId="73" fillId="0" borderId="0" pivotButton="0" quotePrefix="0" xfId="0"/>
    <xf numFmtId="0" fontId="35" fillId="0" borderId="0" applyAlignment="1" pivotButton="0" quotePrefix="0" xfId="0">
      <alignment horizontal="center" vertical="center"/>
    </xf>
    <xf numFmtId="0" fontId="74" fillId="0" borderId="0" applyAlignment="1" pivotButton="0" quotePrefix="0" xfId="0">
      <alignment horizontal="center" vertical="center"/>
    </xf>
    <xf numFmtId="0" fontId="75" fillId="19" borderId="53" pivotButton="0" quotePrefix="0" xfId="0"/>
    <xf numFmtId="0" fontId="76" fillId="0" borderId="53" applyAlignment="1" pivotButton="0" quotePrefix="0" xfId="0">
      <alignment vertical="center"/>
    </xf>
    <xf numFmtId="0" fontId="75" fillId="0" borderId="53" applyAlignment="1" pivotButton="0" quotePrefix="0" xfId="0">
      <alignment vertical="center"/>
    </xf>
    <xf numFmtId="0" fontId="15" fillId="0" borderId="53" applyAlignment="1" pivotButton="0" quotePrefix="0" xfId="0">
      <alignment vertical="center"/>
    </xf>
    <xf numFmtId="0" fontId="76" fillId="0" borderId="53" pivotButton="0" quotePrefix="0" xfId="0"/>
    <xf numFmtId="0" fontId="77" fillId="0" borderId="65" pivotButton="0" quotePrefix="0" xfId="0"/>
    <xf numFmtId="0" fontId="76" fillId="0" borderId="65" applyAlignment="1" pivotButton="0" quotePrefix="0" xfId="0">
      <alignment vertical="center"/>
    </xf>
    <xf numFmtId="0" fontId="44" fillId="0" borderId="66" applyAlignment="1" pivotButton="0" quotePrefix="0" xfId="0">
      <alignment horizontal="left" vertical="center" wrapText="1"/>
    </xf>
    <xf numFmtId="0" fontId="76" fillId="0" borderId="5" applyAlignment="1" pivotButton="0" quotePrefix="0" xfId="0">
      <alignment vertical="center"/>
    </xf>
    <xf numFmtId="0" fontId="76" fillId="0" borderId="59" applyAlignment="1" pivotButton="0" quotePrefix="0" xfId="0">
      <alignment vertical="center"/>
    </xf>
    <xf numFmtId="0" fontId="77" fillId="0" borderId="69" applyAlignment="1" pivotButton="0" quotePrefix="0" xfId="0">
      <alignment horizontal="center"/>
    </xf>
    <xf numFmtId="0" fontId="15" fillId="0" borderId="5" applyAlignment="1" pivotButton="0" quotePrefix="0" xfId="0">
      <alignment vertical="center"/>
    </xf>
    <xf numFmtId="0" fontId="77" fillId="28" borderId="69" applyAlignment="1" pivotButton="0" quotePrefix="0" xfId="0">
      <alignment horizontal="left"/>
    </xf>
    <xf numFmtId="0" fontId="76" fillId="0" borderId="69" pivotButton="0" quotePrefix="0" xfId="0"/>
    <xf numFmtId="0" fontId="43" fillId="28" borderId="69" applyAlignment="1" pivotButton="0" quotePrefix="0" xfId="0">
      <alignment horizontal="left"/>
    </xf>
    <xf numFmtId="0" fontId="72" fillId="29" borderId="69" applyAlignment="1" pivotButton="0" quotePrefix="0" xfId="0">
      <alignment horizontal="left"/>
    </xf>
    <xf numFmtId="0" fontId="77" fillId="30" borderId="69" applyAlignment="1" pivotButton="0" quotePrefix="0" xfId="0">
      <alignment horizontal="left"/>
    </xf>
    <xf numFmtId="0" fontId="77" fillId="31" borderId="69" applyAlignment="1" pivotButton="0" quotePrefix="0" xfId="0">
      <alignment horizontal="left"/>
    </xf>
    <xf numFmtId="0" fontId="77" fillId="32" borderId="69" applyAlignment="1" pivotButton="0" quotePrefix="0" xfId="0">
      <alignment horizontal="left"/>
    </xf>
    <xf numFmtId="0" fontId="77" fillId="33" borderId="69" applyAlignment="1" pivotButton="0" quotePrefix="0" xfId="0">
      <alignment horizontal="left"/>
    </xf>
    <xf numFmtId="0" fontId="77" fillId="34" borderId="69" applyAlignment="1" pivotButton="0" quotePrefix="0" xfId="0">
      <alignment horizontal="left"/>
    </xf>
    <xf numFmtId="0" fontId="77" fillId="38" borderId="69" applyAlignment="1" pivotButton="0" quotePrefix="0" xfId="0">
      <alignment horizontal="left"/>
    </xf>
    <xf numFmtId="0" fontId="77" fillId="0" borderId="69" applyAlignment="1" pivotButton="0" quotePrefix="0" xfId="0">
      <alignment horizontal="left"/>
    </xf>
    <xf numFmtId="0" fontId="78" fillId="0" borderId="69" pivotButton="0" quotePrefix="0" xfId="0"/>
    <xf numFmtId="0" fontId="76" fillId="0" borderId="69" applyAlignment="1" pivotButton="0" quotePrefix="0" xfId="0">
      <alignment horizontal="left"/>
    </xf>
    <xf numFmtId="0" fontId="77" fillId="0" borderId="53" pivotButton="0" quotePrefix="0" xfId="0"/>
    <xf numFmtId="0" fontId="43" fillId="0" borderId="53" pivotButton="0" quotePrefix="0" xfId="0"/>
    <xf numFmtId="0" fontId="79" fillId="0" borderId="53" pivotButton="0" quotePrefix="0" xfId="0"/>
    <xf numFmtId="0" fontId="41" fillId="0" borderId="53" applyAlignment="1" pivotButton="0" quotePrefix="0" xfId="0">
      <alignment wrapText="1"/>
    </xf>
    <xf numFmtId="0" fontId="28" fillId="0" borderId="53" applyAlignment="1" pivotButton="0" quotePrefix="0" xfId="0">
      <alignment vertical="center"/>
    </xf>
    <xf numFmtId="0" fontId="28" fillId="0" borderId="5" applyAlignment="1" pivotButton="0" quotePrefix="0" xfId="0">
      <alignment horizontal="center" vertical="center"/>
    </xf>
    <xf numFmtId="0" fontId="28" fillId="0" borderId="53" applyAlignment="1" pivotButton="0" quotePrefix="0" xfId="0">
      <alignment horizontal="center" vertical="center"/>
    </xf>
    <xf numFmtId="0" fontId="28" fillId="0" borderId="53" applyAlignment="1" pivotButton="0" quotePrefix="0" xfId="0">
      <alignment horizontal="left" vertical="center"/>
    </xf>
    <xf numFmtId="0" fontId="70" fillId="0" borderId="5" applyAlignment="1" pivotButton="0" quotePrefix="0" xfId="0">
      <alignment vertical="center"/>
    </xf>
    <xf numFmtId="0" fontId="70" fillId="0" borderId="53" applyAlignment="1" pivotButton="0" quotePrefix="0" xfId="0">
      <alignment vertical="center"/>
    </xf>
    <xf numFmtId="0" fontId="41" fillId="0" borderId="53" pivotButton="0" quotePrefix="0" xfId="0"/>
    <xf numFmtId="14" fontId="41" fillId="0" borderId="53" applyAlignment="1" pivotButton="0" quotePrefix="0" xfId="0">
      <alignment horizontal="center"/>
    </xf>
    <xf numFmtId="0" fontId="80" fillId="19" borderId="53" applyAlignment="1" pivotButton="0" quotePrefix="0" xfId="0">
      <alignment vertical="center"/>
    </xf>
    <xf numFmtId="14" fontId="41" fillId="0" borderId="53" pivotButton="0" quotePrefix="0" xfId="0"/>
    <xf numFmtId="14" fontId="41" fillId="0" borderId="53" applyAlignment="1" pivotButton="0" quotePrefix="0" xfId="0">
      <alignment horizontal="center" vertical="center"/>
    </xf>
    <xf numFmtId="0" fontId="80" fillId="0" borderId="53" applyAlignment="1" pivotButton="0" quotePrefix="0" xfId="0">
      <alignment vertical="center"/>
    </xf>
    <xf numFmtId="0" fontId="41" fillId="0" borderId="53" applyAlignment="1" pivotButton="0" quotePrefix="0" xfId="0">
      <alignment horizontal="left" vertical="center"/>
    </xf>
    <xf numFmtId="14" fontId="41" fillId="0" borderId="53" applyAlignment="1" pivotButton="0" quotePrefix="0" xfId="0">
      <alignment vertical="center"/>
    </xf>
    <xf numFmtId="0" fontId="81" fillId="19" borderId="53" pivotButton="0" quotePrefix="0" xfId="0"/>
    <xf numFmtId="0" fontId="82" fillId="0" borderId="53" applyAlignment="1" pivotButton="0" quotePrefix="0" xfId="0">
      <alignment vertical="center"/>
    </xf>
    <xf numFmtId="0" fontId="81" fillId="0" borderId="53" applyAlignment="1" pivotButton="0" quotePrefix="0" xfId="0">
      <alignment vertical="center"/>
    </xf>
    <xf numFmtId="0" fontId="83" fillId="0" borderId="53" applyAlignment="1" pivotButton="0" quotePrefix="0" xfId="0">
      <alignment vertical="center"/>
    </xf>
    <xf numFmtId="0" fontId="84" fillId="0" borderId="4" pivotButton="0" quotePrefix="0" xfId="0"/>
    <xf numFmtId="0" fontId="84" fillId="0" borderId="5" pivotButton="0" quotePrefix="0" xfId="0"/>
    <xf numFmtId="0" fontId="85" fillId="19" borderId="53" pivotButton="0" quotePrefix="0" xfId="0"/>
    <xf numFmtId="0" fontId="86" fillId="0" borderId="4" pivotButton="0" quotePrefix="0" xfId="0"/>
    <xf numFmtId="0" fontId="86" fillId="0" borderId="5" pivotButton="0" quotePrefix="0" xfId="0"/>
    <xf numFmtId="0" fontId="87" fillId="0" borderId="53" applyAlignment="1" pivotButton="0" quotePrefix="0" xfId="0">
      <alignment vertical="center"/>
    </xf>
    <xf numFmtId="0" fontId="85" fillId="0" borderId="53" applyAlignment="1" pivotButton="0" quotePrefix="0" xfId="0">
      <alignment vertical="center"/>
    </xf>
    <xf numFmtId="0" fontId="88" fillId="0" borderId="53" applyAlignment="1" pivotButton="0" quotePrefix="0" xfId="0">
      <alignment vertical="center"/>
    </xf>
    <xf numFmtId="0" fontId="69" fillId="0" borderId="83" applyAlignment="1" pivotButton="0" quotePrefix="0" xfId="0">
      <alignment horizontal="left" vertical="center" wrapText="1"/>
    </xf>
    <xf numFmtId="0" fontId="0" fillId="0" borderId="85" pivotButton="0" quotePrefix="0" xfId="0"/>
    <xf numFmtId="0" fontId="0" fillId="0" borderId="86" pivotButton="0" quotePrefix="0" xfId="0"/>
    <xf numFmtId="0" fontId="69" fillId="0" borderId="87" applyAlignment="1" pivotButton="0" quotePrefix="0" xfId="0">
      <alignment horizontal="left" vertical="center" wrapText="1"/>
    </xf>
    <xf numFmtId="0" fontId="0" fillId="0" borderId="88" pivotButton="0" quotePrefix="0" xfId="0"/>
    <xf numFmtId="0" fontId="89" fillId="19" borderId="53" pivotButton="0" quotePrefix="0" xfId="0"/>
    <xf numFmtId="0" fontId="90" fillId="0" borderId="53" applyAlignment="1" pivotButton="0" quotePrefix="0" xfId="0">
      <alignment vertical="center"/>
    </xf>
    <xf numFmtId="0" fontId="89" fillId="0" borderId="53" applyAlignment="1" pivotButton="0" quotePrefix="0" xfId="0">
      <alignment vertical="center"/>
    </xf>
    <xf numFmtId="0" fontId="91" fillId="0" borderId="53" applyAlignment="1" pivotButton="0" quotePrefix="0" xfId="0">
      <alignment vertical="center"/>
    </xf>
    <xf numFmtId="0" fontId="69" fillId="0" borderId="53" applyAlignment="1" pivotButton="0" quotePrefix="0" xfId="0">
      <alignment vertical="center"/>
    </xf>
    <xf numFmtId="0" fontId="69" fillId="0" borderId="3" pivotButton="0" quotePrefix="0" xfId="0"/>
    <xf numFmtId="0" fontId="69" fillId="0" borderId="4" pivotButton="0" quotePrefix="0" xfId="0"/>
    <xf numFmtId="0" fontId="69" fillId="0" borderId="5" pivotButton="0" quotePrefix="0" xfId="0"/>
    <xf numFmtId="0" fontId="69" fillId="0" borderId="53" pivotButton="0" quotePrefix="0" xfId="0"/>
    <xf numFmtId="0" fontId="58" fillId="0" borderId="65" pivotButton="0" quotePrefix="0" xfId="0"/>
    <xf numFmtId="0" fontId="69" fillId="0" borderId="65" applyAlignment="1" pivotButton="0" quotePrefix="0" xfId="0">
      <alignment vertical="center"/>
    </xf>
    <xf numFmtId="0" fontId="92" fillId="0" borderId="69" applyAlignment="1" pivotButton="0" quotePrefix="0" xfId="0">
      <alignment horizontal="left" vertical="center" wrapText="1"/>
    </xf>
    <xf numFmtId="0" fontId="69" fillId="0" borderId="59" applyAlignment="1" pivotButton="0" quotePrefix="0" xfId="0">
      <alignment vertical="center"/>
    </xf>
    <xf numFmtId="0" fontId="58" fillId="0" borderId="69" applyAlignment="1" pivotButton="0" quotePrefix="0" xfId="0">
      <alignment horizontal="center"/>
    </xf>
    <xf numFmtId="0" fontId="58" fillId="28" borderId="69" applyAlignment="1" pivotButton="0" quotePrefix="0" xfId="0">
      <alignment horizontal="left"/>
    </xf>
    <xf numFmtId="0" fontId="69" fillId="0" borderId="69" pivotButton="0" quotePrefix="0" xfId="0"/>
    <xf numFmtId="0" fontId="67" fillId="29" borderId="69" applyAlignment="1" pivotButton="0" quotePrefix="0" xfId="0">
      <alignment horizontal="left"/>
    </xf>
    <xf numFmtId="0" fontId="58" fillId="30" borderId="69" applyAlignment="1" pivotButton="0" quotePrefix="0" xfId="0">
      <alignment horizontal="left"/>
    </xf>
    <xf numFmtId="0" fontId="58" fillId="31" borderId="69" applyAlignment="1" pivotButton="0" quotePrefix="0" xfId="0">
      <alignment horizontal="left"/>
    </xf>
    <xf numFmtId="0" fontId="58" fillId="32" borderId="69" applyAlignment="1" pivotButton="0" quotePrefix="0" xfId="0">
      <alignment horizontal="left"/>
    </xf>
    <xf numFmtId="0" fontId="58" fillId="33" borderId="69" applyAlignment="1" pivotButton="0" quotePrefix="0" xfId="0">
      <alignment horizontal="left"/>
    </xf>
    <xf numFmtId="0" fontId="58" fillId="34" borderId="69" applyAlignment="1" pivotButton="0" quotePrefix="0" xfId="0">
      <alignment horizontal="left"/>
    </xf>
    <xf numFmtId="0" fontId="58" fillId="38" borderId="69" applyAlignment="1" pivotButton="0" quotePrefix="0" xfId="0">
      <alignment horizontal="left"/>
    </xf>
    <xf numFmtId="0" fontId="58" fillId="0" borderId="69" applyAlignment="1" pivotButton="0" quotePrefix="0" xfId="0">
      <alignment horizontal="left"/>
    </xf>
    <xf numFmtId="0" fontId="58" fillId="0" borderId="69" pivotButton="0" quotePrefix="0" xfId="0"/>
    <xf numFmtId="0" fontId="69" fillId="0" borderId="69" applyAlignment="1" pivotButton="0" quotePrefix="0" xfId="0">
      <alignment horizontal="left"/>
    </xf>
    <xf numFmtId="0" fontId="58" fillId="0" borderId="53" pivotButton="0" quotePrefix="0" xfId="0"/>
    <xf numFmtId="0" fontId="93" fillId="0" borderId="53" pivotButton="0" quotePrefix="0" xfId="0"/>
    <xf numFmtId="0" fontId="69" fillId="0" borderId="69" applyAlignment="1" pivotButton="0" quotePrefix="0" xfId="0">
      <alignment horizontal="left" vertical="center" wrapText="1"/>
    </xf>
    <xf numFmtId="0" fontId="60"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58" fillId="0" borderId="69" applyAlignment="1" pivotButton="0" quotePrefix="0" xfId="0">
      <alignment horizontal="center" vertical="center" wrapText="1"/>
    </xf>
    <xf numFmtId="0" fontId="28" fillId="0" borderId="5" applyAlignment="1" pivotButton="0" quotePrefix="0" xfId="0">
      <alignment vertical="center" wrapText="1"/>
    </xf>
    <xf numFmtId="0" fontId="69" fillId="0" borderId="69" applyAlignment="1" pivotButton="0" quotePrefix="0" xfId="0">
      <alignment horizontal="center" vertical="center" wrapText="1"/>
    </xf>
    <xf numFmtId="0" fontId="58" fillId="0" borderId="69" applyAlignment="1" pivotButton="0" quotePrefix="0" xfId="0">
      <alignment vertical="center" wrapText="1"/>
    </xf>
    <xf numFmtId="0" fontId="69" fillId="0" borderId="69" applyAlignment="1" pivotButton="0" quotePrefix="0" xfId="0">
      <alignment vertical="center" wrapText="1"/>
    </xf>
    <xf numFmtId="0" fontId="97" fillId="0" borderId="69" applyAlignment="1" pivotButton="0" quotePrefix="0" xfId="0">
      <alignment vertical="center" wrapText="1"/>
    </xf>
    <xf numFmtId="0" fontId="73" fillId="0" borderId="69" applyAlignment="1" pivotButton="0" quotePrefix="0" xfId="0">
      <alignment horizontal="center" vertical="center" wrapText="1"/>
    </xf>
    <xf numFmtId="0" fontId="73"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0" fillId="0" borderId="53" applyAlignment="1" pivotButton="0" quotePrefix="0" xfId="0">
      <alignment vertical="center" wrapText="1"/>
    </xf>
    <xf numFmtId="0" fontId="67" fillId="29" borderId="69" applyAlignment="1" pivotButton="0" quotePrefix="0" xfId="0">
      <alignment horizontal="center"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8" fillId="0" borderId="53" applyAlignment="1" pivotButton="0" quotePrefix="0" xfId="0">
      <alignment wrapText="1"/>
    </xf>
    <xf numFmtId="0" fontId="60" fillId="0" borderId="44" applyAlignment="1" pivotButton="0" quotePrefix="0" xfId="0">
      <alignment vertical="center"/>
    </xf>
    <xf numFmtId="0" fontId="60" fillId="0" borderId="0" applyAlignment="1" pivotButton="0" quotePrefix="0" xfId="0">
      <alignment vertical="center"/>
    </xf>
    <xf numFmtId="0" fontId="97" fillId="0" borderId="44" applyAlignment="1" pivotButton="0" quotePrefix="0" xfId="0">
      <alignment horizontal="center" vertical="center"/>
    </xf>
    <xf numFmtId="0" fontId="67" fillId="29" borderId="0" applyAlignment="1" pivotButton="0" quotePrefix="0" xfId="0">
      <alignment horizontal="center" vertical="center"/>
    </xf>
    <xf numFmtId="0" fontId="28" fillId="0" borderId="0" applyAlignment="1" pivotButton="0" quotePrefix="0" xfId="0">
      <alignment vertical="top" wrapText="1"/>
    </xf>
    <xf numFmtId="0" fontId="67" fillId="2" borderId="15" applyAlignment="1" pivotButton="0" quotePrefix="0" xfId="0">
      <alignment horizontal="center" vertical="center"/>
    </xf>
    <xf numFmtId="0" fontId="60" fillId="3" borderId="31" applyAlignment="1" pivotButton="0" quotePrefix="0" xfId="0">
      <alignment horizontal="center" vertical="center"/>
    </xf>
    <xf numFmtId="0" fontId="60" fillId="4" borderId="6" applyAlignment="1" pivotButton="0" quotePrefix="0" xfId="0">
      <alignment horizontal="center" vertical="center"/>
    </xf>
    <xf numFmtId="0" fontId="97" fillId="5" borderId="7" applyAlignment="1" pivotButton="0" quotePrefix="0" xfId="0">
      <alignment horizontal="center"/>
    </xf>
    <xf numFmtId="0" fontId="97" fillId="39" borderId="79" applyAlignment="1" pivotButton="0" quotePrefix="0" xfId="0">
      <alignment horizontal="center"/>
    </xf>
    <xf numFmtId="0" fontId="97" fillId="40" borderId="11" applyAlignment="1" pivotButton="0" quotePrefix="0" xfId="0">
      <alignment horizontal="center"/>
    </xf>
    <xf numFmtId="0" fontId="97" fillId="41" borderId="13" applyAlignment="1" pivotButton="0" quotePrefix="0" xfId="0">
      <alignment horizontal="center"/>
    </xf>
    <xf numFmtId="0" fontId="97" fillId="39" borderId="10" applyAlignment="1" pivotButton="0" quotePrefix="0" xfId="0">
      <alignment horizontal="center"/>
    </xf>
    <xf numFmtId="0" fontId="97" fillId="5" borderId="79" applyAlignment="1" pivotButton="0" quotePrefix="0" xfId="0">
      <alignment horizontal="center"/>
    </xf>
    <xf numFmtId="0" fontId="97" fillId="0" borderId="7" pivotButton="0" quotePrefix="0" xfId="0"/>
    <xf numFmtId="0" fontId="58" fillId="9" borderId="15" applyAlignment="1" pivotButton="0" quotePrefix="0" xfId="0">
      <alignment horizontal="center" vertical="center"/>
    </xf>
    <xf numFmtId="0" fontId="60" fillId="10" borderId="1" applyAlignment="1" pivotButton="0" quotePrefix="0" xfId="0">
      <alignment horizontal="center" vertical="center"/>
    </xf>
    <xf numFmtId="0" fontId="60" fillId="11" borderId="1" applyAlignment="1" pivotButton="0" quotePrefix="0" xfId="0">
      <alignment horizontal="center" vertical="center"/>
    </xf>
    <xf numFmtId="0" fontId="60" fillId="12" borderId="1" applyAlignment="1" pivotButton="0" quotePrefix="0" xfId="0">
      <alignment horizontal="center" vertical="center"/>
    </xf>
    <xf numFmtId="0" fontId="60" fillId="13" borderId="1" applyAlignment="1" pivotButton="0" quotePrefix="0" xfId="0">
      <alignment horizontal="center" vertical="center"/>
    </xf>
    <xf numFmtId="0" fontId="60" fillId="14" borderId="1" applyAlignment="1" pivotButton="0" quotePrefix="0" xfId="0">
      <alignment horizontal="center" vertical="center"/>
    </xf>
    <xf numFmtId="0" fontId="60" fillId="15" borderId="1" applyAlignment="1" pivotButton="0" quotePrefix="0" xfId="0">
      <alignment horizontal="center" vertical="center"/>
    </xf>
    <xf numFmtId="0" fontId="60" fillId="10" borderId="9" applyAlignment="1" pivotButton="0" quotePrefix="0" xfId="0">
      <alignment horizontal="center" vertical="center"/>
    </xf>
    <xf numFmtId="0" fontId="60" fillId="0" borderId="0" applyAlignment="1" pivotButton="0" quotePrefix="0" xfId="0">
      <alignment horizontal="center"/>
    </xf>
    <xf numFmtId="0" fontId="60" fillId="0" borderId="0" pivotButton="0" quotePrefix="0" xfId="0"/>
    <xf numFmtId="0" fontId="60" fillId="3" borderId="34" applyAlignment="1" pivotButton="0" quotePrefix="0" xfId="0">
      <alignment horizontal="center" vertical="center"/>
    </xf>
    <xf numFmtId="0" fontId="60" fillId="4" borderId="80" applyAlignment="1" pivotButton="0" quotePrefix="0" xfId="0">
      <alignment horizontal="center" vertical="center"/>
    </xf>
    <xf numFmtId="0" fontId="97" fillId="41" borderId="51" applyAlignment="1" pivotButton="0" quotePrefix="0" xfId="0">
      <alignment horizontal="center"/>
    </xf>
    <xf numFmtId="0" fontId="97" fillId="39" borderId="51" applyAlignment="1" pivotButton="0" quotePrefix="0" xfId="0">
      <alignment horizontal="center"/>
    </xf>
    <xf numFmtId="0" fontId="97" fillId="40" borderId="51" applyAlignment="1" pivotButton="0" quotePrefix="0" xfId="0">
      <alignment horizontal="center"/>
    </xf>
    <xf numFmtId="0" fontId="97" fillId="5" borderId="52" applyAlignment="1" pivotButton="0" quotePrefix="0" xfId="0">
      <alignment horizontal="center"/>
    </xf>
    <xf numFmtId="0" fontId="97" fillId="39" borderId="81" applyAlignment="1" pivotButton="0" quotePrefix="0" xfId="0">
      <alignment horizontal="center"/>
    </xf>
    <xf numFmtId="0" fontId="97" fillId="5" borderId="51" applyAlignment="1" pivotButton="0" quotePrefix="0" xfId="0">
      <alignment horizontal="center"/>
    </xf>
    <xf numFmtId="0" fontId="97" fillId="0" borderId="51" pivotButton="0" quotePrefix="0" xfId="0"/>
    <xf numFmtId="0" fontId="60" fillId="10" borderId="2" applyAlignment="1" pivotButton="0" quotePrefix="0" xfId="0">
      <alignment horizontal="center" vertical="center"/>
    </xf>
    <xf numFmtId="0" fontId="60" fillId="11" borderId="2" applyAlignment="1" pivotButton="0" quotePrefix="0" xfId="0">
      <alignment horizontal="center" vertical="center"/>
    </xf>
    <xf numFmtId="0" fontId="60" fillId="42" borderId="2" applyAlignment="1" pivotButton="0" quotePrefix="0" xfId="0">
      <alignment horizontal="center" vertical="center"/>
    </xf>
    <xf numFmtId="0" fontId="60" fillId="13" borderId="2" applyAlignment="1" pivotButton="0" quotePrefix="0" xfId="0">
      <alignment horizontal="center" vertical="center"/>
    </xf>
    <xf numFmtId="0" fontId="60" fillId="15" borderId="2" applyAlignment="1" pivotButton="0" quotePrefix="0" xfId="0">
      <alignment horizontal="center" vertical="center"/>
    </xf>
    <xf numFmtId="0" fontId="60" fillId="43" borderId="2" applyAlignment="1" pivotButton="0" quotePrefix="0" xfId="0">
      <alignment horizontal="center" vertical="center"/>
    </xf>
    <xf numFmtId="0" fontId="60" fillId="12" borderId="2" applyAlignment="1" pivotButton="0" quotePrefix="0" xfId="0">
      <alignment horizontal="center" vertical="center"/>
    </xf>
    <xf numFmtId="0" fontId="60" fillId="3" borderId="36" applyAlignment="1" pivotButton="0" quotePrefix="0" xfId="0">
      <alignment horizontal="center" vertical="center"/>
    </xf>
    <xf numFmtId="0" fontId="60" fillId="4" borderId="10" applyAlignment="1" pivotButton="0" quotePrefix="0" xfId="0">
      <alignment horizontal="center" vertical="center"/>
    </xf>
    <xf numFmtId="0" fontId="97" fillId="5" borderId="11" applyAlignment="1" pivotButton="0" quotePrefix="0" xfId="0">
      <alignment horizontal="center"/>
    </xf>
    <xf numFmtId="0" fontId="97" fillId="39" borderId="11" applyAlignment="1" pivotButton="0" quotePrefix="0" xfId="0">
      <alignment horizontal="center"/>
    </xf>
    <xf numFmtId="0" fontId="97" fillId="5" borderId="13" applyAlignment="1" pivotButton="0" quotePrefix="0" xfId="0">
      <alignment horizontal="center"/>
    </xf>
    <xf numFmtId="0" fontId="97" fillId="0" borderId="11" pivotButton="0" quotePrefix="0" xfId="0"/>
    <xf numFmtId="0" fontId="60" fillId="43" borderId="1" applyAlignment="1" pivotButton="0" quotePrefix="0" xfId="0">
      <alignment horizontal="center" vertical="center"/>
    </xf>
    <xf numFmtId="0" fontId="60" fillId="5" borderId="11" applyAlignment="1" pivotButton="0" quotePrefix="0" xfId="0">
      <alignment horizontal="center" vertical="center"/>
    </xf>
    <xf numFmtId="0" fontId="60" fillId="39" borderId="11" applyAlignment="1" pivotButton="0" quotePrefix="0" xfId="0">
      <alignment horizontal="center"/>
    </xf>
    <xf numFmtId="0" fontId="60" fillId="40" borderId="79" applyAlignment="1" pivotButton="0" quotePrefix="0" xfId="0">
      <alignment horizontal="center"/>
    </xf>
    <xf numFmtId="0" fontId="97" fillId="44" borderId="11" applyAlignment="1" pivotButton="0" quotePrefix="0" xfId="0">
      <alignment horizontal="center"/>
    </xf>
    <xf numFmtId="0" fontId="97" fillId="45" borderId="0" applyAlignment="1" pivotButton="0" quotePrefix="0" xfId="0">
      <alignment horizontal="center"/>
    </xf>
    <xf numFmtId="0" fontId="97" fillId="44" borderId="0" applyAlignment="1" pivotButton="0" quotePrefix="0" xfId="0">
      <alignment horizontal="center"/>
    </xf>
    <xf numFmtId="0" fontId="60" fillId="14" borderId="0" applyAlignment="1" pivotButton="0" quotePrefix="0" xfId="0">
      <alignment horizontal="center" vertical="center"/>
    </xf>
    <xf numFmtId="0" fontId="60" fillId="16" borderId="1" applyAlignment="1" pivotButton="0" quotePrefix="0" xfId="0">
      <alignment horizontal="center" vertical="center"/>
    </xf>
    <xf numFmtId="0" fontId="97" fillId="0" borderId="69" applyAlignment="1" pivotButton="0" quotePrefix="0" xfId="0">
      <alignment horizontal="center" vertical="center"/>
    </xf>
    <xf numFmtId="0" fontId="73" fillId="0" borderId="69" applyAlignment="1" pivotButton="0" quotePrefix="0" xfId="0">
      <alignment vertical="center"/>
    </xf>
    <xf numFmtId="0" fontId="73" fillId="0" borderId="5" applyAlignment="1" pivotButton="0" quotePrefix="0" xfId="0">
      <alignment vertical="center"/>
    </xf>
    <xf numFmtId="0" fontId="73" fillId="0" borderId="53" applyAlignment="1" pivotButton="0" quotePrefix="0" xfId="0">
      <alignment vertical="center"/>
    </xf>
    <xf numFmtId="0" fontId="67" fillId="29" borderId="53" applyAlignment="1" pivotButton="0" quotePrefix="0" xfId="0">
      <alignment horizontal="center" vertical="center"/>
    </xf>
    <xf numFmtId="0" fontId="28" fillId="0" borderId="53" pivotButton="0" quotePrefix="0" xfId="0"/>
    <xf numFmtId="0" fontId="28" fillId="0" borderId="53" applyAlignment="1" pivotButton="0" quotePrefix="0" xfId="0">
      <alignment horizontal="left"/>
    </xf>
    <xf numFmtId="14" fontId="28" fillId="0" borderId="53" applyAlignment="1" pivotButton="0" quotePrefix="0" xfId="0">
      <alignment horizontal="left"/>
    </xf>
    <xf numFmtId="0" fontId="98" fillId="19" borderId="53" applyAlignment="1" pivotButton="0" quotePrefix="0" xfId="0">
      <alignment vertical="center"/>
    </xf>
    <xf numFmtId="14" fontId="28" fillId="0" borderId="53" applyAlignment="1" pivotButton="0" quotePrefix="0" xfId="0">
      <alignment horizontal="left" vertical="center"/>
    </xf>
    <xf numFmtId="0" fontId="98" fillId="0" borderId="53" applyAlignment="1" pivotButton="0" quotePrefix="0" xfId="0">
      <alignment vertical="center"/>
    </xf>
    <xf numFmtId="0" fontId="28" fillId="0" borderId="0" applyAlignment="1" pivotButton="0" quotePrefix="0" xfId="0">
      <alignment horizontal="left"/>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875" customWidth="1" min="1" max="1"/>
    <col width="15.1875" customWidth="1" min="3" max="3"/>
    <col width="17.4375" customWidth="1" min="8" max="8"/>
    <col width="16.125" customWidth="1" min="15" max="15"/>
  </cols>
  <sheetData>
    <row r="1" ht="26.25" customHeight="1">
      <c r="A1" s="530" t="inlineStr">
        <is>
          <t>China Climate Policy Instrument Database (CCPID)</t>
        </is>
      </c>
      <c r="B1" s="109" t="n"/>
      <c r="C1" s="109" t="n"/>
      <c r="D1" s="109" t="n"/>
      <c r="E1" s="109" t="n"/>
      <c r="F1" s="109" t="n"/>
      <c r="G1" s="109" t="n"/>
      <c r="H1" s="110" t="n"/>
      <c r="I1" s="531" t="n"/>
      <c r="J1" s="531" t="n"/>
      <c r="K1" s="532" t="n"/>
      <c r="L1" s="531" t="n"/>
      <c r="M1" s="531" t="n"/>
      <c r="N1" s="531" t="n"/>
      <c r="O1" s="531" t="n"/>
      <c r="P1" s="533" t="n"/>
      <c r="Q1" s="533" t="n"/>
      <c r="R1" s="533" t="n"/>
      <c r="S1" s="533" t="n"/>
    </row>
    <row r="2">
      <c r="A2" s="534" t="n"/>
      <c r="B2" s="534" t="n"/>
      <c r="C2" s="534" t="n"/>
      <c r="D2" s="534" t="n"/>
      <c r="E2" s="534" t="n"/>
      <c r="F2" s="534" t="n"/>
      <c r="G2" s="534" t="n"/>
      <c r="H2" s="534" t="n"/>
      <c r="I2" s="534" t="n"/>
      <c r="J2" s="534" t="n"/>
      <c r="K2" s="534" t="n"/>
      <c r="L2" s="534" t="n"/>
      <c r="M2" s="534" t="n"/>
      <c r="N2" s="534" t="n"/>
      <c r="O2" s="534" t="n"/>
      <c r="P2" s="499" t="n"/>
      <c r="Q2" s="499" t="n"/>
      <c r="R2" s="499" t="n"/>
      <c r="S2" s="499" t="n"/>
    </row>
    <row r="3">
      <c r="A3" s="535" t="inlineStr">
        <is>
          <t>developed by MGF Lab, National School of Development, Peking University</t>
        </is>
      </c>
      <c r="B3" s="536" t="n"/>
      <c r="C3" s="536" t="n"/>
      <c r="D3" s="536" t="n"/>
      <c r="E3" s="536" t="n"/>
      <c r="F3" s="536" t="n"/>
      <c r="G3" s="537" t="n"/>
      <c r="H3" s="534" t="n"/>
      <c r="I3" s="534" t="n"/>
      <c r="J3" s="534" t="n"/>
      <c r="K3" s="534" t="n"/>
      <c r="L3" s="534" t="n"/>
      <c r="M3" s="534" t="n"/>
      <c r="N3" s="534" t="n"/>
      <c r="O3" s="534" t="n"/>
      <c r="P3" s="499" t="n"/>
      <c r="Q3" s="499" t="n"/>
      <c r="R3" s="499" t="n"/>
      <c r="S3" s="499" t="n"/>
    </row>
    <row r="4">
      <c r="A4" s="538" t="inlineStr">
        <is>
          <t>as of September 2026</t>
        </is>
      </c>
      <c r="B4" s="110" t="n"/>
      <c r="C4" s="534" t="n"/>
      <c r="D4" s="534" t="n"/>
      <c r="E4" s="534" t="n"/>
      <c r="F4" s="534" t="n"/>
      <c r="G4" s="534" t="n"/>
      <c r="H4" s="534" t="n"/>
      <c r="I4" s="534" t="n"/>
      <c r="J4" s="534" t="n"/>
      <c r="K4" s="534" t="n"/>
      <c r="L4" s="534" t="n"/>
      <c r="M4" s="534" t="n"/>
      <c r="N4" s="534" t="n"/>
      <c r="O4" s="534" t="n"/>
      <c r="P4" s="499" t="n"/>
      <c r="Q4" s="499" t="n"/>
      <c r="R4" s="499" t="n"/>
      <c r="S4" s="499" t="n"/>
    </row>
    <row r="5">
      <c r="A5" s="534" t="n"/>
      <c r="B5" s="534" t="n"/>
      <c r="C5" s="534" t="n"/>
      <c r="D5" s="534" t="n"/>
      <c r="E5" s="534" t="n"/>
      <c r="F5" s="534" t="n"/>
      <c r="G5" s="534" t="n"/>
      <c r="H5" s="534" t="n"/>
      <c r="I5" s="534" t="n"/>
      <c r="J5" s="534" t="n"/>
      <c r="K5" s="534" t="n"/>
      <c r="L5" s="534" t="n"/>
      <c r="M5" s="534" t="n"/>
      <c r="N5" s="534" t="n"/>
      <c r="O5" s="534" t="n"/>
      <c r="P5" s="499" t="n"/>
      <c r="Q5" s="499" t="n"/>
      <c r="R5" s="499" t="n"/>
      <c r="S5" s="499" t="n"/>
    </row>
    <row r="6" ht="16.5" customHeight="1">
      <c r="A6" s="539" t="inlineStr">
        <is>
          <t>Overview</t>
        </is>
      </c>
      <c r="B6" s="540" t="n"/>
      <c r="C6" s="540" t="n"/>
      <c r="D6" s="540" t="n"/>
      <c r="E6" s="540" t="n"/>
      <c r="F6" s="540" t="n"/>
      <c r="G6" s="540" t="n"/>
      <c r="H6" s="540" t="n"/>
      <c r="I6" s="540" t="n"/>
      <c r="J6" s="540" t="n"/>
      <c r="K6" s="540" t="n"/>
      <c r="L6" s="540" t="n"/>
      <c r="M6" s="540" t="n"/>
      <c r="N6" s="540" t="n"/>
      <c r="O6" s="540" t="n"/>
      <c r="P6" s="499" t="n"/>
      <c r="Q6" s="499" t="n"/>
      <c r="R6" s="499" t="n"/>
      <c r="S6" s="499" t="n"/>
    </row>
    <row r="7" ht="223.15" customHeight="1">
      <c r="A7" s="558"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9" t="n"/>
      <c r="C7" s="339" t="n"/>
      <c r="D7" s="339" t="n"/>
      <c r="E7" s="339" t="n"/>
      <c r="F7" s="339" t="n"/>
      <c r="G7" s="339" t="n"/>
      <c r="H7" s="339" t="n"/>
      <c r="I7" s="339" t="n"/>
      <c r="J7" s="339" t="n"/>
      <c r="K7" s="339" t="n"/>
      <c r="L7" s="339" t="n"/>
      <c r="M7" s="339" t="n"/>
      <c r="N7" s="339" t="n"/>
      <c r="O7" s="340" t="n"/>
      <c r="P7" s="459" t="n"/>
      <c r="Q7" s="499" t="n"/>
      <c r="R7" s="499" t="n"/>
      <c r="S7" s="499" t="n"/>
    </row>
    <row r="8">
      <c r="A8" s="542" t="n"/>
      <c r="B8" s="542" t="n"/>
      <c r="C8" s="542" t="n"/>
      <c r="D8" s="542" t="n"/>
      <c r="E8" s="542" t="n"/>
      <c r="F8" s="542" t="n"/>
      <c r="G8" s="542" t="n"/>
      <c r="H8" s="542" t="n"/>
      <c r="I8" s="542" t="n"/>
      <c r="J8" s="542" t="n"/>
      <c r="K8" s="542" t="n"/>
      <c r="L8" s="542" t="n"/>
      <c r="M8" s="542" t="n"/>
      <c r="N8" s="542" t="n"/>
      <c r="O8" s="542" t="n"/>
      <c r="P8" s="499" t="n"/>
      <c r="Q8" s="499" t="n"/>
      <c r="R8" s="499" t="n"/>
      <c r="S8" s="499" t="n"/>
    </row>
    <row r="9">
      <c r="A9" s="534" t="n"/>
      <c r="B9" s="534" t="n"/>
      <c r="C9" s="534" t="n"/>
      <c r="D9" s="534" t="n"/>
      <c r="E9" s="534" t="n"/>
      <c r="F9" s="534" t="n"/>
      <c r="G9" s="534" t="n"/>
      <c r="H9" s="534" t="n"/>
      <c r="I9" s="534" t="n"/>
      <c r="J9" s="534" t="n"/>
      <c r="K9" s="534" t="n"/>
      <c r="L9" s="534" t="n"/>
      <c r="M9" s="534" t="n"/>
      <c r="N9" s="534" t="n"/>
      <c r="O9" s="534" t="n"/>
      <c r="P9" s="499" t="n"/>
      <c r="Q9" s="499" t="n"/>
      <c r="R9" s="499" t="n"/>
      <c r="S9" s="499" t="n"/>
    </row>
    <row r="10" ht="16.5" customHeight="1">
      <c r="A10" s="539" t="inlineStr">
        <is>
          <t>Content of this file</t>
        </is>
      </c>
      <c r="B10" s="337" t="n"/>
      <c r="C10" s="540" t="n"/>
      <c r="D10" s="540" t="n"/>
      <c r="E10" s="540" t="n"/>
      <c r="F10" s="540" t="n"/>
      <c r="G10" s="540" t="n"/>
      <c r="H10" s="540" t="n"/>
      <c r="I10" s="540" t="n"/>
      <c r="J10" s="540" t="n"/>
      <c r="K10" s="540" t="n"/>
      <c r="L10" s="540" t="n"/>
      <c r="M10" s="540" t="n"/>
      <c r="N10" s="540" t="n"/>
      <c r="O10" s="540" t="n"/>
      <c r="P10" s="499" t="n"/>
      <c r="Q10" s="499" t="n"/>
      <c r="R10" s="499" t="n"/>
      <c r="S10" s="499" t="n"/>
    </row>
    <row r="11">
      <c r="A11" s="543" t="inlineStr">
        <is>
          <t>Spreadsheet</t>
        </is>
      </c>
      <c r="B11" s="339" t="n"/>
      <c r="C11" s="340" t="n"/>
      <c r="D11" s="543" t="inlineStr">
        <is>
          <t>Description</t>
        </is>
      </c>
      <c r="E11" s="339" t="n"/>
      <c r="F11" s="339" t="n"/>
      <c r="G11" s="339" t="n"/>
      <c r="H11" s="339" t="n"/>
      <c r="I11" s="339" t="n"/>
      <c r="J11" s="339" t="n"/>
      <c r="K11" s="339" t="n"/>
      <c r="L11" s="339" t="n"/>
      <c r="M11" s="339" t="n"/>
      <c r="N11" s="339" t="n"/>
      <c r="O11" s="340" t="n"/>
      <c r="P11" s="459" t="n"/>
      <c r="Q11" s="499" t="n"/>
      <c r="R11" s="499" t="n"/>
      <c r="S11" s="499" t="n"/>
    </row>
    <row r="12">
      <c r="A12" s="544" t="inlineStr">
        <is>
          <t>Cover</t>
        </is>
      </c>
      <c r="B12" s="339" t="n"/>
      <c r="C12" s="340" t="n"/>
      <c r="D12" s="545"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459" t="n"/>
      <c r="Q12" s="499" t="n"/>
      <c r="R12" s="499" t="n"/>
      <c r="S12" s="499" t="n"/>
    </row>
    <row r="13">
      <c r="A13" s="544" t="inlineStr">
        <is>
          <t>Classification framework</t>
        </is>
      </c>
      <c r="B13" s="339" t="n"/>
      <c r="C13" s="340" t="n"/>
      <c r="D13" s="545" t="inlineStr">
        <is>
          <t>Explains the four-level classification framework of this dataset</t>
        </is>
      </c>
      <c r="E13" s="339" t="n"/>
      <c r="F13" s="339" t="n"/>
      <c r="G13" s="339" t="n"/>
      <c r="H13" s="339" t="n"/>
      <c r="I13" s="339" t="n"/>
      <c r="J13" s="339" t="n"/>
      <c r="K13" s="339" t="n"/>
      <c r="L13" s="339" t="n"/>
      <c r="M13" s="339" t="n"/>
      <c r="N13" s="339" t="n"/>
      <c r="O13" s="340" t="n"/>
      <c r="P13" s="459" t="n"/>
      <c r="Q13" s="499" t="n"/>
      <c r="R13" s="499" t="n"/>
      <c r="S13" s="499" t="n"/>
    </row>
    <row r="14">
      <c r="A14" s="544" t="inlineStr">
        <is>
          <t>Categories and groups</t>
        </is>
      </c>
      <c r="B14" s="339" t="n"/>
      <c r="C14" s="340" t="n"/>
      <c r="D14" s="545" t="inlineStr">
        <is>
          <t>Demonstrates instrument categories and instrument groups within each category</t>
        </is>
      </c>
      <c r="E14" s="339" t="n"/>
      <c r="F14" s="339" t="n"/>
      <c r="G14" s="339" t="n"/>
      <c r="H14" s="339" t="n"/>
      <c r="I14" s="339" t="n"/>
      <c r="J14" s="339" t="n"/>
      <c r="K14" s="339" t="n"/>
      <c r="L14" s="339" t="n"/>
      <c r="M14" s="339" t="n"/>
      <c r="N14" s="339" t="n"/>
      <c r="O14" s="340" t="n"/>
      <c r="P14" s="459" t="n"/>
      <c r="Q14" s="499" t="n"/>
      <c r="R14" s="499" t="n"/>
      <c r="S14" s="499" t="n"/>
    </row>
    <row r="15">
      <c r="A15" s="546" t="inlineStr">
        <is>
          <t>Summary</t>
        </is>
      </c>
      <c r="B15" s="339" t="n"/>
      <c r="C15" s="340" t="n"/>
      <c r="D15" s="545"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459" t="n"/>
      <c r="Q15" s="499" t="n"/>
      <c r="R15" s="499" t="n"/>
      <c r="S15" s="499" t="n"/>
    </row>
    <row r="16">
      <c r="A16" s="544" t="inlineStr">
        <is>
          <t>Approaches</t>
        </is>
      </c>
      <c r="B16" s="339" t="n"/>
      <c r="C16" s="340" t="n"/>
      <c r="D16" s="545"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459" t="n"/>
      <c r="Q16" s="499" t="n"/>
      <c r="R16" s="499" t="n"/>
      <c r="S16" s="499" t="n"/>
    </row>
    <row r="17">
      <c r="A17" s="544" t="inlineStr">
        <is>
          <t>Instruments overview</t>
        </is>
      </c>
      <c r="B17" s="339" t="n"/>
      <c r="C17" s="340" t="n"/>
      <c r="D17" s="545" t="inlineStr">
        <is>
          <t>Provides a simplified summary table of all policy instruments collected to date</t>
        </is>
      </c>
      <c r="E17" s="339" t="n"/>
      <c r="F17" s="339" t="n"/>
      <c r="G17" s="339" t="n"/>
      <c r="H17" s="339" t="n"/>
      <c r="I17" s="339" t="n"/>
      <c r="J17" s="339" t="n"/>
      <c r="K17" s="339" t="n"/>
      <c r="L17" s="339" t="n"/>
      <c r="M17" s="339" t="n"/>
      <c r="N17" s="339" t="n"/>
      <c r="O17" s="340" t="n"/>
      <c r="P17" s="459" t="n"/>
      <c r="Q17" s="499" t="n"/>
      <c r="R17" s="499" t="n"/>
      <c r="S17" s="499" t="n"/>
    </row>
    <row r="18">
      <c r="A18" s="547" t="inlineStr">
        <is>
          <t>Economic instruments</t>
        </is>
      </c>
      <c r="B18" s="339" t="n"/>
      <c r="C18" s="340" t="n"/>
      <c r="D18" s="545" t="inlineStr">
        <is>
          <t>Displays information for the Economic Instruments</t>
        </is>
      </c>
      <c r="E18" s="339" t="n"/>
      <c r="F18" s="339" t="n"/>
      <c r="G18" s="339" t="n"/>
      <c r="H18" s="339" t="n"/>
      <c r="I18" s="339" t="n"/>
      <c r="J18" s="339" t="n"/>
      <c r="K18" s="339" t="n"/>
      <c r="L18" s="339" t="n"/>
      <c r="M18" s="339" t="n"/>
      <c r="N18" s="339" t="n"/>
      <c r="O18" s="340" t="n"/>
      <c r="P18" s="459" t="n"/>
      <c r="Q18" s="499" t="n"/>
      <c r="R18" s="499" t="n"/>
      <c r="S18" s="499" t="n"/>
    </row>
    <row r="19">
      <c r="A19" s="548" t="inlineStr">
        <is>
          <t>Regulatory instruments</t>
        </is>
      </c>
      <c r="B19" s="339" t="n"/>
      <c r="C19" s="340" t="n"/>
      <c r="D19" s="545" t="inlineStr">
        <is>
          <t>Displays information for the Regulatory Instruments</t>
        </is>
      </c>
      <c r="E19" s="339" t="n"/>
      <c r="F19" s="339" t="n"/>
      <c r="G19" s="339" t="n"/>
      <c r="H19" s="339" t="n"/>
      <c r="I19" s="339" t="n"/>
      <c r="J19" s="339" t="n"/>
      <c r="K19" s="339" t="n"/>
      <c r="L19" s="339" t="n"/>
      <c r="M19" s="339" t="n"/>
      <c r="N19" s="339" t="n"/>
      <c r="O19" s="340" t="n"/>
      <c r="P19" s="459" t="n"/>
      <c r="Q19" s="499" t="n"/>
      <c r="R19" s="499" t="n"/>
      <c r="S19" s="499" t="n"/>
    </row>
    <row r="20">
      <c r="A20" s="549" t="inlineStr">
        <is>
          <t>Government I&amp;C</t>
        </is>
      </c>
      <c r="B20" s="339" t="n"/>
      <c r="C20" s="340" t="n"/>
      <c r="D20" s="545" t="inlineStr">
        <is>
          <t>Displays information for the Government Investment &amp; Consumption Instruments</t>
        </is>
      </c>
      <c r="E20" s="339" t="n"/>
      <c r="F20" s="339" t="n"/>
      <c r="G20" s="339" t="n"/>
      <c r="H20" s="339" t="n"/>
      <c r="I20" s="339" t="n"/>
      <c r="J20" s="339" t="n"/>
      <c r="K20" s="339" t="n"/>
      <c r="L20" s="339" t="n"/>
      <c r="M20" s="339" t="n"/>
      <c r="N20" s="339" t="n"/>
      <c r="O20" s="340" t="n"/>
      <c r="P20" s="459" t="n"/>
      <c r="Q20" s="499" t="n"/>
      <c r="R20" s="499" t="n"/>
      <c r="S20" s="499" t="n"/>
    </row>
    <row r="21">
      <c r="A21" s="550" t="inlineStr">
        <is>
          <t>Information instruments</t>
        </is>
      </c>
      <c r="B21" s="339" t="n"/>
      <c r="C21" s="340" t="n"/>
      <c r="D21" s="545" t="inlineStr">
        <is>
          <t>Displays information for the Information Instruments</t>
        </is>
      </c>
      <c r="E21" s="339" t="n"/>
      <c r="F21" s="339" t="n"/>
      <c r="G21" s="339" t="n"/>
      <c r="H21" s="339" t="n"/>
      <c r="I21" s="339" t="n"/>
      <c r="J21" s="339" t="n"/>
      <c r="K21" s="339" t="n"/>
      <c r="L21" s="339" t="n"/>
      <c r="M21" s="339" t="n"/>
      <c r="N21" s="339" t="n"/>
      <c r="O21" s="340" t="n"/>
      <c r="P21" s="459" t="n"/>
      <c r="Q21" s="499" t="n"/>
      <c r="R21" s="499" t="n"/>
      <c r="S21" s="499" t="n"/>
    </row>
    <row r="22">
      <c r="A22" s="551" t="inlineStr">
        <is>
          <t>Voluntary approaches</t>
        </is>
      </c>
      <c r="B22" s="339" t="n"/>
      <c r="C22" s="340" t="n"/>
      <c r="D22" s="545" t="inlineStr">
        <is>
          <t>Displays information for the Voluntary Approaches</t>
        </is>
      </c>
      <c r="E22" s="339" t="n"/>
      <c r="F22" s="339" t="n"/>
      <c r="G22" s="339" t="n"/>
      <c r="H22" s="339" t="n"/>
      <c r="I22" s="339" t="n"/>
      <c r="J22" s="339" t="n"/>
      <c r="K22" s="339" t="n"/>
      <c r="L22" s="339" t="n"/>
      <c r="M22" s="339" t="n"/>
      <c r="N22" s="339" t="n"/>
      <c r="O22" s="340" t="n"/>
      <c r="P22" s="459" t="n"/>
      <c r="Q22" s="499" t="n"/>
      <c r="R22" s="499" t="n"/>
      <c r="S22" s="499" t="n"/>
    </row>
    <row r="23">
      <c r="A23" s="544" t="inlineStr">
        <is>
          <t>Attributes definitions</t>
        </is>
      </c>
      <c r="B23" s="339" t="n"/>
      <c r="C23" s="340" t="n"/>
      <c r="D23" s="545" t="inlineStr">
        <is>
          <t>Definitions of policy instrument attributes</t>
        </is>
      </c>
      <c r="E23" s="339" t="n"/>
      <c r="F23" s="339" t="n"/>
      <c r="G23" s="339" t="n"/>
      <c r="H23" s="339" t="n"/>
      <c r="I23" s="339" t="n"/>
      <c r="J23" s="339" t="n"/>
      <c r="K23" s="339" t="n"/>
      <c r="L23" s="339" t="n"/>
      <c r="M23" s="339" t="n"/>
      <c r="N23" s="339" t="n"/>
      <c r="O23" s="340" t="n"/>
      <c r="P23" s="459" t="n"/>
      <c r="Q23" s="499" t="n"/>
      <c r="R23" s="499" t="n"/>
      <c r="S23" s="499" t="n"/>
    </row>
    <row r="24">
      <c r="A24" s="552" t="inlineStr">
        <is>
          <t>Ended</t>
        </is>
      </c>
      <c r="B24" s="339" t="n"/>
      <c r="C24" s="340" t="n"/>
      <c r="D24" s="545"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459" t="n"/>
      <c r="Q24" s="499" t="n"/>
      <c r="R24" s="499" t="n"/>
      <c r="S24" s="499" t="n"/>
    </row>
    <row r="25">
      <c r="A25" s="542" t="n"/>
      <c r="B25" s="542" t="n"/>
      <c r="C25" s="542" t="n"/>
      <c r="D25" s="542" t="n"/>
      <c r="E25" s="542" t="n"/>
      <c r="F25" s="542" t="n"/>
      <c r="G25" s="542" t="n"/>
      <c r="H25" s="542" t="n"/>
      <c r="I25" s="542" t="n"/>
      <c r="J25" s="542" t="n"/>
      <c r="K25" s="542" t="n"/>
      <c r="L25" s="542" t="n"/>
      <c r="M25" s="542" t="n"/>
      <c r="N25" s="542" t="n"/>
      <c r="O25" s="542" t="n"/>
      <c r="P25" s="499" t="n"/>
      <c r="Q25" s="499" t="n"/>
      <c r="R25" s="499" t="n"/>
      <c r="S25" s="499" t="n"/>
    </row>
    <row r="26" ht="16.5" customHeight="1">
      <c r="A26" s="539" t="inlineStr">
        <is>
          <t>Legend</t>
        </is>
      </c>
      <c r="B26" s="540" t="n"/>
      <c r="C26" s="540" t="n"/>
      <c r="D26" s="540" t="n"/>
      <c r="E26" s="540" t="n"/>
      <c r="F26" s="540" t="n"/>
      <c r="G26" s="540" t="n"/>
      <c r="H26" s="540" t="n"/>
      <c r="I26" s="540" t="n"/>
      <c r="J26" s="540" t="n"/>
      <c r="K26" s="540" t="n"/>
      <c r="L26" s="540" t="n"/>
      <c r="M26" s="540" t="n"/>
      <c r="N26" s="540" t="n"/>
      <c r="O26" s="540" t="n"/>
      <c r="P26" s="499" t="n"/>
      <c r="Q26" s="499" t="n"/>
      <c r="R26" s="499" t="n"/>
      <c r="S26" s="499" t="n"/>
    </row>
    <row r="27">
      <c r="A27" s="553" t="inlineStr">
        <is>
          <t>Bold text</t>
        </is>
      </c>
      <c r="B27" s="339" t="n"/>
      <c r="C27" s="340" t="n"/>
      <c r="D27" s="554" t="inlineStr">
        <is>
          <t>Policy instrument</t>
        </is>
      </c>
      <c r="E27" s="339" t="n"/>
      <c r="F27" s="339" t="n"/>
      <c r="G27" s="339" t="n"/>
      <c r="H27" s="339" t="n"/>
      <c r="I27" s="339" t="n"/>
      <c r="J27" s="339" t="n"/>
      <c r="K27" s="339" t="n"/>
      <c r="L27" s="339" t="n"/>
      <c r="M27" s="339" t="n"/>
      <c r="N27" s="339" t="n"/>
      <c r="O27" s="340" t="n"/>
      <c r="P27" s="459" t="n"/>
      <c r="Q27" s="499" t="n"/>
      <c r="R27" s="499" t="n"/>
      <c r="S27" s="499" t="n"/>
    </row>
    <row r="28">
      <c r="A28" s="555" t="inlineStr">
        <is>
          <t>Unbolded text</t>
        </is>
      </c>
      <c r="B28" s="339" t="n"/>
      <c r="C28" s="340" t="n"/>
      <c r="D28" s="545" t="inlineStr">
        <is>
          <t>Sub-schemes of the policy instrument</t>
        </is>
      </c>
      <c r="E28" s="339" t="n"/>
      <c r="F28" s="339" t="n"/>
      <c r="G28" s="339" t="n"/>
      <c r="H28" s="339" t="n"/>
      <c r="I28" s="339" t="n"/>
      <c r="J28" s="339" t="n"/>
      <c r="K28" s="339" t="n"/>
      <c r="L28" s="339" t="n"/>
      <c r="M28" s="339" t="n"/>
      <c r="N28" s="339" t="n"/>
      <c r="O28" s="340" t="n"/>
      <c r="P28" s="459" t="n"/>
      <c r="Q28" s="499" t="n"/>
      <c r="R28" s="499" t="n"/>
      <c r="S28" s="499" t="n"/>
    </row>
    <row r="29">
      <c r="A29" s="542" t="n"/>
      <c r="B29" s="542" t="n"/>
      <c r="C29" s="542" t="n"/>
      <c r="D29" s="542" t="n"/>
      <c r="E29" s="542" t="n"/>
      <c r="F29" s="542" t="n"/>
      <c r="G29" s="542" t="n"/>
      <c r="H29" s="542" t="n"/>
      <c r="I29" s="542" t="n"/>
      <c r="J29" s="542" t="n"/>
      <c r="K29" s="542" t="n"/>
      <c r="L29" s="542" t="n"/>
      <c r="M29" s="542" t="n"/>
      <c r="N29" s="542" t="n"/>
      <c r="O29" s="542" t="n"/>
      <c r="P29" s="499" t="n"/>
      <c r="Q29" s="499" t="n"/>
      <c r="R29" s="499" t="n"/>
      <c r="S29" s="499" t="n"/>
    </row>
    <row r="30">
      <c r="A30" s="534" t="n"/>
      <c r="B30" s="534" t="n"/>
      <c r="C30" s="534" t="n"/>
      <c r="D30" s="534" t="n"/>
      <c r="E30" s="534" t="n"/>
      <c r="F30" s="534" t="n"/>
      <c r="G30" s="534" t="n"/>
      <c r="H30" s="534" t="n"/>
      <c r="I30" s="534" t="n"/>
      <c r="J30" s="534" t="n"/>
      <c r="K30" s="534" t="n"/>
      <c r="L30" s="534" t="n"/>
      <c r="M30" s="534" t="n"/>
      <c r="N30" s="534" t="n"/>
      <c r="O30" s="534" t="n"/>
      <c r="P30" s="499" t="n"/>
      <c r="Q30" s="499" t="n"/>
      <c r="R30" s="499" t="n"/>
      <c r="S30" s="499" t="n"/>
    </row>
    <row r="31" ht="16.5" customHeight="1">
      <c r="A31" s="556" t="inlineStr">
        <is>
          <t>MGF Lab contact</t>
        </is>
      </c>
      <c r="B31" s="110" t="n"/>
      <c r="C31" s="534" t="n"/>
      <c r="D31" s="534" t="n"/>
      <c r="E31" s="534" t="n"/>
      <c r="F31" s="534" t="n"/>
      <c r="G31" s="534" t="n"/>
      <c r="H31" s="534" t="n"/>
      <c r="I31" s="534" t="n"/>
      <c r="J31" s="534" t="n"/>
      <c r="K31" s="534" t="n"/>
      <c r="L31" s="534" t="n"/>
      <c r="M31" s="534" t="n"/>
      <c r="N31" s="534" t="n"/>
      <c r="O31" s="534" t="n"/>
      <c r="P31" s="499" t="n"/>
      <c r="Q31" s="499" t="n"/>
      <c r="R31" s="499" t="n"/>
      <c r="S31" s="499" t="n"/>
    </row>
    <row r="32">
      <c r="A32" s="556" t="inlineStr">
        <is>
          <t>Danqing Shao</t>
        </is>
      </c>
      <c r="B32" s="557" t="inlineStr">
        <is>
          <t>dqshao@nsd.pku.edu.cn</t>
        </is>
      </c>
      <c r="C32" s="110" t="n"/>
      <c r="D32" s="534" t="n"/>
      <c r="E32" s="534" t="n"/>
      <c r="F32" s="534" t="n"/>
      <c r="G32" s="534" t="n"/>
      <c r="H32" s="534" t="n"/>
      <c r="I32" s="534" t="n"/>
      <c r="J32" s="534" t="n"/>
      <c r="K32" s="534" t="n"/>
      <c r="L32" s="534" t="n"/>
      <c r="M32" s="534" t="n"/>
      <c r="N32" s="534" t="n"/>
      <c r="O32" s="534" t="n"/>
      <c r="P32" s="499" t="n"/>
      <c r="Q32" s="499" t="n"/>
      <c r="R32" s="499" t="n"/>
      <c r="S32" s="499" t="n"/>
    </row>
    <row r="33">
      <c r="A33" s="556" t="inlineStr">
        <is>
          <t>Xiaobei He</t>
        </is>
      </c>
      <c r="B33" s="557" t="inlineStr">
        <is>
          <t>xbhe@nsd.pku.edu.cn</t>
        </is>
      </c>
      <c r="C33" s="110" t="n"/>
      <c r="D33" s="534" t="n"/>
      <c r="E33" s="534" t="n"/>
      <c r="F33" s="534" t="n"/>
      <c r="G33" s="534" t="n"/>
      <c r="H33" s="534" t="n"/>
      <c r="I33" s="534" t="n"/>
      <c r="J33" s="534" t="n"/>
      <c r="K33" s="534" t="n"/>
      <c r="L33" s="534" t="n"/>
      <c r="M33" s="534" t="n"/>
      <c r="N33" s="534" t="n"/>
      <c r="O33" s="534" t="n"/>
      <c r="P33" s="499" t="n"/>
      <c r="Q33" s="499" t="n"/>
      <c r="R33" s="499" t="n"/>
      <c r="S33" s="499" t="n"/>
    </row>
  </sheetData>
  <mergeCells count="39">
    <mergeCell ref="A7:O7"/>
    <mergeCell ref="D13:O13"/>
    <mergeCell ref="D11:O11"/>
    <mergeCell ref="D27:O27"/>
    <mergeCell ref="A18:C18"/>
    <mergeCell ref="A27:C27"/>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D24:O24"/>
    <mergeCell ref="A19:C19"/>
    <mergeCell ref="D15:O15"/>
    <mergeCell ref="D23:O23"/>
    <mergeCell ref="D14:O14"/>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559"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560" t="n"/>
      <c r="Q1" s="560" t="n"/>
      <c r="R1" s="560" t="n"/>
      <c r="S1" s="560" t="n"/>
      <c r="T1" s="560" t="n"/>
      <c r="U1" s="560" t="n"/>
    </row>
    <row r="2" ht="15.75" customHeight="1">
      <c r="A2" s="560" t="n"/>
      <c r="B2" s="560" t="n"/>
      <c r="C2" s="560" t="n"/>
      <c r="D2" s="560" t="n"/>
      <c r="E2" s="560" t="n"/>
      <c r="F2" s="560" t="n"/>
      <c r="G2" s="560" t="n"/>
      <c r="H2" s="560" t="n"/>
      <c r="I2" s="560" t="n"/>
      <c r="J2" s="560" t="n"/>
      <c r="K2" s="560" t="n"/>
      <c r="L2" s="560" t="n"/>
      <c r="M2" s="560" t="n"/>
      <c r="N2" s="560" t="n"/>
      <c r="O2" s="560" t="n"/>
      <c r="P2" s="560" t="n"/>
      <c r="Q2" s="560" t="n"/>
      <c r="R2" s="560" t="n"/>
      <c r="S2" s="560" t="n"/>
      <c r="T2" s="560" t="n"/>
      <c r="U2" s="560" t="n"/>
    </row>
    <row r="3" ht="30" customHeight="1">
      <c r="A3" s="561" t="inlineStr">
        <is>
          <t>Classification Structure</t>
        </is>
      </c>
      <c r="B3" s="337" t="n"/>
      <c r="C3" s="562" t="n"/>
      <c r="D3" s="562" t="n"/>
      <c r="E3" s="562" t="n"/>
      <c r="F3" s="562" t="n"/>
      <c r="G3" s="560" t="n"/>
      <c r="H3" s="560" t="n"/>
      <c r="I3" s="560" t="n"/>
      <c r="J3" s="560" t="n"/>
      <c r="K3" s="560" t="n"/>
      <c r="L3" s="560" t="n"/>
      <c r="M3" s="560" t="n"/>
      <c r="N3" s="560" t="n"/>
      <c r="O3" s="560" t="n"/>
      <c r="P3" s="560" t="n"/>
      <c r="Q3" s="560" t="n"/>
      <c r="R3" s="560" t="n"/>
      <c r="S3" s="560" t="n"/>
      <c r="T3" s="560" t="n"/>
      <c r="U3" s="560" t="n"/>
    </row>
    <row r="4" ht="15.75" customHeight="1">
      <c r="A4" s="563" t="inlineStr">
        <is>
          <t>Level</t>
        </is>
      </c>
      <c r="B4" s="563" t="inlineStr">
        <is>
          <t>Name</t>
        </is>
      </c>
      <c r="C4" s="563" t="inlineStr">
        <is>
          <t>Chinese Name</t>
        </is>
      </c>
      <c r="D4" s="563" t="inlineStr">
        <is>
          <t>Definition</t>
        </is>
      </c>
      <c r="E4" s="563" t="inlineStr">
        <is>
          <t>Purpose in Dataset</t>
        </is>
      </c>
      <c r="F4" s="563" t="inlineStr">
        <is>
          <t>Example</t>
        </is>
      </c>
      <c r="G4" s="564" t="n"/>
      <c r="H4" s="560" t="n"/>
      <c r="I4" s="560" t="n"/>
      <c r="J4" s="560" t="n"/>
      <c r="K4" s="560" t="n"/>
      <c r="L4" s="560" t="n"/>
      <c r="M4" s="560" t="n"/>
      <c r="N4" s="560" t="n"/>
      <c r="O4" s="560" t="n"/>
      <c r="P4" s="560" t="n"/>
      <c r="Q4" s="560" t="n"/>
      <c r="R4" s="560" t="n"/>
      <c r="S4" s="560" t="n"/>
      <c r="T4" s="560" t="n"/>
      <c r="U4" s="560" t="n"/>
    </row>
    <row r="5" ht="60" customHeight="1">
      <c r="A5" s="565" t="n">
        <v>1</v>
      </c>
      <c r="B5" s="566" t="inlineStr">
        <is>
          <t>Category</t>
        </is>
      </c>
      <c r="C5" s="565" t="inlineStr">
        <is>
          <t>类别</t>
        </is>
      </c>
      <c r="D5" s="567" t="inlineStr">
        <is>
          <t>High-level classification based on the policy instrument’s operating mechanism</t>
        </is>
      </c>
      <c r="E5" s="567" t="inlineStr">
        <is>
          <t>Provides overall structure and enables broad comparison across policy types</t>
        </is>
      </c>
      <c r="F5" s="567" t="inlineStr">
        <is>
          <t>Economic instruments; 
Regulatory instruments; 
Information instruments</t>
        </is>
      </c>
      <c r="G5" s="564" t="n"/>
      <c r="H5" s="560" t="n"/>
      <c r="I5" s="560" t="n"/>
      <c r="J5" s="560" t="n"/>
      <c r="K5" s="560" t="n"/>
      <c r="L5" s="560" t="n"/>
      <c r="M5" s="560" t="n"/>
      <c r="N5" s="560" t="n"/>
      <c r="O5" s="560" t="n"/>
      <c r="P5" s="560" t="n"/>
      <c r="Q5" s="560" t="n"/>
      <c r="R5" s="560" t="n"/>
      <c r="S5" s="560" t="n"/>
      <c r="T5" s="560" t="n"/>
      <c r="U5" s="560" t="n"/>
    </row>
    <row r="6" ht="45" customHeight="1">
      <c r="A6" s="565" t="n">
        <v>2</v>
      </c>
      <c r="B6" s="566" t="inlineStr">
        <is>
          <t>Group</t>
        </is>
      </c>
      <c r="C6" s="565" t="inlineStr">
        <is>
          <t>组别</t>
        </is>
      </c>
      <c r="D6" s="567" t="inlineStr">
        <is>
          <t>Functional grouping of instruments within each category</t>
        </is>
      </c>
      <c r="E6" s="567" t="inlineStr">
        <is>
          <t>Organises instruments by regulatory function or policy logic</t>
        </is>
      </c>
      <c r="F6" s="567" t="inlineStr">
        <is>
          <t>Under regulatory instruments: 
Performance standards; 
Technology standards</t>
        </is>
      </c>
      <c r="G6" s="564" t="n"/>
      <c r="H6" s="560" t="n"/>
      <c r="I6" s="560" t="n"/>
      <c r="J6" s="560" t="n"/>
      <c r="K6" s="560" t="n"/>
      <c r="L6" s="560" t="n"/>
      <c r="M6" s="560" t="n"/>
      <c r="N6" s="560" t="n"/>
      <c r="O6" s="560" t="n"/>
      <c r="P6" s="560" t="n"/>
      <c r="Q6" s="560" t="n"/>
      <c r="R6" s="560" t="n"/>
      <c r="S6" s="560" t="n"/>
      <c r="T6" s="560" t="n"/>
      <c r="U6" s="560" t="n"/>
    </row>
    <row r="7" ht="90" customHeight="1">
      <c r="A7" s="565" t="n">
        <v>3</v>
      </c>
      <c r="B7" s="566" t="inlineStr">
        <is>
          <t>Approach</t>
        </is>
      </c>
      <c r="C7" s="565" t="inlineStr">
        <is>
          <t>路径</t>
        </is>
      </c>
      <c r="D7" s="567" t="inlineStr">
        <is>
          <t>A standardised and internationally comparable policy approach that groups instruments with similar design and regulatory logic</t>
        </is>
      </c>
      <c r="E7" s="567" t="inlineStr">
        <is>
          <t>Core level for cross-country comparability</t>
        </is>
      </c>
      <c r="F7" s="567" t="inlineStr">
        <is>
          <t>Under performance standards:
Minimum Energy Performance Standards (MEPS) for electric appliances; 
Fuel economy standards</t>
        </is>
      </c>
      <c r="G7" s="564" t="n"/>
      <c r="H7" s="560" t="n"/>
      <c r="I7" s="560" t="n"/>
      <c r="J7" s="560" t="n"/>
      <c r="K7" s="560" t="n"/>
      <c r="L7" s="560" t="n"/>
      <c r="M7" s="560" t="n"/>
      <c r="N7" s="560" t="n"/>
      <c r="O7" s="560" t="n"/>
      <c r="P7" s="560" t="n"/>
      <c r="Q7" s="560" t="n"/>
      <c r="R7" s="560" t="n"/>
      <c r="S7" s="560" t="n"/>
      <c r="T7" s="560" t="n"/>
      <c r="U7" s="560" t="n"/>
    </row>
    <row r="8" ht="60" customHeight="1">
      <c r="A8" s="565" t="n">
        <v>4</v>
      </c>
      <c r="B8" s="566" t="inlineStr">
        <is>
          <t>Instrument</t>
        </is>
      </c>
      <c r="C8" s="565" t="inlineStr">
        <is>
          <t>工具</t>
        </is>
      </c>
      <c r="D8" s="567" t="inlineStr">
        <is>
          <t>A specific legal or regulatory measure implemented in a jurisdiction at a given time</t>
        </is>
      </c>
      <c r="E8" s="567" t="inlineStr">
        <is>
          <t>Primary unit of observation in the dataset; reflects country-specific policy design</t>
        </is>
      </c>
      <c r="F8" s="567" t="inlineStr">
        <is>
          <t>Under MEPS for electric appliances:
MEPS for power transformer; 
MEPS for monitor; 
MEPS for air purifier</t>
        </is>
      </c>
      <c r="G8" s="564" t="n"/>
      <c r="H8" s="560" t="n"/>
      <c r="I8" s="560" t="n"/>
      <c r="J8" s="560" t="n"/>
      <c r="K8" s="560" t="n"/>
      <c r="L8" s="560" t="n"/>
      <c r="M8" s="560" t="n"/>
      <c r="N8" s="560" t="n"/>
      <c r="O8" s="560" t="n"/>
      <c r="P8" s="560" t="n"/>
      <c r="Q8" s="560" t="n"/>
      <c r="R8" s="560" t="n"/>
      <c r="S8" s="560" t="n"/>
      <c r="T8" s="560" t="n"/>
      <c r="U8" s="560" t="n"/>
    </row>
    <row r="9" ht="47.25" customHeight="1">
      <c r="A9" s="361" t="n"/>
      <c r="B9" s="568" t="inlineStr">
        <is>
          <t>Sub-scheme (optional)</t>
        </is>
      </c>
      <c r="C9" s="569" t="inlineStr">
        <is>
          <t>子方案（可选）</t>
        </is>
      </c>
      <c r="D9" s="570" t="inlineStr">
        <is>
          <t>Variations within a single instrument reflecting differentiated requirements, exemptions, or implementation phases</t>
        </is>
      </c>
      <c r="E9" s="570" t="inlineStr">
        <is>
          <t>Captures within-instrument heterogeneity when relevant</t>
        </is>
      </c>
      <c r="F9" s="570" t="inlineStr">
        <is>
          <t>Efficiency tiers (e.g. Grade 1 / Grade 2); Phase-in periods</t>
        </is>
      </c>
      <c r="G9" s="464" t="n"/>
      <c r="H9" s="464" t="n"/>
      <c r="I9" s="464" t="n"/>
      <c r="J9" s="464" t="n"/>
      <c r="K9" s="464" t="n"/>
      <c r="L9" s="464" t="n"/>
      <c r="M9" s="464" t="n"/>
      <c r="N9" s="464" t="n"/>
      <c r="O9" s="464" t="n"/>
      <c r="P9" s="464" t="n"/>
      <c r="Q9" s="464" t="n"/>
      <c r="R9" s="464" t="n"/>
      <c r="S9" s="464" t="n"/>
      <c r="T9" s="464" t="n"/>
      <c r="U9" s="464" t="n"/>
    </row>
    <row r="10" ht="30" customHeight="1">
      <c r="A10" s="571" t="n"/>
      <c r="B10" s="571" t="n"/>
      <c r="C10" s="571" t="n"/>
      <c r="D10" s="571" t="n"/>
      <c r="E10" s="571" t="n"/>
      <c r="F10" s="571" t="n"/>
      <c r="G10" s="560" t="n"/>
      <c r="H10" s="560" t="n"/>
      <c r="I10" s="560" t="n"/>
      <c r="J10" s="560" t="n"/>
      <c r="K10" s="560" t="n"/>
      <c r="L10" s="560" t="n"/>
      <c r="M10" s="560" t="n"/>
      <c r="N10" s="560" t="n"/>
      <c r="O10" s="560" t="n"/>
      <c r="P10" s="560" t="n"/>
      <c r="Q10" s="560" t="n"/>
      <c r="R10" s="560" t="n"/>
      <c r="S10" s="560" t="n"/>
      <c r="T10" s="560" t="n"/>
      <c r="U10" s="560" t="n"/>
    </row>
    <row r="11" ht="30" customHeight="1">
      <c r="A11" s="572" t="inlineStr">
        <is>
          <t>Counting Rules</t>
        </is>
      </c>
      <c r="B11" s="464" t="n"/>
      <c r="C11" s="560" t="n"/>
      <c r="D11" s="560" t="n"/>
      <c r="E11" s="560" t="n"/>
      <c r="F11" s="560" t="n"/>
      <c r="G11" s="560" t="n"/>
      <c r="H11" s="560" t="n"/>
      <c r="I11" s="560" t="n"/>
      <c r="J11" s="560" t="n"/>
      <c r="K11" s="560" t="n"/>
      <c r="L11" s="560" t="n"/>
      <c r="M11" s="560" t="n"/>
      <c r="N11" s="560" t="n"/>
      <c r="O11" s="560" t="n"/>
      <c r="P11" s="560" t="n"/>
      <c r="Q11" s="560" t="n"/>
      <c r="R11" s="560" t="n"/>
      <c r="S11" s="560" t="n"/>
      <c r="T11" s="560" t="n"/>
      <c r="U11" s="560" t="n"/>
    </row>
    <row r="12" ht="30" customHeight="1">
      <c r="A12" s="573" t="inlineStr">
        <is>
          <t>Approach level</t>
        </is>
      </c>
      <c r="B12" s="499" t="inlineStr">
        <is>
          <t>Counted once for comparability</t>
        </is>
      </c>
      <c r="C12" s="560" t="n"/>
      <c r="D12" s="560" t="n"/>
      <c r="E12" s="560" t="n"/>
      <c r="F12" s="560" t="n"/>
      <c r="G12" s="560" t="n"/>
      <c r="H12" s="560" t="n"/>
      <c r="I12" s="560" t="n"/>
      <c r="J12" s="560" t="n"/>
      <c r="K12" s="560" t="n"/>
      <c r="L12" s="560" t="n"/>
      <c r="M12" s="560" t="n"/>
      <c r="N12" s="560" t="n"/>
      <c r="O12" s="560" t="n"/>
      <c r="P12" s="560" t="n"/>
      <c r="Q12" s="560" t="n"/>
      <c r="R12" s="560" t="n"/>
      <c r="S12" s="560" t="n"/>
      <c r="T12" s="560" t="n"/>
      <c r="U12" s="560" t="n"/>
    </row>
    <row r="13" ht="30" customHeight="1">
      <c r="A13" s="573" t="inlineStr">
        <is>
          <t>Instrument level</t>
        </is>
      </c>
      <c r="B13" s="499" t="inlineStr">
        <is>
          <t>Counted separately for each policy</t>
        </is>
      </c>
      <c r="C13" s="560" t="n"/>
      <c r="D13" s="560" t="n"/>
      <c r="E13" s="560" t="n"/>
      <c r="F13" s="560" t="n"/>
      <c r="G13" s="560" t="n"/>
      <c r="H13" s="560" t="n"/>
      <c r="I13" s="560" t="n"/>
      <c r="J13" s="560" t="n"/>
      <c r="K13" s="560" t="n"/>
      <c r="L13" s="560" t="n"/>
      <c r="M13" s="560" t="n"/>
      <c r="N13" s="560" t="n"/>
      <c r="O13" s="560" t="n"/>
      <c r="P13" s="560" t="n"/>
      <c r="Q13" s="560" t="n"/>
      <c r="R13" s="560" t="n"/>
      <c r="S13" s="560" t="n"/>
      <c r="T13" s="560" t="n"/>
      <c r="U13" s="560" t="n"/>
    </row>
    <row r="14" ht="45" customHeight="1">
      <c r="A14" s="573" t="inlineStr">
        <is>
          <t>Sub-scheme level</t>
        </is>
      </c>
      <c r="B14" s="499" t="inlineStr">
        <is>
          <t>Not counted as independent instruments</t>
        </is>
      </c>
      <c r="C14" s="560" t="n"/>
      <c r="D14" s="560" t="n"/>
      <c r="E14" s="560" t="n"/>
      <c r="F14" s="560" t="n"/>
      <c r="G14" s="560" t="n"/>
      <c r="H14" s="560" t="n"/>
      <c r="I14" s="560" t="n"/>
      <c r="J14" s="560" t="n"/>
      <c r="K14" s="560" t="n"/>
      <c r="L14" s="560" t="n"/>
      <c r="M14" s="560" t="n"/>
      <c r="N14" s="560" t="n"/>
      <c r="O14" s="560" t="n"/>
      <c r="P14" s="560" t="n"/>
      <c r="Q14" s="560" t="n"/>
      <c r="R14" s="560" t="n"/>
      <c r="S14" s="560" t="n"/>
      <c r="T14" s="560" t="n"/>
      <c r="U14" s="560" t="n"/>
    </row>
    <row r="15">
      <c r="A15" s="560" t="n"/>
      <c r="B15" s="560" t="n"/>
      <c r="C15" s="560" t="n"/>
      <c r="D15" s="560" t="n"/>
      <c r="E15" s="560" t="n"/>
      <c r="F15" s="560" t="n"/>
      <c r="G15" s="560" t="n"/>
      <c r="H15" s="560" t="n"/>
      <c r="I15" s="560" t="n"/>
      <c r="J15" s="560" t="n"/>
      <c r="K15" s="560" t="n"/>
      <c r="L15" s="560" t="n"/>
      <c r="M15" s="560" t="n"/>
      <c r="N15" s="560" t="n"/>
      <c r="O15" s="560" t="n"/>
      <c r="P15" s="560" t="n"/>
      <c r="Q15" s="560" t="n"/>
      <c r="R15" s="560" t="n"/>
      <c r="S15" s="560" t="n"/>
      <c r="T15" s="560" t="n"/>
      <c r="U15" s="560" t="n"/>
    </row>
    <row r="16">
      <c r="A16" s="560" t="n"/>
      <c r="B16" s="560" t="n"/>
      <c r="C16" s="560" t="n"/>
      <c r="D16" s="560" t="n"/>
      <c r="E16" s="560" t="n"/>
      <c r="F16" s="560" t="n"/>
      <c r="G16" s="560" t="n"/>
      <c r="H16" s="560" t="n"/>
      <c r="I16" s="560" t="n"/>
      <c r="J16" s="560" t="n"/>
      <c r="K16" s="560" t="n"/>
      <c r="L16" s="560" t="n"/>
      <c r="M16" s="560" t="n"/>
      <c r="N16" s="560" t="n"/>
      <c r="O16" s="560" t="n"/>
      <c r="P16" s="560" t="n"/>
      <c r="Q16" s="560" t="n"/>
      <c r="R16" s="560" t="n"/>
      <c r="S16" s="560" t="n"/>
      <c r="T16" s="560" t="n"/>
      <c r="U16" s="560" t="n"/>
    </row>
    <row r="17">
      <c r="A17" s="560" t="n"/>
      <c r="B17" s="560" t="n"/>
      <c r="C17" s="560" t="n"/>
      <c r="D17" s="560" t="n"/>
      <c r="E17" s="560" t="n"/>
      <c r="F17" s="560" t="n"/>
      <c r="G17" s="560" t="n"/>
      <c r="H17" s="560" t="n"/>
      <c r="I17" s="560" t="n"/>
      <c r="J17" s="560" t="n"/>
      <c r="K17" s="560" t="n"/>
      <c r="L17" s="560" t="n"/>
      <c r="M17" s="560" t="n"/>
      <c r="N17" s="560" t="n"/>
      <c r="O17" s="560" t="n"/>
      <c r="P17" s="560" t="n"/>
      <c r="Q17" s="560" t="n"/>
      <c r="R17" s="560" t="n"/>
      <c r="S17" s="560" t="n"/>
      <c r="T17" s="560" t="n"/>
      <c r="U17" s="560" t="n"/>
    </row>
    <row r="18">
      <c r="A18" s="560" t="n"/>
      <c r="B18" s="560" t="n"/>
      <c r="C18" s="560" t="n"/>
      <c r="D18" s="560" t="n"/>
      <c r="E18" s="560" t="n"/>
      <c r="F18" s="560" t="n"/>
      <c r="G18" s="560" t="n"/>
      <c r="H18" s="560" t="n"/>
      <c r="I18" s="560" t="n"/>
      <c r="J18" s="560" t="n"/>
      <c r="K18" s="560" t="n"/>
      <c r="L18" s="560" t="n"/>
      <c r="M18" s="560" t="n"/>
      <c r="N18" s="560" t="n"/>
      <c r="O18" s="560" t="n"/>
      <c r="P18" s="560" t="n"/>
      <c r="Q18" s="560" t="n"/>
      <c r="R18" s="560" t="n"/>
      <c r="S18" s="560" t="n"/>
      <c r="T18" s="560" t="n"/>
      <c r="U18" s="560" t="n"/>
    </row>
    <row r="19">
      <c r="A19" s="560" t="n"/>
      <c r="B19" s="560" t="n"/>
      <c r="C19" s="560" t="n"/>
      <c r="D19" s="560" t="n"/>
      <c r="E19" s="560" t="n"/>
      <c r="F19" s="560" t="n"/>
      <c r="G19" s="560" t="n"/>
      <c r="H19" s="560" t="n"/>
      <c r="I19" s="560" t="n"/>
      <c r="J19" s="560" t="n"/>
      <c r="K19" s="560" t="n"/>
      <c r="L19" s="560" t="n"/>
      <c r="M19" s="560" t="n"/>
      <c r="N19" s="560" t="n"/>
      <c r="O19" s="560" t="n"/>
      <c r="P19" s="560" t="n"/>
      <c r="Q19" s="560" t="n"/>
      <c r="R19" s="560" t="n"/>
      <c r="S19" s="560" t="n"/>
      <c r="T19" s="560" t="n"/>
      <c r="U19" s="560" t="n"/>
    </row>
    <row r="20">
      <c r="A20" s="560" t="n"/>
      <c r="B20" s="560" t="n"/>
      <c r="C20" s="560" t="n"/>
      <c r="D20" s="560" t="n"/>
      <c r="E20" s="560" t="n"/>
      <c r="F20" s="560" t="n"/>
      <c r="G20" s="560" t="n"/>
      <c r="H20" s="560" t="n"/>
      <c r="I20" s="560" t="n"/>
      <c r="J20" s="560" t="n"/>
      <c r="K20" s="560" t="n"/>
      <c r="L20" s="560" t="n"/>
      <c r="M20" s="560" t="n"/>
      <c r="N20" s="560" t="n"/>
      <c r="O20" s="560" t="n"/>
      <c r="P20" s="560" t="n"/>
      <c r="Q20" s="560" t="n"/>
      <c r="R20" s="560" t="n"/>
      <c r="S20" s="560" t="n"/>
      <c r="T20" s="560" t="n"/>
      <c r="U20" s="560" t="n"/>
    </row>
    <row r="21">
      <c r="A21" s="560" t="n"/>
      <c r="B21" s="560" t="n"/>
      <c r="C21" s="560" t="n"/>
      <c r="D21" s="560" t="n"/>
      <c r="E21" s="560" t="n"/>
      <c r="F21" s="560" t="n"/>
      <c r="G21" s="560" t="n"/>
      <c r="H21" s="560" t="n"/>
      <c r="I21" s="560" t="n"/>
      <c r="J21" s="560" t="n"/>
      <c r="K21" s="560" t="n"/>
      <c r="L21" s="560" t="n"/>
      <c r="M21" s="560" t="n"/>
      <c r="N21" s="560" t="n"/>
      <c r="O21" s="560" t="n"/>
      <c r="P21" s="560" t="n"/>
      <c r="Q21" s="560" t="n"/>
      <c r="R21" s="560" t="n"/>
      <c r="S21" s="560" t="n"/>
      <c r="T21" s="560" t="n"/>
      <c r="U21" s="560" t="n"/>
    </row>
    <row r="22">
      <c r="A22" s="560" t="n"/>
      <c r="B22" s="560" t="n"/>
      <c r="C22" s="560" t="n"/>
      <c r="D22" s="560" t="n"/>
      <c r="E22" s="560" t="n"/>
      <c r="F22" s="560" t="n"/>
      <c r="G22" s="560" t="n"/>
      <c r="H22" s="560" t="n"/>
      <c r="I22" s="560" t="n"/>
      <c r="J22" s="560" t="n"/>
      <c r="K22" s="560" t="n"/>
      <c r="L22" s="560" t="n"/>
      <c r="M22" s="560" t="n"/>
      <c r="N22" s="560" t="n"/>
      <c r="O22" s="560" t="n"/>
      <c r="P22" s="560" t="n"/>
      <c r="Q22" s="560" t="n"/>
      <c r="R22" s="560" t="n"/>
      <c r="S22" s="560" t="n"/>
      <c r="T22" s="560" t="n"/>
      <c r="U22" s="560" t="n"/>
    </row>
    <row r="23">
      <c r="A23" s="560" t="n"/>
      <c r="B23" s="560" t="n"/>
      <c r="C23" s="560" t="n"/>
      <c r="D23" s="560" t="n"/>
      <c r="E23" s="560" t="n"/>
      <c r="F23" s="560" t="n"/>
      <c r="G23" s="560" t="n"/>
      <c r="H23" s="560" t="n"/>
      <c r="I23" s="560" t="n"/>
      <c r="J23" s="560" t="n"/>
      <c r="K23" s="560" t="n"/>
      <c r="L23" s="560" t="n"/>
      <c r="M23" s="560" t="n"/>
      <c r="N23" s="560" t="n"/>
      <c r="O23" s="560" t="n"/>
      <c r="P23" s="560" t="n"/>
      <c r="Q23" s="560" t="n"/>
      <c r="R23" s="560" t="n"/>
      <c r="S23" s="560" t="n"/>
      <c r="T23" s="560" t="n"/>
      <c r="U23" s="560" t="n"/>
    </row>
    <row r="24">
      <c r="A24" s="560" t="n"/>
      <c r="B24" s="560" t="n"/>
      <c r="C24" s="560" t="n"/>
      <c r="D24" s="560" t="n"/>
      <c r="E24" s="560" t="n"/>
      <c r="F24" s="560" t="n"/>
      <c r="G24" s="560" t="n"/>
      <c r="H24" s="560" t="n"/>
      <c r="I24" s="560" t="n"/>
      <c r="J24" s="560" t="n"/>
      <c r="K24" s="560" t="n"/>
      <c r="L24" s="560" t="n"/>
      <c r="M24" s="560" t="n"/>
      <c r="N24" s="560" t="n"/>
      <c r="O24" s="560" t="n"/>
      <c r="P24" s="560" t="n"/>
      <c r="Q24" s="560" t="n"/>
      <c r="R24" s="560" t="n"/>
      <c r="S24" s="560" t="n"/>
      <c r="T24" s="560" t="n"/>
      <c r="U24" s="560" t="n"/>
    </row>
    <row r="25">
      <c r="A25" s="560" t="n"/>
      <c r="B25" s="560" t="n"/>
      <c r="C25" s="560" t="n"/>
      <c r="D25" s="560" t="n"/>
      <c r="E25" s="560" t="n"/>
      <c r="F25" s="560" t="n"/>
      <c r="G25" s="560" t="n"/>
      <c r="H25" s="560" t="n"/>
      <c r="I25" s="560" t="n"/>
      <c r="J25" s="560" t="n"/>
      <c r="K25" s="560" t="n"/>
      <c r="L25" s="560" t="n"/>
      <c r="M25" s="560" t="n"/>
      <c r="N25" s="560" t="n"/>
      <c r="O25" s="560" t="n"/>
      <c r="P25" s="560" t="n"/>
      <c r="Q25" s="560" t="n"/>
      <c r="R25" s="560" t="n"/>
      <c r="S25" s="560" t="n"/>
      <c r="T25" s="560" t="n"/>
      <c r="U25" s="560" t="n"/>
    </row>
    <row r="26">
      <c r="A26" s="560" t="n"/>
      <c r="B26" s="560" t="n"/>
      <c r="C26" s="560" t="n"/>
      <c r="D26" s="560" t="n"/>
      <c r="E26" s="560" t="n"/>
      <c r="F26" s="560" t="n"/>
      <c r="G26" s="560" t="n"/>
      <c r="H26" s="560" t="n"/>
      <c r="I26" s="560" t="n"/>
      <c r="J26" s="560" t="n"/>
      <c r="K26" s="560" t="n"/>
      <c r="L26" s="560" t="n"/>
      <c r="M26" s="560" t="n"/>
      <c r="N26" s="560" t="n"/>
      <c r="O26" s="560" t="n"/>
      <c r="P26" s="560" t="n"/>
      <c r="Q26" s="560" t="n"/>
      <c r="R26" s="560" t="n"/>
      <c r="S26" s="560" t="n"/>
      <c r="T26" s="560" t="n"/>
      <c r="U26" s="560" t="n"/>
    </row>
    <row r="27">
      <c r="A27" s="560" t="n"/>
      <c r="B27" s="560" t="n"/>
      <c r="C27" s="560" t="n"/>
      <c r="D27" s="560" t="n"/>
      <c r="E27" s="560" t="n"/>
      <c r="F27" s="560" t="n"/>
      <c r="G27" s="560" t="n"/>
      <c r="H27" s="560" t="n"/>
      <c r="I27" s="560" t="n"/>
      <c r="J27" s="560" t="n"/>
      <c r="K27" s="560" t="n"/>
      <c r="L27" s="560" t="n"/>
      <c r="M27" s="560" t="n"/>
      <c r="N27" s="560" t="n"/>
      <c r="O27" s="560" t="n"/>
      <c r="P27" s="560" t="n"/>
      <c r="Q27" s="560" t="n"/>
      <c r="R27" s="560" t="n"/>
      <c r="S27" s="560" t="n"/>
      <c r="T27" s="560" t="n"/>
      <c r="U27" s="560" t="n"/>
    </row>
    <row r="28">
      <c r="A28" s="560" t="n"/>
      <c r="B28" s="560" t="n"/>
      <c r="C28" s="560" t="n"/>
      <c r="D28" s="560" t="n"/>
      <c r="E28" s="560" t="n"/>
      <c r="F28" s="560" t="n"/>
      <c r="G28" s="560" t="n"/>
      <c r="H28" s="560" t="n"/>
      <c r="I28" s="560" t="n"/>
      <c r="J28" s="560" t="n"/>
      <c r="K28" s="560" t="n"/>
      <c r="L28" s="560" t="n"/>
      <c r="M28" s="560" t="n"/>
      <c r="N28" s="560" t="n"/>
      <c r="O28" s="560" t="n"/>
      <c r="P28" s="560" t="n"/>
      <c r="Q28" s="560" t="n"/>
      <c r="R28" s="560" t="n"/>
      <c r="S28" s="560" t="n"/>
      <c r="T28" s="560" t="n"/>
      <c r="U28" s="560" t="n"/>
    </row>
    <row r="29">
      <c r="A29" s="560" t="n"/>
      <c r="B29" s="560" t="n"/>
      <c r="C29" s="560" t="n"/>
      <c r="D29" s="560" t="n"/>
      <c r="E29" s="560" t="n"/>
      <c r="F29" s="560" t="n"/>
      <c r="G29" s="560" t="n"/>
      <c r="H29" s="560" t="n"/>
      <c r="I29" s="560" t="n"/>
      <c r="J29" s="560" t="n"/>
      <c r="K29" s="560" t="n"/>
      <c r="L29" s="560" t="n"/>
      <c r="M29" s="560" t="n"/>
      <c r="N29" s="560" t="n"/>
      <c r="O29" s="560" t="n"/>
      <c r="P29" s="560" t="n"/>
      <c r="Q29" s="560" t="n"/>
      <c r="R29" s="560" t="n"/>
      <c r="S29" s="560" t="n"/>
      <c r="T29" s="560" t="n"/>
      <c r="U29" s="560" t="n"/>
    </row>
    <row r="30">
      <c r="A30" s="560" t="n"/>
      <c r="B30" s="560" t="n"/>
      <c r="C30" s="560" t="n"/>
      <c r="D30" s="560" t="n"/>
      <c r="E30" s="560" t="n"/>
      <c r="F30" s="560" t="n"/>
      <c r="G30" s="560" t="n"/>
      <c r="H30" s="560" t="n"/>
      <c r="I30" s="560" t="n"/>
      <c r="J30" s="560" t="n"/>
      <c r="K30" s="560" t="n"/>
      <c r="L30" s="560" t="n"/>
      <c r="M30" s="560" t="n"/>
      <c r="N30" s="560" t="n"/>
      <c r="O30" s="560" t="n"/>
      <c r="P30" s="560" t="n"/>
      <c r="Q30" s="560" t="n"/>
      <c r="R30" s="560" t="n"/>
      <c r="S30" s="560" t="n"/>
      <c r="T30" s="560" t="n"/>
      <c r="U30" s="560" t="n"/>
    </row>
    <row r="31">
      <c r="A31" s="560" t="n"/>
      <c r="B31" s="560" t="n"/>
      <c r="C31" s="560" t="n"/>
      <c r="D31" s="560" t="n"/>
      <c r="E31" s="560" t="n"/>
      <c r="F31" s="560" t="n"/>
      <c r="G31" s="560" t="n"/>
      <c r="H31" s="560" t="n"/>
      <c r="I31" s="560" t="n"/>
      <c r="J31" s="560" t="n"/>
      <c r="K31" s="560" t="n"/>
      <c r="L31" s="560" t="n"/>
      <c r="M31" s="560" t="n"/>
      <c r="N31" s="560" t="n"/>
      <c r="O31" s="560" t="n"/>
      <c r="P31" s="560" t="n"/>
      <c r="Q31" s="560" t="n"/>
      <c r="R31" s="560" t="n"/>
      <c r="S31" s="560" t="n"/>
      <c r="T31" s="560" t="n"/>
      <c r="U31" s="560" t="n"/>
    </row>
    <row r="32">
      <c r="A32" s="560" t="n"/>
      <c r="B32" s="560" t="n"/>
      <c r="C32" s="560" t="n"/>
      <c r="D32" s="560" t="n"/>
      <c r="E32" s="560" t="n"/>
      <c r="F32" s="560" t="n"/>
      <c r="G32" s="560" t="n"/>
      <c r="H32" s="560" t="n"/>
      <c r="I32" s="560" t="n"/>
      <c r="J32" s="560" t="n"/>
      <c r="K32" s="560" t="n"/>
      <c r="L32" s="560" t="n"/>
      <c r="M32" s="560" t="n"/>
      <c r="N32" s="560" t="n"/>
      <c r="O32" s="560" t="n"/>
      <c r="P32" s="560" t="n"/>
      <c r="Q32" s="560" t="n"/>
      <c r="R32" s="560" t="n"/>
      <c r="S32" s="560" t="n"/>
      <c r="T32" s="560" t="n"/>
      <c r="U32" s="560" t="n"/>
    </row>
    <row r="33">
      <c r="A33" s="560" t="n"/>
      <c r="B33" s="560" t="n"/>
      <c r="C33" s="560" t="n"/>
      <c r="D33" s="560" t="n"/>
      <c r="E33" s="560" t="n"/>
      <c r="F33" s="560" t="n"/>
      <c r="G33" s="560" t="n"/>
      <c r="H33" s="560" t="n"/>
      <c r="I33" s="560" t="n"/>
      <c r="J33" s="560" t="n"/>
      <c r="K33" s="560" t="n"/>
      <c r="L33" s="560" t="n"/>
      <c r="M33" s="560" t="n"/>
      <c r="N33" s="560" t="n"/>
      <c r="O33" s="560" t="n"/>
      <c r="P33" s="560" t="n"/>
      <c r="Q33" s="560" t="n"/>
      <c r="R33" s="560" t="n"/>
      <c r="S33" s="560" t="n"/>
      <c r="T33" s="560" t="n"/>
      <c r="U33" s="560" t="n"/>
    </row>
    <row r="34">
      <c r="A34" s="560" t="n"/>
      <c r="B34" s="560" t="n"/>
      <c r="C34" s="560" t="n"/>
      <c r="D34" s="560" t="n"/>
      <c r="E34" s="560" t="n"/>
      <c r="F34" s="560" t="n"/>
      <c r="G34" s="560" t="n"/>
      <c r="H34" s="560" t="n"/>
      <c r="I34" s="560" t="n"/>
      <c r="J34" s="560" t="n"/>
      <c r="K34" s="560" t="n"/>
      <c r="L34" s="560" t="n"/>
      <c r="M34" s="560" t="n"/>
      <c r="N34" s="560" t="n"/>
      <c r="O34" s="560" t="n"/>
      <c r="P34" s="560" t="n"/>
      <c r="Q34" s="560" t="n"/>
      <c r="R34" s="560" t="n"/>
      <c r="S34" s="560" t="n"/>
      <c r="T34" s="560" t="n"/>
      <c r="U34" s="560" t="n"/>
    </row>
    <row r="35">
      <c r="A35" s="560" t="n"/>
      <c r="B35" s="560" t="n"/>
      <c r="C35" s="560" t="n"/>
      <c r="D35" s="560" t="n"/>
      <c r="E35" s="560" t="n"/>
      <c r="F35" s="560" t="n"/>
      <c r="G35" s="560" t="n"/>
      <c r="H35" s="560" t="n"/>
      <c r="I35" s="560" t="n"/>
      <c r="J35" s="560" t="n"/>
      <c r="K35" s="560" t="n"/>
      <c r="L35" s="560" t="n"/>
      <c r="M35" s="560" t="n"/>
      <c r="N35" s="560" t="n"/>
      <c r="O35" s="560" t="n"/>
      <c r="P35" s="560" t="n"/>
      <c r="Q35" s="560" t="n"/>
      <c r="R35" s="560" t="n"/>
      <c r="S35" s="560" t="n"/>
      <c r="T35" s="560" t="n"/>
      <c r="U35" s="560" t="n"/>
    </row>
    <row r="36">
      <c r="A36" s="560" t="n"/>
      <c r="B36" s="560" t="n"/>
      <c r="C36" s="560" t="n"/>
      <c r="D36" s="560" t="n"/>
      <c r="E36" s="560" t="n"/>
      <c r="F36" s="560" t="n"/>
      <c r="G36" s="560" t="n"/>
      <c r="H36" s="560" t="n"/>
      <c r="I36" s="560" t="n"/>
      <c r="J36" s="560" t="n"/>
      <c r="K36" s="560" t="n"/>
      <c r="L36" s="560" t="n"/>
      <c r="M36" s="560" t="n"/>
      <c r="N36" s="560" t="n"/>
      <c r="O36" s="560" t="n"/>
      <c r="P36" s="560" t="n"/>
      <c r="Q36" s="560" t="n"/>
      <c r="R36" s="560" t="n"/>
      <c r="S36" s="560" t="n"/>
      <c r="T36" s="560" t="n"/>
      <c r="U36" s="560" t="n"/>
    </row>
    <row r="37">
      <c r="A37" s="560" t="n"/>
      <c r="B37" s="560" t="n"/>
      <c r="C37" s="560" t="n"/>
      <c r="D37" s="560" t="n"/>
      <c r="E37" s="560" t="n"/>
      <c r="F37" s="560" t="n"/>
      <c r="G37" s="560" t="n"/>
      <c r="H37" s="560" t="n"/>
      <c r="I37" s="560" t="n"/>
      <c r="J37" s="560" t="n"/>
      <c r="K37" s="560" t="n"/>
      <c r="L37" s="560" t="n"/>
      <c r="M37" s="560" t="n"/>
      <c r="N37" s="560" t="n"/>
      <c r="O37" s="560" t="n"/>
      <c r="P37" s="560" t="n"/>
      <c r="Q37" s="560" t="n"/>
      <c r="R37" s="560" t="n"/>
      <c r="S37" s="560" t="n"/>
      <c r="T37" s="560" t="n"/>
      <c r="U37" s="560" t="n"/>
    </row>
    <row r="38">
      <c r="A38" s="560" t="n"/>
      <c r="B38" s="560" t="n"/>
      <c r="C38" s="560" t="n"/>
      <c r="D38" s="560" t="n"/>
      <c r="E38" s="560" t="n"/>
      <c r="F38" s="560" t="n"/>
      <c r="G38" s="560" t="n"/>
      <c r="H38" s="560" t="n"/>
      <c r="I38" s="560" t="n"/>
      <c r="J38" s="560" t="n"/>
      <c r="K38" s="560" t="n"/>
      <c r="L38" s="560" t="n"/>
      <c r="M38" s="560" t="n"/>
      <c r="N38" s="560" t="n"/>
      <c r="O38" s="560" t="n"/>
      <c r="P38" s="560" t="n"/>
      <c r="Q38" s="560" t="n"/>
      <c r="R38" s="560" t="n"/>
      <c r="S38" s="560" t="n"/>
      <c r="T38" s="560" t="n"/>
      <c r="U38" s="560" t="n"/>
    </row>
    <row r="39">
      <c r="A39" s="560" t="n"/>
      <c r="B39" s="560" t="n"/>
      <c r="C39" s="560" t="n"/>
      <c r="D39" s="560" t="n"/>
      <c r="E39" s="560" t="n"/>
      <c r="F39" s="560" t="n"/>
      <c r="G39" s="560" t="n"/>
      <c r="H39" s="560" t="n"/>
      <c r="I39" s="560" t="n"/>
      <c r="J39" s="560" t="n"/>
      <c r="K39" s="560" t="n"/>
      <c r="L39" s="560" t="n"/>
      <c r="M39" s="560" t="n"/>
      <c r="N39" s="560" t="n"/>
      <c r="O39" s="560" t="n"/>
      <c r="P39" s="560" t="n"/>
      <c r="Q39" s="560" t="n"/>
      <c r="R39" s="560" t="n"/>
      <c r="S39" s="560" t="n"/>
      <c r="T39" s="560" t="n"/>
      <c r="U39" s="560" t="n"/>
    </row>
    <row r="40">
      <c r="A40" s="560" t="n"/>
      <c r="B40" s="560" t="n"/>
      <c r="C40" s="560" t="n"/>
      <c r="D40" s="560" t="n"/>
      <c r="E40" s="560" t="n"/>
      <c r="F40" s="560" t="n"/>
      <c r="G40" s="560" t="n"/>
      <c r="H40" s="560" t="n"/>
      <c r="I40" s="560" t="n"/>
      <c r="J40" s="560" t="n"/>
      <c r="K40" s="560" t="n"/>
      <c r="L40" s="560" t="n"/>
      <c r="M40" s="560" t="n"/>
      <c r="N40" s="560" t="n"/>
      <c r="O40" s="560" t="n"/>
      <c r="P40" s="560" t="n"/>
      <c r="Q40" s="560" t="n"/>
      <c r="R40" s="560" t="n"/>
      <c r="S40" s="560" t="n"/>
      <c r="T40" s="560" t="n"/>
      <c r="U40" s="560" t="n"/>
    </row>
    <row r="41">
      <c r="A41" s="560" t="n"/>
      <c r="B41" s="560" t="n"/>
      <c r="C41" s="560" t="n"/>
      <c r="D41" s="560" t="n"/>
      <c r="E41" s="560" t="n"/>
      <c r="F41" s="560" t="n"/>
      <c r="G41" s="560" t="n"/>
      <c r="H41" s="560" t="n"/>
      <c r="I41" s="560" t="n"/>
      <c r="J41" s="560" t="n"/>
      <c r="K41" s="560" t="n"/>
      <c r="L41" s="560" t="n"/>
      <c r="M41" s="560" t="n"/>
      <c r="N41" s="560" t="n"/>
      <c r="O41" s="560" t="n"/>
      <c r="P41" s="560" t="n"/>
      <c r="Q41" s="560" t="n"/>
      <c r="R41" s="560" t="n"/>
      <c r="S41" s="560" t="n"/>
      <c r="T41" s="560" t="n"/>
      <c r="U41" s="560" t="n"/>
    </row>
    <row r="42">
      <c r="A42" s="560" t="n"/>
      <c r="B42" s="560" t="n"/>
      <c r="C42" s="560" t="n"/>
      <c r="D42" s="560" t="n"/>
      <c r="E42" s="560" t="n"/>
      <c r="F42" s="560" t="n"/>
      <c r="G42" s="560" t="n"/>
      <c r="H42" s="560" t="n"/>
      <c r="I42" s="560" t="n"/>
      <c r="J42" s="560" t="n"/>
      <c r="K42" s="560" t="n"/>
      <c r="L42" s="560" t="n"/>
      <c r="M42" s="560" t="n"/>
      <c r="N42" s="560" t="n"/>
      <c r="O42" s="560" t="n"/>
      <c r="P42" s="560" t="n"/>
      <c r="Q42" s="560" t="n"/>
      <c r="R42" s="560" t="n"/>
      <c r="S42" s="560" t="n"/>
      <c r="T42" s="560" t="n"/>
      <c r="U42" s="560" t="n"/>
    </row>
    <row r="43">
      <c r="A43" s="560" t="n"/>
      <c r="B43" s="560" t="n"/>
      <c r="C43" s="560" t="n"/>
      <c r="D43" s="560" t="n"/>
      <c r="E43" s="560" t="n"/>
      <c r="F43" s="560" t="n"/>
      <c r="G43" s="560" t="n"/>
      <c r="H43" s="560" t="n"/>
      <c r="I43" s="560" t="n"/>
      <c r="J43" s="560" t="n"/>
      <c r="K43" s="560" t="n"/>
      <c r="L43" s="560" t="n"/>
      <c r="M43" s="560" t="n"/>
      <c r="N43" s="560" t="n"/>
      <c r="O43" s="560" t="n"/>
      <c r="P43" s="560" t="n"/>
      <c r="Q43" s="560" t="n"/>
      <c r="R43" s="560" t="n"/>
      <c r="S43" s="560" t="n"/>
      <c r="T43" s="560" t="n"/>
      <c r="U43" s="560" t="n"/>
    </row>
    <row r="44">
      <c r="A44" s="560" t="n"/>
      <c r="B44" s="560" t="n"/>
      <c r="C44" s="560" t="n"/>
      <c r="D44" s="560" t="n"/>
      <c r="E44" s="560" t="n"/>
      <c r="F44" s="560" t="n"/>
      <c r="G44" s="560" t="n"/>
      <c r="H44" s="560" t="n"/>
      <c r="I44" s="560" t="n"/>
      <c r="J44" s="560" t="n"/>
      <c r="K44" s="560" t="n"/>
      <c r="L44" s="560" t="n"/>
      <c r="M44" s="560" t="n"/>
      <c r="N44" s="560" t="n"/>
      <c r="O44" s="560" t="n"/>
      <c r="P44" s="560" t="n"/>
      <c r="Q44" s="560" t="n"/>
      <c r="R44" s="560" t="n"/>
      <c r="S44" s="560" t="n"/>
      <c r="T44" s="560" t="n"/>
      <c r="U44" s="560" t="n"/>
    </row>
    <row r="45">
      <c r="A45" s="560" t="n"/>
      <c r="B45" s="560" t="n"/>
      <c r="C45" s="560" t="n"/>
      <c r="D45" s="560" t="n"/>
      <c r="E45" s="560" t="n"/>
      <c r="F45" s="560" t="n"/>
      <c r="G45" s="560" t="n"/>
      <c r="H45" s="560" t="n"/>
      <c r="I45" s="560" t="n"/>
      <c r="J45" s="560" t="n"/>
      <c r="K45" s="560" t="n"/>
      <c r="L45" s="560" t="n"/>
      <c r="M45" s="560" t="n"/>
      <c r="N45" s="560" t="n"/>
      <c r="O45" s="560" t="n"/>
      <c r="P45" s="560" t="n"/>
      <c r="Q45" s="560" t="n"/>
      <c r="R45" s="560" t="n"/>
      <c r="S45" s="560" t="n"/>
      <c r="T45" s="560" t="n"/>
      <c r="U45" s="560" t="n"/>
    </row>
    <row r="46">
      <c r="A46" s="560" t="n"/>
      <c r="B46" s="560" t="n"/>
      <c r="C46" s="560" t="n"/>
      <c r="D46" s="560" t="n"/>
      <c r="E46" s="560" t="n"/>
      <c r="F46" s="560" t="n"/>
      <c r="G46" s="560" t="n"/>
      <c r="H46" s="560" t="n"/>
      <c r="I46" s="560" t="n"/>
      <c r="J46" s="560" t="n"/>
      <c r="K46" s="560" t="n"/>
      <c r="L46" s="560" t="n"/>
      <c r="M46" s="560" t="n"/>
      <c r="N46" s="560" t="n"/>
      <c r="O46" s="560" t="n"/>
      <c r="P46" s="560" t="n"/>
      <c r="Q46" s="560" t="n"/>
      <c r="R46" s="560" t="n"/>
      <c r="S46" s="560" t="n"/>
      <c r="T46" s="560" t="n"/>
      <c r="U46" s="560" t="n"/>
    </row>
    <row r="47">
      <c r="A47" s="560" t="n"/>
      <c r="B47" s="560" t="n"/>
      <c r="C47" s="560" t="n"/>
      <c r="D47" s="560" t="n"/>
      <c r="E47" s="560" t="n"/>
      <c r="F47" s="560" t="n"/>
      <c r="G47" s="560" t="n"/>
      <c r="H47" s="560" t="n"/>
      <c r="I47" s="560" t="n"/>
      <c r="J47" s="560" t="n"/>
      <c r="K47" s="560" t="n"/>
      <c r="L47" s="560" t="n"/>
      <c r="M47" s="560" t="n"/>
      <c r="N47" s="560" t="n"/>
      <c r="O47" s="560" t="n"/>
      <c r="P47" s="560" t="n"/>
      <c r="Q47" s="560" t="n"/>
      <c r="R47" s="560" t="n"/>
      <c r="S47" s="560" t="n"/>
      <c r="T47" s="560" t="n"/>
      <c r="U47" s="560" t="n"/>
    </row>
    <row r="48">
      <c r="A48" s="560" t="n"/>
      <c r="B48" s="560" t="n"/>
      <c r="C48" s="560" t="n"/>
      <c r="D48" s="560" t="n"/>
      <c r="E48" s="560" t="n"/>
      <c r="F48" s="560" t="n"/>
      <c r="G48" s="560" t="n"/>
      <c r="H48" s="560" t="n"/>
      <c r="I48" s="560" t="n"/>
      <c r="J48" s="560" t="n"/>
      <c r="K48" s="560" t="n"/>
      <c r="L48" s="560" t="n"/>
      <c r="M48" s="560" t="n"/>
      <c r="N48" s="560" t="n"/>
      <c r="O48" s="560" t="n"/>
      <c r="P48" s="560" t="n"/>
      <c r="Q48" s="560" t="n"/>
      <c r="R48" s="560" t="n"/>
      <c r="S48" s="560" t="n"/>
      <c r="T48" s="560" t="n"/>
      <c r="U48" s="560" t="n"/>
    </row>
    <row r="49">
      <c r="A49" s="560" t="n"/>
      <c r="B49" s="560" t="n"/>
      <c r="C49" s="560" t="n"/>
      <c r="D49" s="560" t="n"/>
      <c r="E49" s="560" t="n"/>
      <c r="F49" s="560" t="n"/>
      <c r="G49" s="560" t="n"/>
      <c r="H49" s="560" t="n"/>
      <c r="I49" s="560" t="n"/>
      <c r="J49" s="560" t="n"/>
      <c r="K49" s="560" t="n"/>
      <c r="L49" s="560" t="n"/>
      <c r="M49" s="560" t="n"/>
      <c r="N49" s="560" t="n"/>
      <c r="O49" s="560" t="n"/>
      <c r="P49" s="560" t="n"/>
      <c r="Q49" s="560" t="n"/>
      <c r="R49" s="560" t="n"/>
      <c r="S49" s="560" t="n"/>
      <c r="T49" s="560" t="n"/>
      <c r="U49" s="560" t="n"/>
    </row>
    <row r="50">
      <c r="A50" s="560" t="n"/>
      <c r="B50" s="560" t="n"/>
      <c r="C50" s="560" t="n"/>
      <c r="D50" s="560" t="n"/>
      <c r="E50" s="560" t="n"/>
      <c r="F50" s="560" t="n"/>
      <c r="G50" s="560" t="n"/>
      <c r="H50" s="560" t="n"/>
      <c r="I50" s="560" t="n"/>
      <c r="J50" s="560" t="n"/>
      <c r="K50" s="560" t="n"/>
      <c r="L50" s="560" t="n"/>
      <c r="M50" s="560" t="n"/>
      <c r="N50" s="560" t="n"/>
      <c r="O50" s="560" t="n"/>
      <c r="P50" s="560" t="n"/>
      <c r="Q50" s="560" t="n"/>
      <c r="R50" s="560" t="n"/>
      <c r="S50" s="560" t="n"/>
      <c r="T50" s="560" t="n"/>
      <c r="U50" s="560" t="n"/>
    </row>
    <row r="51">
      <c r="A51" s="560" t="n"/>
      <c r="B51" s="560" t="n"/>
      <c r="C51" s="560" t="n"/>
      <c r="D51" s="560" t="n"/>
      <c r="E51" s="560" t="n"/>
      <c r="F51" s="560" t="n"/>
      <c r="G51" s="560" t="n"/>
      <c r="H51" s="560" t="n"/>
      <c r="I51" s="560" t="n"/>
      <c r="J51" s="560" t="n"/>
      <c r="K51" s="560" t="n"/>
      <c r="L51" s="560" t="n"/>
      <c r="M51" s="560" t="n"/>
      <c r="N51" s="560" t="n"/>
      <c r="O51" s="560" t="n"/>
      <c r="P51" s="560" t="n"/>
      <c r="Q51" s="560" t="n"/>
      <c r="R51" s="560" t="n"/>
      <c r="S51" s="560" t="n"/>
      <c r="T51" s="560" t="n"/>
      <c r="U51" s="560" t="n"/>
    </row>
    <row r="52">
      <c r="A52" s="560" t="n"/>
      <c r="B52" s="560" t="n"/>
      <c r="C52" s="560" t="n"/>
      <c r="D52" s="560" t="n"/>
      <c r="E52" s="560" t="n"/>
      <c r="F52" s="560" t="n"/>
      <c r="G52" s="560" t="n"/>
      <c r="H52" s="560" t="n"/>
      <c r="I52" s="560" t="n"/>
      <c r="J52" s="560" t="n"/>
      <c r="K52" s="560" t="n"/>
      <c r="L52" s="560" t="n"/>
      <c r="M52" s="560" t="n"/>
      <c r="N52" s="560" t="n"/>
      <c r="O52" s="560" t="n"/>
      <c r="P52" s="560" t="n"/>
      <c r="Q52" s="560" t="n"/>
      <c r="R52" s="560" t="n"/>
      <c r="S52" s="560" t="n"/>
      <c r="T52" s="560" t="n"/>
      <c r="U52" s="560" t="n"/>
    </row>
    <row r="53">
      <c r="A53" s="560" t="n"/>
      <c r="B53" s="560" t="n"/>
      <c r="C53" s="560" t="n"/>
      <c r="D53" s="560" t="n"/>
      <c r="E53" s="560" t="n"/>
      <c r="F53" s="560" t="n"/>
      <c r="G53" s="560" t="n"/>
      <c r="H53" s="560" t="n"/>
      <c r="I53" s="560" t="n"/>
      <c r="J53" s="560" t="n"/>
      <c r="K53" s="560" t="n"/>
      <c r="L53" s="560" t="n"/>
      <c r="M53" s="560" t="n"/>
      <c r="N53" s="560" t="n"/>
      <c r="O53" s="560" t="n"/>
      <c r="P53" s="560" t="n"/>
      <c r="Q53" s="560" t="n"/>
      <c r="R53" s="560" t="n"/>
      <c r="S53" s="560" t="n"/>
      <c r="T53" s="560" t="n"/>
      <c r="U53" s="560" t="n"/>
    </row>
    <row r="54">
      <c r="A54" s="560" t="n"/>
      <c r="B54" s="560" t="n"/>
      <c r="C54" s="560" t="n"/>
      <c r="D54" s="560" t="n"/>
      <c r="E54" s="560" t="n"/>
      <c r="F54" s="560" t="n"/>
      <c r="G54" s="560" t="n"/>
      <c r="H54" s="560" t="n"/>
      <c r="I54" s="560" t="n"/>
      <c r="J54" s="560" t="n"/>
      <c r="K54" s="560" t="n"/>
      <c r="L54" s="560" t="n"/>
      <c r="M54" s="560" t="n"/>
      <c r="N54" s="560" t="n"/>
      <c r="O54" s="560" t="n"/>
      <c r="P54" s="560" t="n"/>
      <c r="Q54" s="560" t="n"/>
      <c r="R54" s="560" t="n"/>
      <c r="S54" s="560" t="n"/>
      <c r="T54" s="560" t="n"/>
      <c r="U54" s="560" t="n"/>
    </row>
    <row r="55">
      <c r="A55" s="560" t="n"/>
      <c r="B55" s="560" t="n"/>
      <c r="C55" s="560" t="n"/>
      <c r="D55" s="560" t="n"/>
      <c r="E55" s="560" t="n"/>
      <c r="F55" s="560" t="n"/>
      <c r="G55" s="560" t="n"/>
      <c r="H55" s="560" t="n"/>
      <c r="I55" s="560" t="n"/>
      <c r="J55" s="560" t="n"/>
      <c r="K55" s="560" t="n"/>
      <c r="L55" s="560" t="n"/>
      <c r="M55" s="560" t="n"/>
      <c r="N55" s="560" t="n"/>
      <c r="O55" s="560" t="n"/>
      <c r="P55" s="560" t="n"/>
      <c r="Q55" s="560" t="n"/>
      <c r="R55" s="560" t="n"/>
      <c r="S55" s="560" t="n"/>
      <c r="T55" s="560" t="n"/>
      <c r="U55" s="560" t="n"/>
    </row>
    <row r="56">
      <c r="A56" s="560" t="n"/>
      <c r="B56" s="560" t="n"/>
      <c r="C56" s="560" t="n"/>
      <c r="D56" s="560" t="n"/>
      <c r="E56" s="560" t="n"/>
      <c r="F56" s="560" t="n"/>
      <c r="G56" s="560" t="n"/>
      <c r="H56" s="560" t="n"/>
      <c r="I56" s="560" t="n"/>
      <c r="J56" s="560" t="n"/>
      <c r="K56" s="560" t="n"/>
      <c r="L56" s="560" t="n"/>
      <c r="M56" s="560" t="n"/>
      <c r="N56" s="560" t="n"/>
      <c r="O56" s="560" t="n"/>
      <c r="P56" s="560" t="n"/>
      <c r="Q56" s="560" t="n"/>
      <c r="R56" s="560" t="n"/>
      <c r="S56" s="560" t="n"/>
      <c r="T56" s="560" t="n"/>
      <c r="U56" s="560" t="n"/>
    </row>
    <row r="57">
      <c r="A57" s="560" t="n"/>
      <c r="B57" s="560" t="n"/>
      <c r="C57" s="560" t="n"/>
      <c r="D57" s="560" t="n"/>
      <c r="E57" s="560" t="n"/>
      <c r="F57" s="560" t="n"/>
      <c r="G57" s="560" t="n"/>
      <c r="H57" s="560" t="n"/>
      <c r="I57" s="560" t="n"/>
      <c r="J57" s="560" t="n"/>
      <c r="K57" s="560" t="n"/>
      <c r="L57" s="560" t="n"/>
      <c r="M57" s="560" t="n"/>
      <c r="N57" s="560" t="n"/>
      <c r="O57" s="560" t="n"/>
      <c r="P57" s="560" t="n"/>
      <c r="Q57" s="560" t="n"/>
      <c r="R57" s="560" t="n"/>
      <c r="S57" s="560" t="n"/>
      <c r="T57" s="560" t="n"/>
      <c r="U57" s="560" t="n"/>
    </row>
    <row r="58">
      <c r="A58" s="560" t="n"/>
      <c r="B58" s="560" t="n"/>
      <c r="C58" s="560" t="n"/>
      <c r="D58" s="560" t="n"/>
      <c r="E58" s="560" t="n"/>
      <c r="F58" s="560" t="n"/>
      <c r="G58" s="560" t="n"/>
      <c r="H58" s="560" t="n"/>
      <c r="I58" s="560" t="n"/>
      <c r="J58" s="560" t="n"/>
      <c r="K58" s="560" t="n"/>
      <c r="L58" s="560" t="n"/>
      <c r="M58" s="560" t="n"/>
      <c r="N58" s="560" t="n"/>
      <c r="O58" s="560" t="n"/>
      <c r="P58" s="560" t="n"/>
      <c r="Q58" s="560" t="n"/>
      <c r="R58" s="560" t="n"/>
      <c r="S58" s="560" t="n"/>
      <c r="T58" s="560" t="n"/>
      <c r="U58" s="560" t="n"/>
    </row>
    <row r="59">
      <c r="A59" s="560" t="n"/>
      <c r="B59" s="560" t="n"/>
      <c r="C59" s="560" t="n"/>
      <c r="D59" s="560" t="n"/>
      <c r="E59" s="560" t="n"/>
      <c r="F59" s="560" t="n"/>
      <c r="G59" s="560" t="n"/>
      <c r="H59" s="560" t="n"/>
      <c r="I59" s="560" t="n"/>
      <c r="J59" s="560" t="n"/>
      <c r="K59" s="560" t="n"/>
      <c r="L59" s="560" t="n"/>
      <c r="M59" s="560" t="n"/>
      <c r="N59" s="560" t="n"/>
      <c r="O59" s="560" t="n"/>
      <c r="P59" s="560" t="n"/>
      <c r="Q59" s="560" t="n"/>
      <c r="R59" s="560" t="n"/>
      <c r="S59" s="560" t="n"/>
      <c r="T59" s="560" t="n"/>
      <c r="U59" s="560" t="n"/>
    </row>
    <row r="60">
      <c r="A60" s="560" t="n"/>
      <c r="B60" s="560" t="n"/>
      <c r="C60" s="560" t="n"/>
      <c r="D60" s="560" t="n"/>
      <c r="E60" s="560" t="n"/>
      <c r="F60" s="560" t="n"/>
      <c r="G60" s="560" t="n"/>
      <c r="H60" s="560" t="n"/>
      <c r="I60" s="560" t="n"/>
      <c r="J60" s="560" t="n"/>
      <c r="K60" s="560" t="n"/>
      <c r="L60" s="560" t="n"/>
      <c r="M60" s="560" t="n"/>
      <c r="N60" s="560" t="n"/>
      <c r="O60" s="560" t="n"/>
      <c r="P60" s="560" t="n"/>
      <c r="Q60" s="560" t="n"/>
      <c r="R60" s="560" t="n"/>
      <c r="S60" s="560" t="n"/>
      <c r="T60" s="560" t="n"/>
      <c r="U60" s="560" t="n"/>
    </row>
    <row r="61">
      <c r="A61" s="560" t="n"/>
      <c r="B61" s="560" t="n"/>
      <c r="C61" s="560" t="n"/>
      <c r="D61" s="560" t="n"/>
      <c r="E61" s="560" t="n"/>
      <c r="F61" s="560" t="n"/>
      <c r="G61" s="560" t="n"/>
      <c r="H61" s="560" t="n"/>
      <c r="I61" s="560" t="n"/>
      <c r="J61" s="560" t="n"/>
      <c r="K61" s="560" t="n"/>
      <c r="L61" s="560" t="n"/>
      <c r="M61" s="560" t="n"/>
      <c r="N61" s="560" t="n"/>
      <c r="O61" s="560" t="n"/>
      <c r="P61" s="560" t="n"/>
      <c r="Q61" s="560" t="n"/>
      <c r="R61" s="560" t="n"/>
      <c r="S61" s="560" t="n"/>
      <c r="T61" s="560" t="n"/>
      <c r="U61" s="560" t="n"/>
    </row>
    <row r="62">
      <c r="A62" s="560" t="n"/>
      <c r="B62" s="560" t="n"/>
      <c r="C62" s="560" t="n"/>
      <c r="D62" s="560" t="n"/>
      <c r="E62" s="560" t="n"/>
      <c r="F62" s="560" t="n"/>
      <c r="G62" s="560" t="n"/>
      <c r="H62" s="560" t="n"/>
      <c r="I62" s="560" t="n"/>
      <c r="J62" s="560" t="n"/>
      <c r="K62" s="560" t="n"/>
      <c r="L62" s="560" t="n"/>
      <c r="M62" s="560" t="n"/>
      <c r="N62" s="560" t="n"/>
      <c r="O62" s="560" t="n"/>
      <c r="P62" s="560" t="n"/>
      <c r="Q62" s="560" t="n"/>
      <c r="R62" s="560" t="n"/>
      <c r="S62" s="560" t="n"/>
      <c r="T62" s="560" t="n"/>
      <c r="U62" s="560" t="n"/>
    </row>
    <row r="63">
      <c r="A63" s="560" t="n"/>
      <c r="B63" s="560" t="n"/>
      <c r="C63" s="560" t="n"/>
      <c r="D63" s="560" t="n"/>
      <c r="E63" s="560" t="n"/>
      <c r="F63" s="560" t="n"/>
      <c r="G63" s="560" t="n"/>
      <c r="H63" s="560" t="n"/>
      <c r="I63" s="560" t="n"/>
      <c r="J63" s="560" t="n"/>
      <c r="K63" s="560" t="n"/>
      <c r="L63" s="560" t="n"/>
      <c r="M63" s="560" t="n"/>
      <c r="N63" s="560" t="n"/>
      <c r="O63" s="560" t="n"/>
      <c r="P63" s="560" t="n"/>
      <c r="Q63" s="560" t="n"/>
      <c r="R63" s="560" t="n"/>
      <c r="S63" s="560" t="n"/>
      <c r="T63" s="560" t="n"/>
      <c r="U63" s="560" t="n"/>
    </row>
    <row r="64">
      <c r="A64" s="560" t="n"/>
      <c r="B64" s="560" t="n"/>
      <c r="C64" s="560" t="n"/>
      <c r="D64" s="560" t="n"/>
      <c r="E64" s="560" t="n"/>
      <c r="F64" s="560" t="n"/>
      <c r="G64" s="560" t="n"/>
      <c r="H64" s="560" t="n"/>
      <c r="I64" s="560" t="n"/>
      <c r="J64" s="560" t="n"/>
      <c r="K64" s="560" t="n"/>
      <c r="L64" s="560" t="n"/>
      <c r="M64" s="560" t="n"/>
      <c r="N64" s="560" t="n"/>
      <c r="O64" s="560" t="n"/>
      <c r="P64" s="560" t="n"/>
      <c r="Q64" s="560" t="n"/>
      <c r="R64" s="560" t="n"/>
      <c r="S64" s="560" t="n"/>
      <c r="T64" s="560" t="n"/>
      <c r="U64" s="560" t="n"/>
    </row>
    <row r="65">
      <c r="A65" s="560" t="n"/>
      <c r="B65" s="560" t="n"/>
      <c r="C65" s="560" t="n"/>
      <c r="D65" s="560" t="n"/>
      <c r="E65" s="560" t="n"/>
      <c r="F65" s="560" t="n"/>
      <c r="G65" s="560" t="n"/>
      <c r="H65" s="560" t="n"/>
      <c r="I65" s="560" t="n"/>
      <c r="J65" s="560" t="n"/>
      <c r="K65" s="560" t="n"/>
      <c r="L65" s="560" t="n"/>
      <c r="M65" s="560" t="n"/>
      <c r="N65" s="560" t="n"/>
      <c r="O65" s="560" t="n"/>
      <c r="P65" s="560" t="n"/>
      <c r="Q65" s="560" t="n"/>
      <c r="R65" s="560" t="n"/>
      <c r="S65" s="560" t="n"/>
      <c r="T65" s="560" t="n"/>
      <c r="U65" s="560" t="n"/>
    </row>
    <row r="66">
      <c r="A66" s="560" t="n"/>
      <c r="B66" s="560" t="n"/>
      <c r="C66" s="560" t="n"/>
      <c r="D66" s="560" t="n"/>
      <c r="E66" s="560" t="n"/>
      <c r="F66" s="560" t="n"/>
      <c r="G66" s="560" t="n"/>
      <c r="H66" s="560" t="n"/>
      <c r="I66" s="560" t="n"/>
      <c r="J66" s="560" t="n"/>
      <c r="K66" s="560" t="n"/>
      <c r="L66" s="560" t="n"/>
      <c r="M66" s="560" t="n"/>
      <c r="N66" s="560" t="n"/>
      <c r="O66" s="560" t="n"/>
      <c r="P66" s="560" t="n"/>
      <c r="Q66" s="560" t="n"/>
      <c r="R66" s="560" t="n"/>
      <c r="S66" s="560" t="n"/>
      <c r="T66" s="560" t="n"/>
      <c r="U66" s="560" t="n"/>
    </row>
    <row r="67">
      <c r="A67" s="560" t="n"/>
      <c r="B67" s="560" t="n"/>
      <c r="C67" s="560" t="n"/>
      <c r="D67" s="560" t="n"/>
      <c r="E67" s="560" t="n"/>
      <c r="F67" s="560" t="n"/>
      <c r="G67" s="560" t="n"/>
      <c r="H67" s="560" t="n"/>
      <c r="I67" s="560" t="n"/>
      <c r="J67" s="560" t="n"/>
      <c r="K67" s="560" t="n"/>
      <c r="L67" s="560" t="n"/>
      <c r="M67" s="560" t="n"/>
      <c r="N67" s="560" t="n"/>
      <c r="O67" s="560" t="n"/>
      <c r="P67" s="560" t="n"/>
      <c r="Q67" s="560" t="n"/>
      <c r="R67" s="560" t="n"/>
      <c r="S67" s="560" t="n"/>
      <c r="T67" s="560" t="n"/>
      <c r="U67" s="560" t="n"/>
    </row>
    <row r="68">
      <c r="A68" s="560" t="n"/>
      <c r="B68" s="560" t="n"/>
      <c r="C68" s="560" t="n"/>
      <c r="D68" s="560" t="n"/>
      <c r="E68" s="560" t="n"/>
      <c r="F68" s="560" t="n"/>
      <c r="G68" s="560" t="n"/>
      <c r="H68" s="560" t="n"/>
      <c r="I68" s="560" t="n"/>
      <c r="J68" s="560" t="n"/>
      <c r="K68" s="560" t="n"/>
      <c r="L68" s="560" t="n"/>
      <c r="M68" s="560" t="n"/>
      <c r="N68" s="560" t="n"/>
      <c r="O68" s="560" t="n"/>
      <c r="P68" s="560" t="n"/>
      <c r="Q68" s="560" t="n"/>
      <c r="R68" s="560" t="n"/>
      <c r="S68" s="560" t="n"/>
      <c r="T68" s="560" t="n"/>
      <c r="U68" s="560" t="n"/>
    </row>
    <row r="69">
      <c r="A69" s="560" t="n"/>
      <c r="B69" s="560" t="n"/>
      <c r="C69" s="560" t="n"/>
      <c r="D69" s="560" t="n"/>
      <c r="E69" s="560" t="n"/>
      <c r="F69" s="560" t="n"/>
      <c r="G69" s="560" t="n"/>
      <c r="H69" s="560" t="n"/>
      <c r="I69" s="560" t="n"/>
      <c r="J69" s="560" t="n"/>
      <c r="K69" s="560" t="n"/>
      <c r="L69" s="560" t="n"/>
      <c r="M69" s="560" t="n"/>
      <c r="N69" s="560" t="n"/>
      <c r="O69" s="560" t="n"/>
      <c r="P69" s="560" t="n"/>
      <c r="Q69" s="560" t="n"/>
      <c r="R69" s="560" t="n"/>
      <c r="S69" s="560" t="n"/>
      <c r="T69" s="560" t="n"/>
      <c r="U69" s="560" t="n"/>
    </row>
    <row r="70">
      <c r="A70" s="560" t="n"/>
      <c r="B70" s="560" t="n"/>
      <c r="C70" s="560" t="n"/>
      <c r="D70" s="560" t="n"/>
      <c r="E70" s="560" t="n"/>
      <c r="F70" s="560" t="n"/>
      <c r="G70" s="560" t="n"/>
      <c r="H70" s="560" t="n"/>
      <c r="I70" s="560" t="n"/>
      <c r="J70" s="560" t="n"/>
      <c r="K70" s="560" t="n"/>
      <c r="L70" s="560" t="n"/>
      <c r="M70" s="560" t="n"/>
      <c r="N70" s="560" t="n"/>
      <c r="O70" s="560" t="n"/>
      <c r="P70" s="560" t="n"/>
      <c r="Q70" s="560" t="n"/>
      <c r="R70" s="560" t="n"/>
      <c r="S70" s="560" t="n"/>
      <c r="T70" s="560" t="n"/>
      <c r="U70" s="560" t="n"/>
    </row>
    <row r="71">
      <c r="A71" s="560" t="n"/>
      <c r="B71" s="560" t="n"/>
      <c r="C71" s="560" t="n"/>
      <c r="D71" s="560" t="n"/>
      <c r="E71" s="560" t="n"/>
      <c r="F71" s="560" t="n"/>
      <c r="G71" s="560" t="n"/>
      <c r="H71" s="560" t="n"/>
      <c r="I71" s="560" t="n"/>
      <c r="J71" s="560" t="n"/>
      <c r="K71" s="560" t="n"/>
      <c r="L71" s="560" t="n"/>
      <c r="M71" s="560" t="n"/>
      <c r="N71" s="560" t="n"/>
      <c r="O71" s="560" t="n"/>
      <c r="P71" s="560" t="n"/>
      <c r="Q71" s="560" t="n"/>
      <c r="R71" s="560" t="n"/>
      <c r="S71" s="560" t="n"/>
      <c r="T71" s="560" t="n"/>
      <c r="U71" s="560" t="n"/>
    </row>
    <row r="72">
      <c r="A72" s="560" t="n"/>
      <c r="B72" s="560" t="n"/>
      <c r="C72" s="560" t="n"/>
      <c r="D72" s="560" t="n"/>
      <c r="E72" s="560" t="n"/>
      <c r="F72" s="560" t="n"/>
      <c r="G72" s="560" t="n"/>
      <c r="H72" s="560" t="n"/>
      <c r="I72" s="560" t="n"/>
      <c r="J72" s="560" t="n"/>
      <c r="K72" s="560" t="n"/>
      <c r="L72" s="560" t="n"/>
      <c r="M72" s="560" t="n"/>
      <c r="N72" s="560" t="n"/>
      <c r="O72" s="560" t="n"/>
      <c r="P72" s="560" t="n"/>
      <c r="Q72" s="560" t="n"/>
      <c r="R72" s="560" t="n"/>
      <c r="S72" s="560" t="n"/>
      <c r="T72" s="560" t="n"/>
      <c r="U72" s="560" t="n"/>
    </row>
    <row r="73">
      <c r="A73" s="560" t="n"/>
      <c r="B73" s="560" t="n"/>
      <c r="C73" s="560" t="n"/>
      <c r="D73" s="560" t="n"/>
      <c r="E73" s="560" t="n"/>
      <c r="F73" s="560" t="n"/>
      <c r="G73" s="560" t="n"/>
      <c r="H73" s="560" t="n"/>
      <c r="I73" s="560" t="n"/>
      <c r="J73" s="560" t="n"/>
      <c r="K73" s="560" t="n"/>
      <c r="L73" s="560" t="n"/>
      <c r="M73" s="560" t="n"/>
      <c r="N73" s="560" t="n"/>
      <c r="O73" s="560" t="n"/>
      <c r="P73" s="560" t="n"/>
      <c r="Q73" s="560" t="n"/>
      <c r="R73" s="560" t="n"/>
      <c r="S73" s="560" t="n"/>
      <c r="T73" s="560" t="n"/>
      <c r="U73" s="560" t="n"/>
    </row>
    <row r="74">
      <c r="A74" s="560" t="n"/>
      <c r="B74" s="560" t="n"/>
      <c r="C74" s="560" t="n"/>
      <c r="D74" s="560" t="n"/>
      <c r="E74" s="560" t="n"/>
      <c r="F74" s="560" t="n"/>
      <c r="G74" s="560" t="n"/>
      <c r="H74" s="560" t="n"/>
      <c r="I74" s="560" t="n"/>
      <c r="J74" s="560" t="n"/>
      <c r="K74" s="560" t="n"/>
      <c r="L74" s="560" t="n"/>
      <c r="M74" s="560" t="n"/>
      <c r="N74" s="560" t="n"/>
      <c r="O74" s="560" t="n"/>
      <c r="P74" s="560" t="n"/>
      <c r="Q74" s="560" t="n"/>
      <c r="R74" s="560" t="n"/>
      <c r="S74" s="560" t="n"/>
      <c r="T74" s="560" t="n"/>
      <c r="U74" s="560" t="n"/>
    </row>
    <row r="75">
      <c r="A75" s="560" t="n"/>
      <c r="B75" s="560" t="n"/>
      <c r="C75" s="560" t="n"/>
      <c r="D75" s="560" t="n"/>
      <c r="E75" s="560" t="n"/>
      <c r="F75" s="560" t="n"/>
      <c r="G75" s="560" t="n"/>
      <c r="H75" s="560" t="n"/>
      <c r="I75" s="560" t="n"/>
      <c r="J75" s="560" t="n"/>
      <c r="K75" s="560" t="n"/>
      <c r="L75" s="560" t="n"/>
      <c r="M75" s="560" t="n"/>
      <c r="N75" s="560" t="n"/>
      <c r="O75" s="560" t="n"/>
      <c r="P75" s="560" t="n"/>
      <c r="Q75" s="560" t="n"/>
      <c r="R75" s="560" t="n"/>
      <c r="S75" s="560" t="n"/>
      <c r="T75" s="560" t="n"/>
      <c r="U75" s="560" t="n"/>
    </row>
    <row r="76">
      <c r="A76" s="560" t="n"/>
      <c r="B76" s="560" t="n"/>
      <c r="C76" s="560" t="n"/>
      <c r="D76" s="560" t="n"/>
      <c r="E76" s="560" t="n"/>
      <c r="F76" s="560" t="n"/>
      <c r="G76" s="560" t="n"/>
      <c r="H76" s="560" t="n"/>
      <c r="I76" s="560" t="n"/>
      <c r="J76" s="560" t="n"/>
      <c r="K76" s="560" t="n"/>
      <c r="L76" s="560" t="n"/>
      <c r="M76" s="560" t="n"/>
      <c r="N76" s="560" t="n"/>
      <c r="O76" s="560" t="n"/>
      <c r="P76" s="560" t="n"/>
      <c r="Q76" s="560" t="n"/>
      <c r="R76" s="560" t="n"/>
      <c r="S76" s="560" t="n"/>
      <c r="T76" s="560" t="n"/>
      <c r="U76" s="560" t="n"/>
    </row>
    <row r="77">
      <c r="A77" s="560" t="n"/>
      <c r="B77" s="560" t="n"/>
      <c r="C77" s="560" t="n"/>
      <c r="D77" s="560" t="n"/>
      <c r="E77" s="560" t="n"/>
      <c r="F77" s="560" t="n"/>
      <c r="G77" s="560" t="n"/>
      <c r="H77" s="560" t="n"/>
      <c r="I77" s="560" t="n"/>
      <c r="J77" s="560" t="n"/>
      <c r="K77" s="560" t="n"/>
      <c r="L77" s="560" t="n"/>
      <c r="M77" s="560" t="n"/>
      <c r="N77" s="560" t="n"/>
      <c r="O77" s="560" t="n"/>
      <c r="P77" s="560" t="n"/>
      <c r="Q77" s="560" t="n"/>
      <c r="R77" s="560" t="n"/>
      <c r="S77" s="560" t="n"/>
      <c r="T77" s="560" t="n"/>
      <c r="U77" s="560" t="n"/>
    </row>
    <row r="78">
      <c r="A78" s="560" t="n"/>
      <c r="B78" s="560" t="n"/>
      <c r="C78" s="560" t="n"/>
      <c r="D78" s="560" t="n"/>
      <c r="E78" s="560" t="n"/>
      <c r="F78" s="560" t="n"/>
      <c r="G78" s="560" t="n"/>
      <c r="H78" s="560" t="n"/>
      <c r="I78" s="560" t="n"/>
      <c r="J78" s="560" t="n"/>
      <c r="K78" s="560" t="n"/>
      <c r="L78" s="560" t="n"/>
      <c r="M78" s="560" t="n"/>
      <c r="N78" s="560" t="n"/>
      <c r="O78" s="560" t="n"/>
      <c r="P78" s="560" t="n"/>
      <c r="Q78" s="560" t="n"/>
      <c r="R78" s="560" t="n"/>
      <c r="S78" s="560" t="n"/>
      <c r="T78" s="560" t="n"/>
      <c r="U78" s="560" t="n"/>
    </row>
    <row r="79">
      <c r="A79" s="560" t="n"/>
      <c r="B79" s="560" t="n"/>
      <c r="C79" s="560" t="n"/>
      <c r="D79" s="560" t="n"/>
      <c r="E79" s="560" t="n"/>
      <c r="F79" s="560" t="n"/>
      <c r="G79" s="560" t="n"/>
      <c r="H79" s="560" t="n"/>
      <c r="I79" s="560" t="n"/>
      <c r="J79" s="560" t="n"/>
      <c r="K79" s="560" t="n"/>
      <c r="L79" s="560" t="n"/>
      <c r="M79" s="560" t="n"/>
      <c r="N79" s="560" t="n"/>
      <c r="O79" s="560" t="n"/>
      <c r="P79" s="560" t="n"/>
      <c r="Q79" s="560" t="n"/>
      <c r="R79" s="560" t="n"/>
      <c r="S79" s="560" t="n"/>
      <c r="T79" s="560" t="n"/>
      <c r="U79" s="560" t="n"/>
    </row>
    <row r="80">
      <c r="A80" s="560" t="n"/>
      <c r="B80" s="560" t="n"/>
      <c r="C80" s="560" t="n"/>
      <c r="D80" s="560" t="n"/>
      <c r="E80" s="560" t="n"/>
      <c r="F80" s="560" t="n"/>
      <c r="G80" s="560" t="n"/>
      <c r="H80" s="560" t="n"/>
      <c r="I80" s="560" t="n"/>
      <c r="J80" s="560" t="n"/>
      <c r="K80" s="560" t="n"/>
      <c r="L80" s="560" t="n"/>
      <c r="M80" s="560" t="n"/>
      <c r="N80" s="560" t="n"/>
      <c r="O80" s="560" t="n"/>
      <c r="P80" s="560" t="n"/>
      <c r="Q80" s="560" t="n"/>
      <c r="R80" s="560" t="n"/>
      <c r="S80" s="560" t="n"/>
      <c r="T80" s="560" t="n"/>
      <c r="U80" s="560" t="n"/>
    </row>
    <row r="81">
      <c r="A81" s="560" t="n"/>
      <c r="B81" s="560" t="n"/>
      <c r="C81" s="560" t="n"/>
      <c r="D81" s="560" t="n"/>
      <c r="E81" s="560" t="n"/>
      <c r="F81" s="560" t="n"/>
      <c r="G81" s="560" t="n"/>
      <c r="H81" s="560" t="n"/>
      <c r="I81" s="560" t="n"/>
      <c r="J81" s="560" t="n"/>
      <c r="K81" s="560" t="n"/>
      <c r="L81" s="560" t="n"/>
      <c r="M81" s="560" t="n"/>
      <c r="N81" s="560" t="n"/>
      <c r="O81" s="560" t="n"/>
      <c r="P81" s="560" t="n"/>
      <c r="Q81" s="560" t="n"/>
      <c r="R81" s="560" t="n"/>
      <c r="S81" s="560" t="n"/>
      <c r="T81" s="560" t="n"/>
      <c r="U81" s="560" t="n"/>
    </row>
    <row r="82">
      <c r="A82" s="560" t="n"/>
      <c r="B82" s="560" t="n"/>
      <c r="C82" s="560" t="n"/>
      <c r="D82" s="560" t="n"/>
      <c r="E82" s="560" t="n"/>
      <c r="F82" s="560" t="n"/>
      <c r="G82" s="560" t="n"/>
      <c r="H82" s="560" t="n"/>
      <c r="I82" s="560" t="n"/>
      <c r="J82" s="560" t="n"/>
      <c r="K82" s="560" t="n"/>
      <c r="L82" s="560" t="n"/>
      <c r="M82" s="560" t="n"/>
      <c r="N82" s="560" t="n"/>
      <c r="O82" s="560" t="n"/>
      <c r="P82" s="560" t="n"/>
      <c r="Q82" s="560" t="n"/>
      <c r="R82" s="560" t="n"/>
      <c r="S82" s="560" t="n"/>
      <c r="T82" s="560" t="n"/>
      <c r="U82" s="560" t="n"/>
    </row>
    <row r="83">
      <c r="A83" s="560" t="n"/>
      <c r="B83" s="560" t="n"/>
      <c r="C83" s="560" t="n"/>
      <c r="D83" s="560" t="n"/>
      <c r="E83" s="560" t="n"/>
      <c r="F83" s="560" t="n"/>
      <c r="G83" s="560" t="n"/>
      <c r="H83" s="560" t="n"/>
      <c r="I83" s="560" t="n"/>
      <c r="J83" s="560" t="n"/>
      <c r="K83" s="560" t="n"/>
      <c r="L83" s="560" t="n"/>
      <c r="M83" s="560" t="n"/>
      <c r="N83" s="560" t="n"/>
      <c r="O83" s="560" t="n"/>
      <c r="P83" s="560" t="n"/>
      <c r="Q83" s="560" t="n"/>
      <c r="R83" s="560" t="n"/>
      <c r="S83" s="560" t="n"/>
      <c r="T83" s="560" t="n"/>
      <c r="U83" s="560" t="n"/>
    </row>
    <row r="84">
      <c r="A84" s="560" t="n"/>
      <c r="B84" s="560" t="n"/>
      <c r="C84" s="560" t="n"/>
      <c r="D84" s="560" t="n"/>
      <c r="E84" s="560" t="n"/>
      <c r="F84" s="560" t="n"/>
      <c r="G84" s="560" t="n"/>
      <c r="H84" s="560" t="n"/>
      <c r="I84" s="560" t="n"/>
      <c r="J84" s="560" t="n"/>
      <c r="K84" s="560" t="n"/>
      <c r="L84" s="560" t="n"/>
      <c r="M84" s="560" t="n"/>
      <c r="N84" s="560" t="n"/>
      <c r="O84" s="560" t="n"/>
      <c r="P84" s="560" t="n"/>
      <c r="Q84" s="560" t="n"/>
      <c r="R84" s="560" t="n"/>
      <c r="S84" s="560" t="n"/>
      <c r="T84" s="560" t="n"/>
      <c r="U84" s="560" t="n"/>
    </row>
    <row r="85">
      <c r="A85" s="560" t="n"/>
      <c r="B85" s="560" t="n"/>
      <c r="C85" s="560" t="n"/>
      <c r="D85" s="560" t="n"/>
      <c r="E85" s="560" t="n"/>
      <c r="F85" s="560" t="n"/>
      <c r="G85" s="560" t="n"/>
      <c r="H85" s="560" t="n"/>
      <c r="I85" s="560" t="n"/>
      <c r="J85" s="560" t="n"/>
      <c r="K85" s="560" t="n"/>
      <c r="L85" s="560" t="n"/>
      <c r="M85" s="560" t="n"/>
      <c r="N85" s="560" t="n"/>
      <c r="O85" s="560" t="n"/>
      <c r="P85" s="560" t="n"/>
      <c r="Q85" s="560" t="n"/>
      <c r="R85" s="560" t="n"/>
      <c r="S85" s="560" t="n"/>
      <c r="T85" s="560" t="n"/>
      <c r="U85" s="560" t="n"/>
    </row>
    <row r="86">
      <c r="A86" s="560" t="n"/>
      <c r="B86" s="560" t="n"/>
      <c r="C86" s="560" t="n"/>
      <c r="D86" s="560" t="n"/>
      <c r="E86" s="560" t="n"/>
      <c r="F86" s="560" t="n"/>
      <c r="G86" s="560" t="n"/>
      <c r="H86" s="560" t="n"/>
      <c r="I86" s="560" t="n"/>
      <c r="J86" s="560" t="n"/>
      <c r="K86" s="560" t="n"/>
      <c r="L86" s="560" t="n"/>
      <c r="M86" s="560" t="n"/>
      <c r="N86" s="560" t="n"/>
      <c r="O86" s="560" t="n"/>
      <c r="P86" s="560" t="n"/>
      <c r="Q86" s="560" t="n"/>
      <c r="R86" s="560" t="n"/>
      <c r="S86" s="560" t="n"/>
      <c r="T86" s="560" t="n"/>
      <c r="U86" s="560" t="n"/>
    </row>
    <row r="87">
      <c r="A87" s="560" t="n"/>
      <c r="B87" s="560" t="n"/>
      <c r="C87" s="560" t="n"/>
      <c r="D87" s="560" t="n"/>
      <c r="E87" s="560" t="n"/>
      <c r="F87" s="560" t="n"/>
      <c r="G87" s="560" t="n"/>
      <c r="H87" s="560" t="n"/>
      <c r="I87" s="560" t="n"/>
      <c r="J87" s="560" t="n"/>
      <c r="K87" s="560" t="n"/>
      <c r="L87" s="560" t="n"/>
      <c r="M87" s="560" t="n"/>
      <c r="N87" s="560" t="n"/>
      <c r="O87" s="560" t="n"/>
      <c r="P87" s="560" t="n"/>
      <c r="Q87" s="560" t="n"/>
      <c r="R87" s="560" t="n"/>
      <c r="S87" s="560" t="n"/>
      <c r="T87" s="560" t="n"/>
      <c r="U87" s="560" t="n"/>
    </row>
    <row r="88">
      <c r="A88" s="560" t="n"/>
      <c r="B88" s="560" t="n"/>
      <c r="C88" s="560" t="n"/>
      <c r="D88" s="560" t="n"/>
      <c r="E88" s="560" t="n"/>
      <c r="F88" s="560" t="n"/>
      <c r="G88" s="560" t="n"/>
      <c r="H88" s="560" t="n"/>
      <c r="I88" s="560" t="n"/>
      <c r="J88" s="560" t="n"/>
      <c r="K88" s="560" t="n"/>
      <c r="L88" s="560" t="n"/>
      <c r="M88" s="560" t="n"/>
      <c r="N88" s="560" t="n"/>
      <c r="O88" s="560" t="n"/>
      <c r="P88" s="560" t="n"/>
      <c r="Q88" s="560" t="n"/>
      <c r="R88" s="560" t="n"/>
      <c r="S88" s="560" t="n"/>
      <c r="T88" s="560" t="n"/>
      <c r="U88" s="560" t="n"/>
    </row>
    <row r="89">
      <c r="A89" s="560" t="n"/>
      <c r="B89" s="560" t="n"/>
      <c r="C89" s="560" t="n"/>
      <c r="D89" s="560" t="n"/>
      <c r="E89" s="560" t="n"/>
      <c r="F89" s="560" t="n"/>
      <c r="G89" s="560" t="n"/>
      <c r="H89" s="560" t="n"/>
      <c r="I89" s="560" t="n"/>
      <c r="J89" s="560" t="n"/>
      <c r="K89" s="560" t="n"/>
      <c r="L89" s="560" t="n"/>
      <c r="M89" s="560" t="n"/>
      <c r="N89" s="560" t="n"/>
      <c r="O89" s="560" t="n"/>
      <c r="P89" s="560" t="n"/>
      <c r="Q89" s="560" t="n"/>
      <c r="R89" s="560" t="n"/>
      <c r="S89" s="560" t="n"/>
      <c r="T89" s="560" t="n"/>
      <c r="U89" s="560" t="n"/>
    </row>
    <row r="90">
      <c r="A90" s="560" t="n"/>
      <c r="B90" s="560" t="n"/>
      <c r="C90" s="560" t="n"/>
      <c r="D90" s="560" t="n"/>
      <c r="E90" s="560" t="n"/>
      <c r="F90" s="560" t="n"/>
      <c r="G90" s="560" t="n"/>
      <c r="H90" s="560" t="n"/>
      <c r="I90" s="560" t="n"/>
      <c r="J90" s="560" t="n"/>
      <c r="K90" s="560" t="n"/>
      <c r="L90" s="560" t="n"/>
      <c r="M90" s="560" t="n"/>
      <c r="N90" s="560" t="n"/>
      <c r="O90" s="560" t="n"/>
      <c r="P90" s="560" t="n"/>
      <c r="Q90" s="560" t="n"/>
      <c r="R90" s="560" t="n"/>
      <c r="S90" s="560" t="n"/>
      <c r="T90" s="560" t="n"/>
      <c r="U90" s="560" t="n"/>
    </row>
    <row r="91">
      <c r="A91" s="560" t="n"/>
      <c r="B91" s="560" t="n"/>
      <c r="C91" s="560" t="n"/>
      <c r="D91" s="560" t="n"/>
      <c r="E91" s="560" t="n"/>
      <c r="F91" s="560" t="n"/>
      <c r="G91" s="560" t="n"/>
      <c r="H91" s="560" t="n"/>
      <c r="I91" s="560" t="n"/>
      <c r="J91" s="560" t="n"/>
      <c r="K91" s="560" t="n"/>
      <c r="L91" s="560" t="n"/>
      <c r="M91" s="560" t="n"/>
      <c r="N91" s="560" t="n"/>
      <c r="O91" s="560" t="n"/>
      <c r="P91" s="560" t="n"/>
      <c r="Q91" s="560" t="n"/>
      <c r="R91" s="560" t="n"/>
      <c r="S91" s="560" t="n"/>
      <c r="T91" s="560" t="n"/>
      <c r="U91" s="560" t="n"/>
    </row>
    <row r="92">
      <c r="A92" s="560" t="n"/>
      <c r="B92" s="560" t="n"/>
      <c r="C92" s="560" t="n"/>
      <c r="D92" s="560" t="n"/>
      <c r="E92" s="560" t="n"/>
      <c r="F92" s="560" t="n"/>
      <c r="G92" s="560" t="n"/>
      <c r="H92" s="560" t="n"/>
      <c r="I92" s="560" t="n"/>
      <c r="J92" s="560" t="n"/>
      <c r="K92" s="560" t="n"/>
      <c r="L92" s="560" t="n"/>
      <c r="M92" s="560" t="n"/>
      <c r="N92" s="560" t="n"/>
      <c r="O92" s="560" t="n"/>
      <c r="P92" s="560" t="n"/>
      <c r="Q92" s="560" t="n"/>
      <c r="R92" s="560" t="n"/>
      <c r="S92" s="560" t="n"/>
      <c r="T92" s="560" t="n"/>
      <c r="U92" s="560" t="n"/>
    </row>
    <row r="93">
      <c r="A93" s="560" t="n"/>
      <c r="B93" s="560" t="n"/>
      <c r="C93" s="560" t="n"/>
      <c r="D93" s="560" t="n"/>
      <c r="E93" s="560" t="n"/>
      <c r="F93" s="560" t="n"/>
      <c r="G93" s="560" t="n"/>
      <c r="H93" s="560" t="n"/>
      <c r="I93" s="560" t="n"/>
      <c r="J93" s="560" t="n"/>
      <c r="K93" s="560" t="n"/>
      <c r="L93" s="560" t="n"/>
      <c r="M93" s="560" t="n"/>
      <c r="N93" s="560" t="n"/>
      <c r="O93" s="560" t="n"/>
      <c r="P93" s="560" t="n"/>
      <c r="Q93" s="560" t="n"/>
      <c r="R93" s="560" t="n"/>
      <c r="S93" s="560" t="n"/>
      <c r="T93" s="560" t="n"/>
      <c r="U93" s="560" t="n"/>
    </row>
    <row r="94">
      <c r="A94" s="560" t="n"/>
      <c r="B94" s="560" t="n"/>
      <c r="C94" s="560" t="n"/>
      <c r="D94" s="560" t="n"/>
      <c r="E94" s="560" t="n"/>
      <c r="F94" s="560" t="n"/>
      <c r="G94" s="560" t="n"/>
      <c r="H94" s="560" t="n"/>
      <c r="I94" s="560" t="n"/>
      <c r="J94" s="560" t="n"/>
      <c r="K94" s="560" t="n"/>
      <c r="L94" s="560" t="n"/>
      <c r="M94" s="560" t="n"/>
      <c r="N94" s="560" t="n"/>
      <c r="O94" s="560" t="n"/>
      <c r="P94" s="560" t="n"/>
      <c r="Q94" s="560" t="n"/>
      <c r="R94" s="560" t="n"/>
      <c r="S94" s="560" t="n"/>
      <c r="T94" s="560" t="n"/>
      <c r="U94" s="560" t="n"/>
    </row>
    <row r="95">
      <c r="A95" s="560" t="n"/>
      <c r="B95" s="560" t="n"/>
      <c r="C95" s="560" t="n"/>
      <c r="D95" s="560" t="n"/>
      <c r="E95" s="560" t="n"/>
      <c r="F95" s="560" t="n"/>
      <c r="G95" s="560" t="n"/>
      <c r="H95" s="560" t="n"/>
      <c r="I95" s="560" t="n"/>
      <c r="J95" s="560" t="n"/>
      <c r="K95" s="560" t="n"/>
      <c r="L95" s="560" t="n"/>
      <c r="M95" s="560" t="n"/>
      <c r="N95" s="560" t="n"/>
      <c r="O95" s="560" t="n"/>
      <c r="P95" s="560" t="n"/>
      <c r="Q95" s="560" t="n"/>
      <c r="R95" s="560" t="n"/>
      <c r="S95" s="560" t="n"/>
      <c r="T95" s="560" t="n"/>
      <c r="U95" s="560" t="n"/>
    </row>
    <row r="96">
      <c r="A96" s="560" t="n"/>
      <c r="B96" s="560" t="n"/>
      <c r="C96" s="560" t="n"/>
      <c r="D96" s="560" t="n"/>
      <c r="E96" s="560" t="n"/>
      <c r="F96" s="560" t="n"/>
      <c r="G96" s="560" t="n"/>
      <c r="H96" s="560" t="n"/>
      <c r="I96" s="560" t="n"/>
      <c r="J96" s="560" t="n"/>
      <c r="K96" s="560" t="n"/>
      <c r="L96" s="560" t="n"/>
      <c r="M96" s="560" t="n"/>
      <c r="N96" s="560" t="n"/>
      <c r="O96" s="560" t="n"/>
      <c r="P96" s="560" t="n"/>
      <c r="Q96" s="560" t="n"/>
      <c r="R96" s="560" t="n"/>
      <c r="S96" s="560" t="n"/>
      <c r="T96" s="560" t="n"/>
      <c r="U96" s="560" t="n"/>
    </row>
    <row r="97">
      <c r="A97" s="560" t="n"/>
      <c r="B97" s="560" t="n"/>
      <c r="C97" s="560" t="n"/>
      <c r="D97" s="560" t="n"/>
      <c r="E97" s="560" t="n"/>
      <c r="F97" s="560" t="n"/>
      <c r="G97" s="560" t="n"/>
      <c r="H97" s="560" t="n"/>
      <c r="I97" s="560" t="n"/>
      <c r="J97" s="560" t="n"/>
      <c r="K97" s="560" t="n"/>
      <c r="L97" s="560" t="n"/>
      <c r="M97" s="560" t="n"/>
      <c r="N97" s="560" t="n"/>
      <c r="O97" s="560" t="n"/>
      <c r="P97" s="560" t="n"/>
      <c r="Q97" s="560" t="n"/>
      <c r="R97" s="560" t="n"/>
      <c r="S97" s="560" t="n"/>
      <c r="T97" s="560" t="n"/>
      <c r="U97" s="560" t="n"/>
    </row>
    <row r="98">
      <c r="A98" s="560" t="n"/>
      <c r="B98" s="560" t="n"/>
      <c r="C98" s="560" t="n"/>
      <c r="D98" s="560" t="n"/>
      <c r="E98" s="560" t="n"/>
      <c r="F98" s="560" t="n"/>
      <c r="G98" s="560" t="n"/>
      <c r="H98" s="560" t="n"/>
      <c r="I98" s="560" t="n"/>
      <c r="J98" s="560" t="n"/>
      <c r="K98" s="560" t="n"/>
      <c r="L98" s="560" t="n"/>
      <c r="M98" s="560" t="n"/>
      <c r="N98" s="560" t="n"/>
      <c r="O98" s="560" t="n"/>
      <c r="P98" s="560" t="n"/>
      <c r="Q98" s="560" t="n"/>
      <c r="R98" s="560" t="n"/>
      <c r="S98" s="560" t="n"/>
      <c r="T98" s="560" t="n"/>
      <c r="U98" s="560" t="n"/>
    </row>
    <row r="99">
      <c r="A99" s="560" t="n"/>
      <c r="B99" s="560" t="n"/>
      <c r="C99" s="560" t="n"/>
      <c r="D99" s="560" t="n"/>
      <c r="E99" s="560" t="n"/>
      <c r="F99" s="560" t="n"/>
      <c r="G99" s="560" t="n"/>
      <c r="H99" s="560" t="n"/>
      <c r="I99" s="560" t="n"/>
      <c r="J99" s="560" t="n"/>
      <c r="K99" s="560" t="n"/>
      <c r="L99" s="560" t="n"/>
      <c r="M99" s="560" t="n"/>
      <c r="N99" s="560" t="n"/>
      <c r="O99" s="560" t="n"/>
      <c r="P99" s="560" t="n"/>
      <c r="Q99" s="560" t="n"/>
      <c r="R99" s="560" t="n"/>
      <c r="S99" s="560" t="n"/>
      <c r="T99" s="560" t="n"/>
      <c r="U99" s="560" t="n"/>
    </row>
    <row r="100">
      <c r="A100" s="560" t="n"/>
      <c r="B100" s="560" t="n"/>
      <c r="C100" s="560" t="n"/>
      <c r="D100" s="560" t="n"/>
      <c r="E100" s="560" t="n"/>
      <c r="F100" s="560" t="n"/>
      <c r="G100" s="560" t="n"/>
      <c r="H100" s="560" t="n"/>
      <c r="I100" s="560" t="n"/>
      <c r="J100" s="560" t="n"/>
      <c r="K100" s="560" t="n"/>
      <c r="L100" s="560" t="n"/>
      <c r="M100" s="560" t="n"/>
      <c r="N100" s="560" t="n"/>
      <c r="O100" s="560" t="n"/>
      <c r="P100" s="560" t="n"/>
      <c r="Q100" s="560" t="n"/>
      <c r="R100" s="560" t="n"/>
      <c r="S100" s="560" t="n"/>
      <c r="T100" s="560" t="n"/>
      <c r="U100" s="560" t="n"/>
    </row>
    <row r="101">
      <c r="A101" s="560" t="n"/>
      <c r="B101" s="560" t="n"/>
      <c r="C101" s="560" t="n"/>
      <c r="D101" s="560" t="n"/>
      <c r="E101" s="560" t="n"/>
      <c r="F101" s="560" t="n"/>
      <c r="G101" s="560" t="n"/>
      <c r="H101" s="560" t="n"/>
      <c r="I101" s="560" t="n"/>
      <c r="J101" s="560" t="n"/>
      <c r="K101" s="560" t="n"/>
      <c r="L101" s="560" t="n"/>
      <c r="M101" s="560" t="n"/>
      <c r="N101" s="560" t="n"/>
      <c r="O101" s="560" t="n"/>
      <c r="P101" s="560" t="n"/>
      <c r="Q101" s="560" t="n"/>
      <c r="R101" s="560" t="n"/>
      <c r="S101" s="560" t="n"/>
      <c r="T101" s="560" t="n"/>
      <c r="U101" s="560" t="n"/>
    </row>
    <row r="102">
      <c r="A102" s="560" t="n"/>
      <c r="B102" s="560" t="n"/>
      <c r="C102" s="560" t="n"/>
      <c r="D102" s="560" t="n"/>
      <c r="E102" s="560" t="n"/>
      <c r="F102" s="560" t="n"/>
      <c r="G102" s="560" t="n"/>
      <c r="H102" s="560" t="n"/>
      <c r="I102" s="560" t="n"/>
      <c r="J102" s="560" t="n"/>
      <c r="K102" s="560" t="n"/>
      <c r="L102" s="560" t="n"/>
      <c r="M102" s="560" t="n"/>
      <c r="N102" s="560" t="n"/>
      <c r="O102" s="560" t="n"/>
      <c r="P102" s="560" t="n"/>
      <c r="Q102" s="560" t="n"/>
      <c r="R102" s="560" t="n"/>
      <c r="S102" s="560" t="n"/>
      <c r="T102" s="560" t="n"/>
      <c r="U102" s="560" t="n"/>
    </row>
    <row r="103">
      <c r="A103" s="560" t="n"/>
      <c r="B103" s="560" t="n"/>
      <c r="C103" s="560" t="n"/>
      <c r="D103" s="560" t="n"/>
      <c r="E103" s="560" t="n"/>
      <c r="F103" s="560" t="n"/>
      <c r="G103" s="560" t="n"/>
      <c r="H103" s="560" t="n"/>
      <c r="I103" s="560" t="n"/>
      <c r="J103" s="560" t="n"/>
      <c r="K103" s="560" t="n"/>
      <c r="L103" s="560" t="n"/>
      <c r="M103" s="560" t="n"/>
      <c r="N103" s="560" t="n"/>
      <c r="O103" s="560" t="n"/>
      <c r="P103" s="560" t="n"/>
      <c r="Q103" s="560" t="n"/>
      <c r="R103" s="560" t="n"/>
      <c r="S103" s="560" t="n"/>
      <c r="T103" s="560" t="n"/>
      <c r="U103" s="560" t="n"/>
    </row>
    <row r="104">
      <c r="A104" s="560" t="n"/>
      <c r="B104" s="560" t="n"/>
      <c r="C104" s="560" t="n"/>
      <c r="D104" s="560" t="n"/>
      <c r="E104" s="560" t="n"/>
      <c r="F104" s="560" t="n"/>
      <c r="G104" s="560" t="n"/>
      <c r="H104" s="560" t="n"/>
      <c r="I104" s="560" t="n"/>
      <c r="J104" s="560" t="n"/>
      <c r="K104" s="560" t="n"/>
      <c r="L104" s="560" t="n"/>
      <c r="M104" s="560" t="n"/>
      <c r="N104" s="560" t="n"/>
      <c r="O104" s="560" t="n"/>
      <c r="P104" s="560" t="n"/>
      <c r="Q104" s="560" t="n"/>
      <c r="R104" s="560" t="n"/>
      <c r="S104" s="560" t="n"/>
      <c r="T104" s="560" t="n"/>
      <c r="U104" s="560" t="n"/>
    </row>
    <row r="105">
      <c r="A105" s="560" t="n"/>
      <c r="B105" s="560" t="n"/>
      <c r="C105" s="560" t="n"/>
      <c r="D105" s="560" t="n"/>
      <c r="E105" s="560" t="n"/>
      <c r="F105" s="560" t="n"/>
      <c r="G105" s="560" t="n"/>
      <c r="H105" s="560" t="n"/>
      <c r="I105" s="560" t="n"/>
      <c r="J105" s="560" t="n"/>
      <c r="K105" s="560" t="n"/>
      <c r="L105" s="560" t="n"/>
      <c r="M105" s="560" t="n"/>
      <c r="N105" s="560" t="n"/>
      <c r="O105" s="560" t="n"/>
      <c r="P105" s="560" t="n"/>
      <c r="Q105" s="560" t="n"/>
      <c r="R105" s="560" t="n"/>
      <c r="S105" s="560" t="n"/>
      <c r="T105" s="560" t="n"/>
      <c r="U105" s="560" t="n"/>
    </row>
    <row r="106">
      <c r="A106" s="560" t="n"/>
      <c r="B106" s="560" t="n"/>
      <c r="C106" s="560" t="n"/>
      <c r="D106" s="560" t="n"/>
      <c r="E106" s="560" t="n"/>
      <c r="F106" s="560" t="n"/>
      <c r="G106" s="560" t="n"/>
      <c r="H106" s="560" t="n"/>
      <c r="I106" s="560" t="n"/>
      <c r="J106" s="560" t="n"/>
      <c r="K106" s="560" t="n"/>
      <c r="L106" s="560" t="n"/>
      <c r="M106" s="560" t="n"/>
      <c r="N106" s="560" t="n"/>
      <c r="O106" s="560" t="n"/>
      <c r="P106" s="560" t="n"/>
      <c r="Q106" s="560" t="n"/>
      <c r="R106" s="560" t="n"/>
      <c r="S106" s="560" t="n"/>
      <c r="T106" s="560" t="n"/>
      <c r="U106" s="560" t="n"/>
    </row>
    <row r="107">
      <c r="A107" s="560" t="n"/>
      <c r="B107" s="560" t="n"/>
      <c r="C107" s="560" t="n"/>
      <c r="D107" s="560" t="n"/>
      <c r="E107" s="560" t="n"/>
      <c r="F107" s="560" t="n"/>
      <c r="G107" s="560" t="n"/>
      <c r="H107" s="560" t="n"/>
      <c r="I107" s="560" t="n"/>
      <c r="J107" s="560" t="n"/>
      <c r="K107" s="560" t="n"/>
      <c r="L107" s="560" t="n"/>
      <c r="M107" s="560" t="n"/>
      <c r="N107" s="560" t="n"/>
      <c r="O107" s="560" t="n"/>
      <c r="P107" s="560" t="n"/>
      <c r="Q107" s="560" t="n"/>
      <c r="R107" s="560" t="n"/>
      <c r="S107" s="560" t="n"/>
      <c r="T107" s="560" t="n"/>
      <c r="U107" s="560" t="n"/>
    </row>
    <row r="108">
      <c r="A108" s="560" t="n"/>
      <c r="B108" s="560" t="n"/>
      <c r="C108" s="560" t="n"/>
      <c r="D108" s="560" t="n"/>
      <c r="E108" s="560" t="n"/>
      <c r="F108" s="560" t="n"/>
      <c r="G108" s="560" t="n"/>
      <c r="H108" s="560" t="n"/>
      <c r="I108" s="560" t="n"/>
      <c r="J108" s="560" t="n"/>
      <c r="K108" s="560" t="n"/>
      <c r="L108" s="560" t="n"/>
      <c r="M108" s="560" t="n"/>
      <c r="N108" s="560" t="n"/>
      <c r="O108" s="560" t="n"/>
      <c r="P108" s="560" t="n"/>
      <c r="Q108" s="560" t="n"/>
      <c r="R108" s="560" t="n"/>
      <c r="S108" s="560" t="n"/>
      <c r="T108" s="560" t="n"/>
      <c r="U108" s="560" t="n"/>
    </row>
    <row r="109">
      <c r="A109" s="560" t="n"/>
      <c r="B109" s="560" t="n"/>
      <c r="C109" s="560" t="n"/>
      <c r="D109" s="560" t="n"/>
      <c r="E109" s="560" t="n"/>
      <c r="F109" s="560" t="n"/>
      <c r="G109" s="560" t="n"/>
      <c r="H109" s="560" t="n"/>
      <c r="I109" s="560" t="n"/>
      <c r="J109" s="560" t="n"/>
      <c r="K109" s="560" t="n"/>
      <c r="L109" s="560" t="n"/>
      <c r="M109" s="560" t="n"/>
      <c r="N109" s="560" t="n"/>
      <c r="O109" s="560" t="n"/>
      <c r="P109" s="560" t="n"/>
      <c r="Q109" s="560" t="n"/>
      <c r="R109" s="560" t="n"/>
      <c r="S109" s="560" t="n"/>
      <c r="T109" s="560" t="n"/>
      <c r="U109" s="560" t="n"/>
    </row>
    <row r="110">
      <c r="A110" s="560" t="n"/>
      <c r="B110" s="560" t="n"/>
      <c r="C110" s="560" t="n"/>
      <c r="D110" s="560" t="n"/>
      <c r="E110" s="560" t="n"/>
      <c r="F110" s="560" t="n"/>
      <c r="G110" s="560" t="n"/>
      <c r="H110" s="560" t="n"/>
      <c r="I110" s="560" t="n"/>
      <c r="J110" s="560" t="n"/>
      <c r="K110" s="560" t="n"/>
      <c r="L110" s="560" t="n"/>
      <c r="M110" s="560" t="n"/>
      <c r="N110" s="560" t="n"/>
      <c r="O110" s="560" t="n"/>
      <c r="P110" s="560" t="n"/>
      <c r="Q110" s="560" t="n"/>
      <c r="R110" s="560" t="n"/>
      <c r="S110" s="560" t="n"/>
      <c r="T110" s="560" t="n"/>
      <c r="U110" s="560" t="n"/>
    </row>
    <row r="111">
      <c r="A111" s="560" t="n"/>
      <c r="B111" s="560" t="n"/>
      <c r="C111" s="560" t="n"/>
      <c r="D111" s="560" t="n"/>
      <c r="E111" s="560" t="n"/>
      <c r="F111" s="560" t="n"/>
      <c r="G111" s="560" t="n"/>
      <c r="H111" s="560" t="n"/>
      <c r="I111" s="560" t="n"/>
      <c r="J111" s="560" t="n"/>
      <c r="K111" s="560" t="n"/>
      <c r="L111" s="560" t="n"/>
      <c r="M111" s="560" t="n"/>
      <c r="N111" s="560" t="n"/>
      <c r="O111" s="560" t="n"/>
      <c r="P111" s="560" t="n"/>
      <c r="Q111" s="560" t="n"/>
      <c r="R111" s="560" t="n"/>
      <c r="S111" s="560" t="n"/>
      <c r="T111" s="560" t="n"/>
      <c r="U111" s="560" t="n"/>
    </row>
    <row r="112">
      <c r="A112" s="560" t="n"/>
      <c r="B112" s="560" t="n"/>
      <c r="C112" s="560" t="n"/>
      <c r="D112" s="560" t="n"/>
      <c r="E112" s="560" t="n"/>
      <c r="F112" s="560" t="n"/>
      <c r="G112" s="560" t="n"/>
      <c r="H112" s="560" t="n"/>
      <c r="I112" s="560" t="n"/>
      <c r="J112" s="560" t="n"/>
      <c r="K112" s="560" t="n"/>
      <c r="L112" s="560" t="n"/>
      <c r="M112" s="560" t="n"/>
      <c r="N112" s="560" t="n"/>
      <c r="O112" s="560" t="n"/>
      <c r="P112" s="560" t="n"/>
      <c r="Q112" s="560" t="n"/>
      <c r="R112" s="560" t="n"/>
      <c r="S112" s="560" t="n"/>
      <c r="T112" s="560" t="n"/>
      <c r="U112" s="560" t="n"/>
    </row>
    <row r="113">
      <c r="A113" s="560" t="n"/>
      <c r="B113" s="560" t="n"/>
      <c r="C113" s="560" t="n"/>
      <c r="D113" s="560" t="n"/>
      <c r="E113" s="560" t="n"/>
      <c r="F113" s="560" t="n"/>
      <c r="G113" s="560" t="n"/>
      <c r="H113" s="560" t="n"/>
      <c r="I113" s="560" t="n"/>
      <c r="J113" s="560" t="n"/>
      <c r="K113" s="560" t="n"/>
      <c r="L113" s="560" t="n"/>
      <c r="M113" s="560" t="n"/>
      <c r="N113" s="560" t="n"/>
      <c r="O113" s="560" t="n"/>
      <c r="P113" s="560" t="n"/>
      <c r="Q113" s="560" t="n"/>
      <c r="R113" s="560" t="n"/>
      <c r="S113" s="560" t="n"/>
      <c r="T113" s="560" t="n"/>
      <c r="U113" s="560" t="n"/>
    </row>
    <row r="114">
      <c r="A114" s="560" t="n"/>
      <c r="B114" s="560" t="n"/>
      <c r="C114" s="560" t="n"/>
      <c r="D114" s="560" t="n"/>
      <c r="E114" s="560" t="n"/>
      <c r="F114" s="560" t="n"/>
      <c r="G114" s="560" t="n"/>
      <c r="H114" s="560" t="n"/>
      <c r="I114" s="560" t="n"/>
      <c r="J114" s="560" t="n"/>
      <c r="K114" s="560" t="n"/>
      <c r="L114" s="560" t="n"/>
      <c r="M114" s="560" t="n"/>
      <c r="N114" s="560" t="n"/>
      <c r="O114" s="560" t="n"/>
      <c r="P114" s="560" t="n"/>
      <c r="Q114" s="560" t="n"/>
      <c r="R114" s="560" t="n"/>
      <c r="S114" s="560" t="n"/>
      <c r="T114" s="560" t="n"/>
      <c r="U114" s="560" t="n"/>
    </row>
    <row r="115">
      <c r="A115" s="560" t="n"/>
      <c r="B115" s="560" t="n"/>
      <c r="C115" s="560" t="n"/>
      <c r="D115" s="560" t="n"/>
      <c r="E115" s="560" t="n"/>
      <c r="F115" s="560" t="n"/>
      <c r="G115" s="560" t="n"/>
      <c r="H115" s="560" t="n"/>
      <c r="I115" s="560" t="n"/>
      <c r="J115" s="560" t="n"/>
      <c r="K115" s="560" t="n"/>
      <c r="L115" s="560" t="n"/>
      <c r="M115" s="560" t="n"/>
      <c r="N115" s="560" t="n"/>
      <c r="O115" s="560" t="n"/>
      <c r="P115" s="560" t="n"/>
      <c r="Q115" s="560" t="n"/>
      <c r="R115" s="560" t="n"/>
      <c r="S115" s="560" t="n"/>
      <c r="T115" s="560" t="n"/>
      <c r="U115" s="560" t="n"/>
    </row>
    <row r="116">
      <c r="A116" s="560" t="n"/>
      <c r="B116" s="560" t="n"/>
      <c r="C116" s="560" t="n"/>
      <c r="D116" s="560" t="n"/>
      <c r="E116" s="560" t="n"/>
      <c r="F116" s="560" t="n"/>
      <c r="G116" s="560" t="n"/>
      <c r="H116" s="560" t="n"/>
      <c r="I116" s="560" t="n"/>
      <c r="J116" s="560" t="n"/>
      <c r="K116" s="560" t="n"/>
      <c r="L116" s="560" t="n"/>
      <c r="M116" s="560" t="n"/>
      <c r="N116" s="560" t="n"/>
      <c r="O116" s="560" t="n"/>
      <c r="P116" s="560" t="n"/>
      <c r="Q116" s="560" t="n"/>
      <c r="R116" s="560" t="n"/>
      <c r="S116" s="560" t="n"/>
      <c r="T116" s="560" t="n"/>
      <c r="U116" s="560" t="n"/>
    </row>
    <row r="117">
      <c r="A117" s="560" t="n"/>
      <c r="B117" s="560" t="n"/>
      <c r="C117" s="560" t="n"/>
      <c r="D117" s="560" t="n"/>
      <c r="E117" s="560" t="n"/>
      <c r="F117" s="560" t="n"/>
      <c r="G117" s="560" t="n"/>
      <c r="H117" s="560" t="n"/>
      <c r="I117" s="560" t="n"/>
      <c r="J117" s="560" t="n"/>
      <c r="K117" s="560" t="n"/>
      <c r="L117" s="560" t="n"/>
      <c r="M117" s="560" t="n"/>
      <c r="N117" s="560" t="n"/>
      <c r="O117" s="560" t="n"/>
      <c r="P117" s="560" t="n"/>
      <c r="Q117" s="560" t="n"/>
      <c r="R117" s="560" t="n"/>
      <c r="S117" s="560" t="n"/>
      <c r="T117" s="560" t="n"/>
      <c r="U117" s="560" t="n"/>
    </row>
    <row r="118">
      <c r="A118" s="560" t="n"/>
      <c r="B118" s="560" t="n"/>
      <c r="C118" s="560" t="n"/>
      <c r="D118" s="560" t="n"/>
      <c r="E118" s="560" t="n"/>
      <c r="F118" s="560" t="n"/>
      <c r="G118" s="560" t="n"/>
      <c r="H118" s="560" t="n"/>
      <c r="I118" s="560" t="n"/>
      <c r="J118" s="560" t="n"/>
      <c r="K118" s="560" t="n"/>
      <c r="L118" s="560" t="n"/>
      <c r="M118" s="560" t="n"/>
      <c r="N118" s="560" t="n"/>
      <c r="O118" s="560" t="n"/>
      <c r="P118" s="560" t="n"/>
      <c r="Q118" s="560" t="n"/>
      <c r="R118" s="560" t="n"/>
      <c r="S118" s="560" t="n"/>
      <c r="T118" s="560" t="n"/>
      <c r="U118" s="560" t="n"/>
    </row>
    <row r="119">
      <c r="A119" s="560" t="n"/>
      <c r="B119" s="560" t="n"/>
      <c r="C119" s="560" t="n"/>
      <c r="D119" s="560" t="n"/>
      <c r="E119" s="560" t="n"/>
      <c r="F119" s="560" t="n"/>
      <c r="G119" s="560" t="n"/>
      <c r="H119" s="560" t="n"/>
      <c r="I119" s="560" t="n"/>
      <c r="J119" s="560" t="n"/>
      <c r="K119" s="560" t="n"/>
      <c r="L119" s="560" t="n"/>
      <c r="M119" s="560" t="n"/>
      <c r="N119" s="560" t="n"/>
      <c r="O119" s="560" t="n"/>
      <c r="P119" s="560" t="n"/>
      <c r="Q119" s="560" t="n"/>
      <c r="R119" s="560" t="n"/>
      <c r="S119" s="560" t="n"/>
      <c r="T119" s="560" t="n"/>
      <c r="U119" s="560" t="n"/>
    </row>
    <row r="120">
      <c r="A120" s="560" t="n"/>
      <c r="B120" s="560" t="n"/>
      <c r="C120" s="560" t="n"/>
      <c r="D120" s="560" t="n"/>
      <c r="E120" s="560" t="n"/>
      <c r="F120" s="560" t="n"/>
      <c r="G120" s="560" t="n"/>
      <c r="H120" s="560" t="n"/>
      <c r="I120" s="560" t="n"/>
      <c r="J120" s="560" t="n"/>
      <c r="K120" s="560" t="n"/>
      <c r="L120" s="560" t="n"/>
      <c r="M120" s="560" t="n"/>
      <c r="N120" s="560" t="n"/>
      <c r="O120" s="560" t="n"/>
      <c r="P120" s="560" t="n"/>
      <c r="Q120" s="560" t="n"/>
      <c r="R120" s="560" t="n"/>
      <c r="S120" s="560" t="n"/>
      <c r="T120" s="560" t="n"/>
      <c r="U120" s="560" t="n"/>
    </row>
    <row r="121">
      <c r="A121" s="560" t="n"/>
      <c r="B121" s="560" t="n"/>
      <c r="C121" s="560" t="n"/>
      <c r="D121" s="560" t="n"/>
      <c r="E121" s="560" t="n"/>
      <c r="F121" s="560" t="n"/>
      <c r="G121" s="560" t="n"/>
      <c r="H121" s="560" t="n"/>
      <c r="I121" s="560" t="n"/>
      <c r="J121" s="560" t="n"/>
      <c r="K121" s="560" t="n"/>
      <c r="L121" s="560" t="n"/>
      <c r="M121" s="560" t="n"/>
      <c r="N121" s="560" t="n"/>
      <c r="O121" s="560" t="n"/>
      <c r="P121" s="560" t="n"/>
      <c r="Q121" s="560" t="n"/>
      <c r="R121" s="560" t="n"/>
      <c r="S121" s="560" t="n"/>
      <c r="T121" s="560" t="n"/>
      <c r="U121" s="560" t="n"/>
    </row>
    <row r="122">
      <c r="A122" s="560" t="n"/>
      <c r="B122" s="560" t="n"/>
      <c r="C122" s="560" t="n"/>
      <c r="D122" s="560" t="n"/>
      <c r="E122" s="560" t="n"/>
      <c r="F122" s="560" t="n"/>
      <c r="G122" s="560" t="n"/>
      <c r="H122" s="560" t="n"/>
      <c r="I122" s="560" t="n"/>
      <c r="J122" s="560" t="n"/>
      <c r="K122" s="560" t="n"/>
      <c r="L122" s="560" t="n"/>
      <c r="M122" s="560" t="n"/>
      <c r="N122" s="560" t="n"/>
      <c r="O122" s="560" t="n"/>
      <c r="P122" s="560" t="n"/>
      <c r="Q122" s="560" t="n"/>
      <c r="R122" s="560" t="n"/>
      <c r="S122" s="560" t="n"/>
      <c r="T122" s="560" t="n"/>
      <c r="U122" s="560" t="n"/>
    </row>
    <row r="123">
      <c r="A123" s="560" t="n"/>
      <c r="B123" s="560" t="n"/>
      <c r="C123" s="560" t="n"/>
      <c r="D123" s="560" t="n"/>
      <c r="E123" s="560" t="n"/>
      <c r="F123" s="560" t="n"/>
      <c r="G123" s="560" t="n"/>
      <c r="H123" s="560" t="n"/>
      <c r="I123" s="560" t="n"/>
      <c r="J123" s="560" t="n"/>
      <c r="K123" s="560" t="n"/>
      <c r="L123" s="560" t="n"/>
      <c r="M123" s="560" t="n"/>
      <c r="N123" s="560" t="n"/>
      <c r="O123" s="560" t="n"/>
      <c r="P123" s="560" t="n"/>
      <c r="Q123" s="560" t="n"/>
      <c r="R123" s="560" t="n"/>
      <c r="S123" s="560" t="n"/>
      <c r="T123" s="560" t="n"/>
      <c r="U123" s="560" t="n"/>
    </row>
    <row r="124">
      <c r="A124" s="560" t="n"/>
      <c r="B124" s="560" t="n"/>
      <c r="C124" s="560" t="n"/>
      <c r="D124" s="560" t="n"/>
      <c r="E124" s="560" t="n"/>
      <c r="F124" s="560" t="n"/>
      <c r="G124" s="560" t="n"/>
      <c r="H124" s="560" t="n"/>
      <c r="I124" s="560" t="n"/>
      <c r="J124" s="560" t="n"/>
      <c r="K124" s="560" t="n"/>
      <c r="L124" s="560" t="n"/>
      <c r="M124" s="560" t="n"/>
      <c r="N124" s="560" t="n"/>
      <c r="O124" s="560" t="n"/>
      <c r="P124" s="560" t="n"/>
      <c r="Q124" s="560" t="n"/>
      <c r="R124" s="560" t="n"/>
      <c r="S124" s="560" t="n"/>
      <c r="T124" s="560" t="n"/>
      <c r="U124" s="560" t="n"/>
    </row>
    <row r="125">
      <c r="A125" s="560" t="n"/>
      <c r="B125" s="560" t="n"/>
      <c r="C125" s="560" t="n"/>
      <c r="D125" s="560" t="n"/>
      <c r="E125" s="560" t="n"/>
      <c r="F125" s="560" t="n"/>
      <c r="G125" s="560" t="n"/>
      <c r="H125" s="560" t="n"/>
      <c r="I125" s="560" t="n"/>
      <c r="J125" s="560" t="n"/>
      <c r="K125" s="560" t="n"/>
      <c r="L125" s="560" t="n"/>
      <c r="M125" s="560" t="n"/>
      <c r="N125" s="560" t="n"/>
      <c r="O125" s="560" t="n"/>
      <c r="P125" s="560" t="n"/>
      <c r="Q125" s="560" t="n"/>
      <c r="R125" s="560" t="n"/>
      <c r="S125" s="560" t="n"/>
      <c r="T125" s="560" t="n"/>
      <c r="U125" s="560" t="n"/>
    </row>
    <row r="126">
      <c r="A126" s="560" t="n"/>
      <c r="B126" s="560" t="n"/>
      <c r="C126" s="560" t="n"/>
      <c r="D126" s="560" t="n"/>
      <c r="E126" s="560" t="n"/>
      <c r="F126" s="560" t="n"/>
      <c r="G126" s="560" t="n"/>
      <c r="H126" s="560" t="n"/>
      <c r="I126" s="560" t="n"/>
      <c r="J126" s="560" t="n"/>
      <c r="K126" s="560" t="n"/>
      <c r="L126" s="560" t="n"/>
      <c r="M126" s="560" t="n"/>
      <c r="N126" s="560" t="n"/>
      <c r="O126" s="560" t="n"/>
      <c r="P126" s="560" t="n"/>
      <c r="Q126" s="560" t="n"/>
      <c r="R126" s="560" t="n"/>
      <c r="S126" s="560" t="n"/>
      <c r="T126" s="560" t="n"/>
      <c r="U126" s="560" t="n"/>
    </row>
    <row r="127">
      <c r="A127" s="560" t="n"/>
      <c r="B127" s="560" t="n"/>
      <c r="C127" s="560" t="n"/>
      <c r="D127" s="560" t="n"/>
      <c r="E127" s="560" t="n"/>
      <c r="F127" s="560" t="n"/>
      <c r="G127" s="560" t="n"/>
      <c r="H127" s="560" t="n"/>
      <c r="I127" s="560" t="n"/>
      <c r="J127" s="560" t="n"/>
      <c r="K127" s="560" t="n"/>
      <c r="L127" s="560" t="n"/>
      <c r="M127" s="560" t="n"/>
      <c r="N127" s="560" t="n"/>
      <c r="O127" s="560" t="n"/>
      <c r="P127" s="560" t="n"/>
      <c r="Q127" s="560" t="n"/>
      <c r="R127" s="560" t="n"/>
      <c r="S127" s="560" t="n"/>
      <c r="T127" s="560" t="n"/>
      <c r="U127" s="560" t="n"/>
    </row>
    <row r="128">
      <c r="A128" s="560" t="n"/>
      <c r="B128" s="560" t="n"/>
      <c r="C128" s="560" t="n"/>
      <c r="D128" s="560" t="n"/>
      <c r="E128" s="560" t="n"/>
      <c r="F128" s="560" t="n"/>
      <c r="G128" s="560" t="n"/>
      <c r="H128" s="560" t="n"/>
      <c r="I128" s="560" t="n"/>
      <c r="J128" s="560" t="n"/>
      <c r="K128" s="560" t="n"/>
      <c r="L128" s="560" t="n"/>
      <c r="M128" s="560" t="n"/>
      <c r="N128" s="560" t="n"/>
      <c r="O128" s="560" t="n"/>
      <c r="P128" s="560" t="n"/>
      <c r="Q128" s="560" t="n"/>
      <c r="R128" s="560" t="n"/>
      <c r="S128" s="560" t="n"/>
      <c r="T128" s="560" t="n"/>
      <c r="U128" s="560" t="n"/>
    </row>
    <row r="129">
      <c r="A129" s="560" t="n"/>
      <c r="B129" s="560" t="n"/>
      <c r="C129" s="560" t="n"/>
      <c r="D129" s="560" t="n"/>
      <c r="E129" s="560" t="n"/>
      <c r="F129" s="560" t="n"/>
      <c r="G129" s="560" t="n"/>
      <c r="H129" s="560" t="n"/>
      <c r="I129" s="560" t="n"/>
      <c r="J129" s="560" t="n"/>
      <c r="K129" s="560" t="n"/>
      <c r="L129" s="560" t="n"/>
      <c r="M129" s="560" t="n"/>
      <c r="N129" s="560" t="n"/>
      <c r="O129" s="560" t="n"/>
      <c r="P129" s="560" t="n"/>
      <c r="Q129" s="560" t="n"/>
      <c r="R129" s="560" t="n"/>
      <c r="S129" s="560" t="n"/>
      <c r="T129" s="560" t="n"/>
      <c r="U129" s="560" t="n"/>
    </row>
    <row r="130">
      <c r="A130" s="560" t="n"/>
      <c r="B130" s="560" t="n"/>
      <c r="C130" s="560" t="n"/>
      <c r="D130" s="560" t="n"/>
      <c r="E130" s="560" t="n"/>
      <c r="F130" s="560" t="n"/>
      <c r="G130" s="560" t="n"/>
      <c r="H130" s="560" t="n"/>
      <c r="I130" s="560" t="n"/>
      <c r="J130" s="560" t="n"/>
      <c r="K130" s="560" t="n"/>
      <c r="L130" s="560" t="n"/>
      <c r="M130" s="560" t="n"/>
      <c r="N130" s="560" t="n"/>
      <c r="O130" s="560" t="n"/>
      <c r="P130" s="560" t="n"/>
      <c r="Q130" s="560" t="n"/>
      <c r="R130" s="560" t="n"/>
      <c r="S130" s="560" t="n"/>
      <c r="T130" s="560" t="n"/>
      <c r="U130" s="560" t="n"/>
    </row>
    <row r="131">
      <c r="A131" s="560" t="n"/>
      <c r="B131" s="560" t="n"/>
      <c r="C131" s="560" t="n"/>
      <c r="D131" s="560" t="n"/>
      <c r="E131" s="560" t="n"/>
      <c r="F131" s="560" t="n"/>
      <c r="G131" s="560" t="n"/>
      <c r="H131" s="560" t="n"/>
      <c r="I131" s="560" t="n"/>
      <c r="J131" s="560" t="n"/>
      <c r="K131" s="560" t="n"/>
      <c r="L131" s="560" t="n"/>
      <c r="M131" s="560" t="n"/>
      <c r="N131" s="560" t="n"/>
      <c r="O131" s="560" t="n"/>
      <c r="P131" s="560" t="n"/>
      <c r="Q131" s="560" t="n"/>
      <c r="R131" s="560" t="n"/>
      <c r="S131" s="560" t="n"/>
      <c r="T131" s="560" t="n"/>
      <c r="U131" s="560" t="n"/>
    </row>
    <row r="132">
      <c r="A132" s="560" t="n"/>
      <c r="B132" s="560" t="n"/>
      <c r="C132" s="560" t="n"/>
      <c r="D132" s="560" t="n"/>
      <c r="E132" s="560" t="n"/>
      <c r="F132" s="560" t="n"/>
      <c r="G132" s="560" t="n"/>
      <c r="H132" s="560" t="n"/>
      <c r="I132" s="560" t="n"/>
      <c r="J132" s="560" t="n"/>
      <c r="K132" s="560" t="n"/>
      <c r="L132" s="560" t="n"/>
      <c r="M132" s="560" t="n"/>
      <c r="N132" s="560" t="n"/>
      <c r="O132" s="560" t="n"/>
      <c r="P132" s="560" t="n"/>
      <c r="Q132" s="560" t="n"/>
      <c r="R132" s="560" t="n"/>
      <c r="S132" s="560" t="n"/>
      <c r="T132" s="560" t="n"/>
      <c r="U132" s="560" t="n"/>
    </row>
    <row r="133">
      <c r="A133" s="560" t="n"/>
      <c r="B133" s="560" t="n"/>
      <c r="C133" s="560" t="n"/>
      <c r="D133" s="560" t="n"/>
      <c r="E133" s="560" t="n"/>
      <c r="F133" s="560" t="n"/>
      <c r="G133" s="560" t="n"/>
      <c r="H133" s="560" t="n"/>
      <c r="I133" s="560" t="n"/>
      <c r="J133" s="560" t="n"/>
      <c r="K133" s="560" t="n"/>
      <c r="L133" s="560" t="n"/>
      <c r="M133" s="560" t="n"/>
      <c r="N133" s="560" t="n"/>
      <c r="O133" s="560" t="n"/>
      <c r="P133" s="560" t="n"/>
      <c r="Q133" s="560" t="n"/>
      <c r="R133" s="560" t="n"/>
      <c r="S133" s="560" t="n"/>
      <c r="T133" s="560" t="n"/>
      <c r="U133" s="560" t="n"/>
    </row>
    <row r="134">
      <c r="A134" s="560" t="n"/>
      <c r="B134" s="560" t="n"/>
      <c r="C134" s="560" t="n"/>
      <c r="D134" s="560" t="n"/>
      <c r="E134" s="560" t="n"/>
      <c r="F134" s="560" t="n"/>
      <c r="G134" s="560" t="n"/>
      <c r="H134" s="560" t="n"/>
      <c r="I134" s="560" t="n"/>
      <c r="J134" s="560" t="n"/>
      <c r="K134" s="560" t="n"/>
      <c r="L134" s="560" t="n"/>
      <c r="M134" s="560" t="n"/>
      <c r="N134" s="560" t="n"/>
      <c r="O134" s="560" t="n"/>
      <c r="P134" s="560" t="n"/>
      <c r="Q134" s="560" t="n"/>
      <c r="R134" s="560" t="n"/>
      <c r="S134" s="560" t="n"/>
      <c r="T134" s="560" t="n"/>
      <c r="U134" s="560" t="n"/>
    </row>
    <row r="135">
      <c r="A135" s="560" t="n"/>
      <c r="B135" s="560" t="n"/>
      <c r="C135" s="560" t="n"/>
      <c r="D135" s="560" t="n"/>
      <c r="E135" s="560" t="n"/>
      <c r="F135" s="560" t="n"/>
      <c r="G135" s="560" t="n"/>
      <c r="H135" s="560" t="n"/>
      <c r="I135" s="560" t="n"/>
      <c r="J135" s="560" t="n"/>
      <c r="K135" s="560" t="n"/>
      <c r="L135" s="560" t="n"/>
      <c r="M135" s="560" t="n"/>
      <c r="N135" s="560" t="n"/>
      <c r="O135" s="560" t="n"/>
      <c r="P135" s="560" t="n"/>
      <c r="Q135" s="560" t="n"/>
      <c r="R135" s="560" t="n"/>
      <c r="S135" s="560" t="n"/>
      <c r="T135" s="560" t="n"/>
      <c r="U135" s="560" t="n"/>
    </row>
    <row r="136">
      <c r="A136" s="560" t="n"/>
      <c r="B136" s="560" t="n"/>
      <c r="C136" s="560" t="n"/>
      <c r="D136" s="560" t="n"/>
      <c r="E136" s="560" t="n"/>
      <c r="F136" s="560" t="n"/>
      <c r="G136" s="560" t="n"/>
      <c r="H136" s="560" t="n"/>
      <c r="I136" s="560" t="n"/>
      <c r="J136" s="560" t="n"/>
      <c r="K136" s="560" t="n"/>
      <c r="L136" s="560" t="n"/>
      <c r="M136" s="560" t="n"/>
      <c r="N136" s="560" t="n"/>
      <c r="O136" s="560" t="n"/>
      <c r="P136" s="560" t="n"/>
      <c r="Q136" s="560" t="n"/>
      <c r="R136" s="560" t="n"/>
      <c r="S136" s="560" t="n"/>
      <c r="T136" s="560" t="n"/>
      <c r="U136" s="560" t="n"/>
    </row>
    <row r="137">
      <c r="A137" s="560" t="n"/>
      <c r="B137" s="560" t="n"/>
      <c r="C137" s="560" t="n"/>
      <c r="D137" s="560" t="n"/>
      <c r="E137" s="560" t="n"/>
      <c r="F137" s="560" t="n"/>
      <c r="G137" s="560" t="n"/>
      <c r="H137" s="560" t="n"/>
      <c r="I137" s="560" t="n"/>
      <c r="J137" s="560" t="n"/>
      <c r="K137" s="560" t="n"/>
      <c r="L137" s="560" t="n"/>
      <c r="M137" s="560" t="n"/>
      <c r="N137" s="560" t="n"/>
      <c r="O137" s="560" t="n"/>
      <c r="P137" s="560" t="n"/>
      <c r="Q137" s="560" t="n"/>
      <c r="R137" s="560" t="n"/>
      <c r="S137" s="560" t="n"/>
      <c r="T137" s="560" t="n"/>
      <c r="U137" s="560" t="n"/>
    </row>
    <row r="138">
      <c r="A138" s="560"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row>
    <row r="139">
      <c r="A139" s="560" t="n"/>
      <c r="B139" s="560" t="n"/>
      <c r="C139" s="560" t="n"/>
      <c r="D139" s="560" t="n"/>
      <c r="E139" s="560" t="n"/>
      <c r="F139" s="560" t="n"/>
      <c r="G139" s="560" t="n"/>
      <c r="H139" s="560" t="n"/>
      <c r="I139" s="560" t="n"/>
      <c r="J139" s="560" t="n"/>
      <c r="K139" s="560" t="n"/>
      <c r="L139" s="560" t="n"/>
      <c r="M139" s="560" t="n"/>
      <c r="N139" s="560" t="n"/>
      <c r="O139" s="560" t="n"/>
      <c r="P139" s="560" t="n"/>
      <c r="Q139" s="560" t="n"/>
      <c r="R139" s="560" t="n"/>
      <c r="S139" s="560" t="n"/>
      <c r="T139" s="560" t="n"/>
      <c r="U139" s="560" t="n"/>
    </row>
    <row r="140">
      <c r="A140" s="560" t="n"/>
      <c r="B140" s="560" t="n"/>
      <c r="C140" s="560" t="n"/>
      <c r="D140" s="560" t="n"/>
      <c r="E140" s="560" t="n"/>
      <c r="F140" s="560" t="n"/>
      <c r="G140" s="560" t="n"/>
      <c r="H140" s="560" t="n"/>
      <c r="I140" s="560" t="n"/>
      <c r="J140" s="560" t="n"/>
      <c r="K140" s="560" t="n"/>
      <c r="L140" s="560" t="n"/>
      <c r="M140" s="560" t="n"/>
      <c r="N140" s="560" t="n"/>
      <c r="O140" s="560" t="n"/>
      <c r="P140" s="560" t="n"/>
      <c r="Q140" s="560" t="n"/>
      <c r="R140" s="560" t="n"/>
      <c r="S140" s="560" t="n"/>
      <c r="T140" s="560" t="n"/>
      <c r="U140" s="560" t="n"/>
    </row>
    <row r="141">
      <c r="A141" s="560" t="n"/>
      <c r="B141" s="560" t="n"/>
      <c r="C141" s="560" t="n"/>
      <c r="D141" s="560" t="n"/>
      <c r="E141" s="560" t="n"/>
      <c r="F141" s="560" t="n"/>
      <c r="G141" s="560" t="n"/>
      <c r="H141" s="560" t="n"/>
      <c r="I141" s="560" t="n"/>
      <c r="J141" s="560" t="n"/>
      <c r="K141" s="560" t="n"/>
      <c r="L141" s="560" t="n"/>
      <c r="M141" s="560" t="n"/>
      <c r="N141" s="560" t="n"/>
      <c r="O141" s="560" t="n"/>
      <c r="P141" s="560" t="n"/>
      <c r="Q141" s="560" t="n"/>
      <c r="R141" s="560" t="n"/>
      <c r="S141" s="560" t="n"/>
      <c r="T141" s="560" t="n"/>
      <c r="U141" s="560" t="n"/>
    </row>
    <row r="142">
      <c r="A142" s="560" t="n"/>
      <c r="B142" s="560" t="n"/>
      <c r="C142" s="560" t="n"/>
      <c r="D142" s="560" t="n"/>
      <c r="E142" s="560" t="n"/>
      <c r="F142" s="560" t="n"/>
      <c r="G142" s="560" t="n"/>
      <c r="H142" s="560" t="n"/>
      <c r="I142" s="560" t="n"/>
      <c r="J142" s="560" t="n"/>
      <c r="K142" s="560" t="n"/>
      <c r="L142" s="560" t="n"/>
      <c r="M142" s="560" t="n"/>
      <c r="N142" s="560" t="n"/>
      <c r="O142" s="560" t="n"/>
      <c r="P142" s="560" t="n"/>
      <c r="Q142" s="560" t="n"/>
      <c r="R142" s="560" t="n"/>
      <c r="S142" s="560" t="n"/>
      <c r="T142" s="560" t="n"/>
      <c r="U142" s="560" t="n"/>
    </row>
    <row r="143">
      <c r="A143" s="560" t="n"/>
      <c r="B143" s="560" t="n"/>
      <c r="C143" s="560" t="n"/>
      <c r="D143" s="560" t="n"/>
      <c r="E143" s="560" t="n"/>
      <c r="F143" s="560" t="n"/>
      <c r="G143" s="560" t="n"/>
      <c r="H143" s="560" t="n"/>
      <c r="I143" s="560" t="n"/>
      <c r="J143" s="560" t="n"/>
      <c r="K143" s="560" t="n"/>
      <c r="L143" s="560" t="n"/>
      <c r="M143" s="560" t="n"/>
      <c r="N143" s="560" t="n"/>
      <c r="O143" s="560" t="n"/>
      <c r="P143" s="560" t="n"/>
      <c r="Q143" s="560" t="n"/>
      <c r="R143" s="560" t="n"/>
      <c r="S143" s="560" t="n"/>
      <c r="T143" s="560" t="n"/>
      <c r="U143" s="560" t="n"/>
    </row>
    <row r="144">
      <c r="A144" s="560" t="n"/>
      <c r="B144" s="560" t="n"/>
      <c r="C144" s="560" t="n"/>
      <c r="D144" s="560" t="n"/>
      <c r="E144" s="560" t="n"/>
      <c r="F144" s="560" t="n"/>
      <c r="G144" s="560" t="n"/>
      <c r="H144" s="560" t="n"/>
      <c r="I144" s="560" t="n"/>
      <c r="J144" s="560" t="n"/>
      <c r="K144" s="560" t="n"/>
      <c r="L144" s="560" t="n"/>
      <c r="M144" s="560" t="n"/>
      <c r="N144" s="560" t="n"/>
      <c r="O144" s="560" t="n"/>
      <c r="P144" s="560" t="n"/>
      <c r="Q144" s="560" t="n"/>
      <c r="R144" s="560" t="n"/>
      <c r="S144" s="560" t="n"/>
      <c r="T144" s="560" t="n"/>
      <c r="U144" s="560" t="n"/>
    </row>
    <row r="145">
      <c r="A145" s="560" t="n"/>
      <c r="B145" s="560" t="n"/>
      <c r="C145" s="560" t="n"/>
      <c r="D145" s="560" t="n"/>
      <c r="E145" s="560" t="n"/>
      <c r="F145" s="560" t="n"/>
      <c r="G145" s="560" t="n"/>
      <c r="H145" s="560" t="n"/>
      <c r="I145" s="560" t="n"/>
      <c r="J145" s="560" t="n"/>
      <c r="K145" s="560" t="n"/>
      <c r="L145" s="560" t="n"/>
      <c r="M145" s="560" t="n"/>
      <c r="N145" s="560" t="n"/>
      <c r="O145" s="560" t="n"/>
      <c r="P145" s="560" t="n"/>
      <c r="Q145" s="560" t="n"/>
      <c r="R145" s="560" t="n"/>
      <c r="S145" s="560" t="n"/>
      <c r="T145" s="560" t="n"/>
      <c r="U145" s="560" t="n"/>
    </row>
    <row r="146">
      <c r="A146" s="560" t="n"/>
      <c r="B146" s="560" t="n"/>
      <c r="C146" s="560" t="n"/>
      <c r="D146" s="560" t="n"/>
      <c r="E146" s="560" t="n"/>
      <c r="F146" s="560" t="n"/>
      <c r="G146" s="560" t="n"/>
      <c r="H146" s="560" t="n"/>
      <c r="I146" s="560" t="n"/>
      <c r="J146" s="560" t="n"/>
      <c r="K146" s="560" t="n"/>
      <c r="L146" s="560" t="n"/>
      <c r="M146" s="560" t="n"/>
      <c r="N146" s="560" t="n"/>
      <c r="O146" s="560" t="n"/>
      <c r="P146" s="560" t="n"/>
      <c r="Q146" s="560" t="n"/>
      <c r="R146" s="560" t="n"/>
      <c r="S146" s="560" t="n"/>
      <c r="T146" s="560" t="n"/>
      <c r="U146" s="560" t="n"/>
    </row>
    <row r="147">
      <c r="A147" s="560" t="n"/>
      <c r="B147" s="560" t="n"/>
      <c r="C147" s="560" t="n"/>
      <c r="D147" s="560" t="n"/>
      <c r="E147" s="560" t="n"/>
      <c r="F147" s="560" t="n"/>
      <c r="G147" s="560" t="n"/>
      <c r="H147" s="560" t="n"/>
      <c r="I147" s="560" t="n"/>
      <c r="J147" s="560" t="n"/>
      <c r="K147" s="560" t="n"/>
      <c r="L147" s="560" t="n"/>
      <c r="M147" s="560" t="n"/>
      <c r="N147" s="560" t="n"/>
      <c r="O147" s="560" t="n"/>
      <c r="P147" s="560" t="n"/>
      <c r="Q147" s="560" t="n"/>
      <c r="R147" s="560" t="n"/>
      <c r="S147" s="560" t="n"/>
      <c r="T147" s="560" t="n"/>
      <c r="U147" s="560" t="n"/>
    </row>
    <row r="148">
      <c r="A148" s="560" t="n"/>
      <c r="B148" s="560" t="n"/>
      <c r="C148" s="560" t="n"/>
      <c r="D148" s="560" t="n"/>
      <c r="E148" s="560" t="n"/>
      <c r="F148" s="560" t="n"/>
      <c r="G148" s="560" t="n"/>
      <c r="H148" s="560" t="n"/>
      <c r="I148" s="560" t="n"/>
      <c r="J148" s="560" t="n"/>
      <c r="K148" s="560" t="n"/>
      <c r="L148" s="560" t="n"/>
      <c r="M148" s="560" t="n"/>
      <c r="N148" s="560" t="n"/>
      <c r="O148" s="560" t="n"/>
      <c r="P148" s="560" t="n"/>
      <c r="Q148" s="560" t="n"/>
      <c r="R148" s="560" t="n"/>
      <c r="S148" s="560" t="n"/>
      <c r="T148" s="560" t="n"/>
      <c r="U148" s="560" t="n"/>
    </row>
    <row r="149">
      <c r="A149" s="560" t="n"/>
      <c r="B149" s="560" t="n"/>
      <c r="C149" s="560" t="n"/>
      <c r="D149" s="560" t="n"/>
      <c r="E149" s="560" t="n"/>
      <c r="F149" s="560" t="n"/>
      <c r="G149" s="560" t="n"/>
      <c r="H149" s="560" t="n"/>
      <c r="I149" s="560" t="n"/>
      <c r="J149" s="560" t="n"/>
      <c r="K149" s="560" t="n"/>
      <c r="L149" s="560" t="n"/>
      <c r="M149" s="560" t="n"/>
      <c r="N149" s="560" t="n"/>
      <c r="O149" s="560" t="n"/>
      <c r="P149" s="560" t="n"/>
      <c r="Q149" s="560" t="n"/>
      <c r="R149" s="560" t="n"/>
      <c r="S149" s="560" t="n"/>
      <c r="T149" s="560" t="n"/>
      <c r="U149" s="560" t="n"/>
    </row>
    <row r="150">
      <c r="A150" s="560" t="n"/>
      <c r="B150" s="560" t="n"/>
      <c r="C150" s="560" t="n"/>
      <c r="D150" s="560" t="n"/>
      <c r="E150" s="560" t="n"/>
      <c r="F150" s="560" t="n"/>
      <c r="G150" s="560" t="n"/>
      <c r="H150" s="560" t="n"/>
      <c r="I150" s="560" t="n"/>
      <c r="J150" s="560" t="n"/>
      <c r="K150" s="560" t="n"/>
      <c r="L150" s="560" t="n"/>
      <c r="M150" s="560" t="n"/>
      <c r="N150" s="560" t="n"/>
      <c r="O150" s="560" t="n"/>
      <c r="P150" s="560" t="n"/>
      <c r="Q150" s="560" t="n"/>
      <c r="R150" s="560" t="n"/>
      <c r="S150" s="560" t="n"/>
      <c r="T150" s="560" t="n"/>
      <c r="U150" s="560" t="n"/>
    </row>
    <row r="151">
      <c r="A151" s="560" t="n"/>
      <c r="B151" s="560" t="n"/>
      <c r="C151" s="560" t="n"/>
      <c r="D151" s="560" t="n"/>
      <c r="E151" s="560" t="n"/>
      <c r="F151" s="560" t="n"/>
      <c r="G151" s="560" t="n"/>
      <c r="H151" s="560" t="n"/>
      <c r="I151" s="560" t="n"/>
      <c r="J151" s="560" t="n"/>
      <c r="K151" s="560" t="n"/>
      <c r="L151" s="560" t="n"/>
      <c r="M151" s="560" t="n"/>
      <c r="N151" s="560" t="n"/>
      <c r="O151" s="560" t="n"/>
      <c r="P151" s="560" t="n"/>
      <c r="Q151" s="560" t="n"/>
      <c r="R151" s="560" t="n"/>
      <c r="S151" s="560" t="n"/>
      <c r="T151" s="560" t="n"/>
      <c r="U151" s="560" t="n"/>
    </row>
    <row r="152">
      <c r="A152" s="560" t="n"/>
      <c r="B152" s="560" t="n"/>
      <c r="C152" s="560" t="n"/>
      <c r="D152" s="560" t="n"/>
      <c r="E152" s="560" t="n"/>
      <c r="F152" s="560" t="n"/>
      <c r="G152" s="560" t="n"/>
      <c r="H152" s="560" t="n"/>
      <c r="I152" s="560" t="n"/>
      <c r="J152" s="560" t="n"/>
      <c r="K152" s="560" t="n"/>
      <c r="L152" s="560" t="n"/>
      <c r="M152" s="560" t="n"/>
      <c r="N152" s="560" t="n"/>
      <c r="O152" s="560" t="n"/>
      <c r="P152" s="560" t="n"/>
      <c r="Q152" s="560" t="n"/>
      <c r="R152" s="560" t="n"/>
      <c r="S152" s="560" t="n"/>
      <c r="T152" s="560" t="n"/>
      <c r="U152" s="560" t="n"/>
    </row>
    <row r="153">
      <c r="A153" s="560" t="n"/>
      <c r="B153" s="560" t="n"/>
      <c r="C153" s="560" t="n"/>
      <c r="D153" s="560" t="n"/>
      <c r="E153" s="560" t="n"/>
      <c r="F153" s="560" t="n"/>
      <c r="G153" s="560" t="n"/>
      <c r="H153" s="560" t="n"/>
      <c r="I153" s="560" t="n"/>
      <c r="J153" s="560" t="n"/>
      <c r="K153" s="560" t="n"/>
      <c r="L153" s="560" t="n"/>
      <c r="M153" s="560" t="n"/>
      <c r="N153" s="560" t="n"/>
      <c r="O153" s="560" t="n"/>
      <c r="P153" s="560" t="n"/>
      <c r="Q153" s="560" t="n"/>
      <c r="R153" s="560" t="n"/>
      <c r="S153" s="560" t="n"/>
      <c r="T153" s="560" t="n"/>
      <c r="U153" s="560" t="n"/>
    </row>
    <row r="154">
      <c r="A154" s="560" t="n"/>
      <c r="B154" s="560" t="n"/>
      <c r="C154" s="560" t="n"/>
      <c r="D154" s="560" t="n"/>
      <c r="E154" s="560" t="n"/>
      <c r="F154" s="560" t="n"/>
      <c r="G154" s="560" t="n"/>
      <c r="H154" s="560" t="n"/>
      <c r="I154" s="560" t="n"/>
      <c r="J154" s="560" t="n"/>
      <c r="K154" s="560" t="n"/>
      <c r="L154" s="560" t="n"/>
      <c r="M154" s="560" t="n"/>
      <c r="N154" s="560" t="n"/>
      <c r="O154" s="560" t="n"/>
      <c r="P154" s="560" t="n"/>
      <c r="Q154" s="560" t="n"/>
      <c r="R154" s="560" t="n"/>
      <c r="S154" s="560" t="n"/>
      <c r="T154" s="560" t="n"/>
      <c r="U154" s="560" t="n"/>
    </row>
    <row r="155">
      <c r="A155" s="560" t="n"/>
      <c r="B155" s="560" t="n"/>
      <c r="C155" s="560" t="n"/>
      <c r="D155" s="560" t="n"/>
      <c r="E155" s="560" t="n"/>
      <c r="F155" s="560" t="n"/>
      <c r="G155" s="560" t="n"/>
      <c r="H155" s="560" t="n"/>
      <c r="I155" s="560" t="n"/>
      <c r="J155" s="560" t="n"/>
      <c r="K155" s="560" t="n"/>
      <c r="L155" s="560" t="n"/>
      <c r="M155" s="560" t="n"/>
      <c r="N155" s="560" t="n"/>
      <c r="O155" s="560" t="n"/>
      <c r="P155" s="560" t="n"/>
      <c r="Q155" s="560" t="n"/>
      <c r="R155" s="560" t="n"/>
      <c r="S155" s="560" t="n"/>
      <c r="T155" s="560" t="n"/>
      <c r="U155" s="560" t="n"/>
    </row>
    <row r="156">
      <c r="A156" s="560" t="n"/>
      <c r="B156" s="560" t="n"/>
      <c r="C156" s="560" t="n"/>
      <c r="D156" s="560" t="n"/>
      <c r="E156" s="560" t="n"/>
      <c r="F156" s="560" t="n"/>
      <c r="G156" s="560" t="n"/>
      <c r="H156" s="560" t="n"/>
      <c r="I156" s="560" t="n"/>
      <c r="J156" s="560" t="n"/>
      <c r="K156" s="560" t="n"/>
      <c r="L156" s="560" t="n"/>
      <c r="M156" s="560" t="n"/>
      <c r="N156" s="560" t="n"/>
      <c r="O156" s="560" t="n"/>
      <c r="P156" s="560" t="n"/>
      <c r="Q156" s="560" t="n"/>
      <c r="R156" s="560" t="n"/>
      <c r="S156" s="560" t="n"/>
      <c r="T156" s="560" t="n"/>
      <c r="U156" s="560" t="n"/>
    </row>
    <row r="157">
      <c r="A157" s="560" t="n"/>
      <c r="B157" s="560" t="n"/>
      <c r="C157" s="560" t="n"/>
      <c r="D157" s="560" t="n"/>
      <c r="E157" s="560" t="n"/>
      <c r="F157" s="560" t="n"/>
      <c r="G157" s="560" t="n"/>
      <c r="H157" s="560" t="n"/>
      <c r="I157" s="560" t="n"/>
      <c r="J157" s="560" t="n"/>
      <c r="K157" s="560" t="n"/>
      <c r="L157" s="560" t="n"/>
      <c r="M157" s="560" t="n"/>
      <c r="N157" s="560" t="n"/>
      <c r="O157" s="560" t="n"/>
      <c r="P157" s="560" t="n"/>
      <c r="Q157" s="560" t="n"/>
      <c r="R157" s="560" t="n"/>
      <c r="S157" s="560" t="n"/>
      <c r="T157" s="560" t="n"/>
      <c r="U157" s="560" t="n"/>
    </row>
    <row r="158">
      <c r="A158" s="560" t="n"/>
      <c r="B158" s="560" t="n"/>
      <c r="C158" s="560" t="n"/>
      <c r="D158" s="560" t="n"/>
      <c r="E158" s="560" t="n"/>
      <c r="F158" s="560" t="n"/>
      <c r="G158" s="560" t="n"/>
      <c r="H158" s="560" t="n"/>
      <c r="I158" s="560" t="n"/>
      <c r="J158" s="560" t="n"/>
      <c r="K158" s="560" t="n"/>
      <c r="L158" s="560" t="n"/>
      <c r="M158" s="560" t="n"/>
      <c r="N158" s="560" t="n"/>
      <c r="O158" s="560" t="n"/>
      <c r="P158" s="560" t="n"/>
      <c r="Q158" s="560" t="n"/>
      <c r="R158" s="560" t="n"/>
      <c r="S158" s="560" t="n"/>
      <c r="T158" s="560" t="n"/>
      <c r="U158" s="560" t="n"/>
    </row>
    <row r="159">
      <c r="A159" s="560" t="n"/>
      <c r="B159" s="560" t="n"/>
      <c r="C159" s="560" t="n"/>
      <c r="D159" s="560" t="n"/>
      <c r="E159" s="560" t="n"/>
      <c r="F159" s="560" t="n"/>
      <c r="G159" s="560" t="n"/>
      <c r="H159" s="560" t="n"/>
      <c r="I159" s="560" t="n"/>
      <c r="J159" s="560" t="n"/>
      <c r="K159" s="560" t="n"/>
      <c r="L159" s="560" t="n"/>
      <c r="M159" s="560" t="n"/>
      <c r="N159" s="560" t="n"/>
      <c r="O159" s="560" t="n"/>
      <c r="P159" s="560" t="n"/>
      <c r="Q159" s="560" t="n"/>
      <c r="R159" s="560" t="n"/>
      <c r="S159" s="560" t="n"/>
      <c r="T159" s="560" t="n"/>
      <c r="U159" s="560" t="n"/>
    </row>
    <row r="160">
      <c r="A160" s="560" t="n"/>
      <c r="B160" s="560" t="n"/>
      <c r="C160" s="560" t="n"/>
      <c r="D160" s="560" t="n"/>
      <c r="E160" s="560" t="n"/>
      <c r="F160" s="560" t="n"/>
      <c r="G160" s="560" t="n"/>
      <c r="H160" s="560" t="n"/>
      <c r="I160" s="560" t="n"/>
      <c r="J160" s="560" t="n"/>
      <c r="K160" s="560" t="n"/>
      <c r="L160" s="560" t="n"/>
      <c r="M160" s="560" t="n"/>
      <c r="N160" s="560" t="n"/>
      <c r="O160" s="560" t="n"/>
      <c r="P160" s="560" t="n"/>
      <c r="Q160" s="560" t="n"/>
      <c r="R160" s="560" t="n"/>
      <c r="S160" s="560" t="n"/>
      <c r="T160" s="560" t="n"/>
      <c r="U160" s="560" t="n"/>
    </row>
    <row r="161">
      <c r="A161" s="560" t="n"/>
      <c r="B161" s="560" t="n"/>
      <c r="C161" s="560" t="n"/>
      <c r="D161" s="560" t="n"/>
      <c r="E161" s="560" t="n"/>
      <c r="F161" s="560" t="n"/>
      <c r="G161" s="560" t="n"/>
      <c r="H161" s="560" t="n"/>
      <c r="I161" s="560" t="n"/>
      <c r="J161" s="560" t="n"/>
      <c r="K161" s="560" t="n"/>
      <c r="L161" s="560" t="n"/>
      <c r="M161" s="560" t="n"/>
      <c r="N161" s="560" t="n"/>
      <c r="O161" s="560" t="n"/>
      <c r="P161" s="560" t="n"/>
      <c r="Q161" s="560" t="n"/>
      <c r="R161" s="560" t="n"/>
      <c r="S161" s="560" t="n"/>
      <c r="T161" s="560" t="n"/>
      <c r="U161" s="560" t="n"/>
    </row>
    <row r="162">
      <c r="A162" s="560" t="n"/>
      <c r="B162" s="560" t="n"/>
      <c r="C162" s="560" t="n"/>
      <c r="D162" s="560" t="n"/>
      <c r="E162" s="560" t="n"/>
      <c r="F162" s="560" t="n"/>
      <c r="G162" s="560" t="n"/>
      <c r="H162" s="560" t="n"/>
      <c r="I162" s="560" t="n"/>
      <c r="J162" s="560" t="n"/>
      <c r="K162" s="560" t="n"/>
      <c r="L162" s="560" t="n"/>
      <c r="M162" s="560" t="n"/>
      <c r="N162" s="560" t="n"/>
      <c r="O162" s="560" t="n"/>
      <c r="P162" s="560" t="n"/>
      <c r="Q162" s="560" t="n"/>
      <c r="R162" s="560" t="n"/>
      <c r="S162" s="560" t="n"/>
      <c r="T162" s="560" t="n"/>
      <c r="U162" s="560" t="n"/>
    </row>
    <row r="163">
      <c r="A163" s="560" t="n"/>
      <c r="B163" s="560" t="n"/>
      <c r="C163" s="560" t="n"/>
      <c r="D163" s="560" t="n"/>
      <c r="E163" s="560" t="n"/>
      <c r="F163" s="560" t="n"/>
      <c r="G163" s="560" t="n"/>
      <c r="H163" s="560" t="n"/>
      <c r="I163" s="560" t="n"/>
      <c r="J163" s="560" t="n"/>
      <c r="K163" s="560" t="n"/>
      <c r="L163" s="560" t="n"/>
      <c r="M163" s="560" t="n"/>
      <c r="N163" s="560" t="n"/>
      <c r="O163" s="560" t="n"/>
      <c r="P163" s="560" t="n"/>
      <c r="Q163" s="560" t="n"/>
      <c r="R163" s="560" t="n"/>
      <c r="S163" s="560" t="n"/>
      <c r="T163" s="560" t="n"/>
      <c r="U163" s="560" t="n"/>
    </row>
    <row r="164">
      <c r="A164" s="560" t="n"/>
      <c r="B164" s="560" t="n"/>
      <c r="C164" s="560" t="n"/>
      <c r="D164" s="560" t="n"/>
      <c r="E164" s="560" t="n"/>
      <c r="F164" s="560" t="n"/>
      <c r="G164" s="560" t="n"/>
      <c r="H164" s="560" t="n"/>
      <c r="I164" s="560" t="n"/>
      <c r="J164" s="560" t="n"/>
      <c r="K164" s="560" t="n"/>
      <c r="L164" s="560" t="n"/>
      <c r="M164" s="560" t="n"/>
      <c r="N164" s="560" t="n"/>
      <c r="O164" s="560" t="n"/>
      <c r="P164" s="560" t="n"/>
      <c r="Q164" s="560" t="n"/>
      <c r="R164" s="560" t="n"/>
      <c r="S164" s="560" t="n"/>
      <c r="T164" s="560" t="n"/>
      <c r="U164" s="560" t="n"/>
    </row>
    <row r="165">
      <c r="A165" s="560" t="n"/>
      <c r="B165" s="560" t="n"/>
      <c r="C165" s="560" t="n"/>
      <c r="D165" s="560" t="n"/>
      <c r="E165" s="560" t="n"/>
      <c r="F165" s="560" t="n"/>
      <c r="G165" s="560" t="n"/>
      <c r="H165" s="560" t="n"/>
      <c r="I165" s="560" t="n"/>
      <c r="J165" s="560" t="n"/>
      <c r="K165" s="560" t="n"/>
      <c r="L165" s="560" t="n"/>
      <c r="M165" s="560" t="n"/>
      <c r="N165" s="560" t="n"/>
      <c r="O165" s="560" t="n"/>
      <c r="P165" s="560" t="n"/>
      <c r="Q165" s="560" t="n"/>
      <c r="R165" s="560" t="n"/>
      <c r="S165" s="560" t="n"/>
      <c r="T165" s="560" t="n"/>
      <c r="U165" s="560" t="n"/>
    </row>
    <row r="166">
      <c r="A166" s="560" t="n"/>
      <c r="B166" s="560" t="n"/>
      <c r="C166" s="560" t="n"/>
      <c r="D166" s="560" t="n"/>
      <c r="E166" s="560" t="n"/>
      <c r="F166" s="560" t="n"/>
      <c r="G166" s="560" t="n"/>
      <c r="H166" s="560" t="n"/>
      <c r="I166" s="560" t="n"/>
      <c r="J166" s="560" t="n"/>
      <c r="K166" s="560" t="n"/>
      <c r="L166" s="560" t="n"/>
      <c r="M166" s="560" t="n"/>
      <c r="N166" s="560" t="n"/>
      <c r="O166" s="560" t="n"/>
      <c r="P166" s="560" t="n"/>
      <c r="Q166" s="560" t="n"/>
      <c r="R166" s="560" t="n"/>
      <c r="S166" s="560" t="n"/>
      <c r="T166" s="560" t="n"/>
      <c r="U166" s="560" t="n"/>
    </row>
    <row r="167">
      <c r="A167" s="560" t="n"/>
      <c r="B167" s="560" t="n"/>
      <c r="C167" s="560" t="n"/>
      <c r="D167" s="560" t="n"/>
      <c r="E167" s="560" t="n"/>
      <c r="F167" s="560" t="n"/>
      <c r="G167" s="560" t="n"/>
      <c r="H167" s="560" t="n"/>
      <c r="I167" s="560" t="n"/>
      <c r="J167" s="560" t="n"/>
      <c r="K167" s="560" t="n"/>
      <c r="L167" s="560" t="n"/>
      <c r="M167" s="560" t="n"/>
      <c r="N167" s="560" t="n"/>
      <c r="O167" s="560" t="n"/>
      <c r="P167" s="560" t="n"/>
      <c r="Q167" s="560" t="n"/>
      <c r="R167" s="560" t="n"/>
      <c r="S167" s="560" t="n"/>
      <c r="T167" s="560" t="n"/>
      <c r="U167" s="560" t="n"/>
    </row>
    <row r="168">
      <c r="A168" s="560" t="n"/>
      <c r="B168" s="560" t="n"/>
      <c r="C168" s="560" t="n"/>
      <c r="D168" s="560" t="n"/>
      <c r="E168" s="560" t="n"/>
      <c r="F168" s="560" t="n"/>
      <c r="G168" s="560" t="n"/>
      <c r="H168" s="560" t="n"/>
      <c r="I168" s="560" t="n"/>
      <c r="J168" s="560" t="n"/>
      <c r="K168" s="560" t="n"/>
      <c r="L168" s="560" t="n"/>
      <c r="M168" s="560" t="n"/>
      <c r="N168" s="560" t="n"/>
      <c r="O168" s="560" t="n"/>
      <c r="P168" s="560" t="n"/>
      <c r="Q168" s="560" t="n"/>
      <c r="R168" s="560" t="n"/>
      <c r="S168" s="560" t="n"/>
      <c r="T168" s="560" t="n"/>
      <c r="U168" s="560" t="n"/>
    </row>
    <row r="169">
      <c r="A169" s="560" t="n"/>
      <c r="B169" s="560" t="n"/>
      <c r="C169" s="560" t="n"/>
      <c r="D169" s="560" t="n"/>
      <c r="E169" s="560" t="n"/>
      <c r="F169" s="560" t="n"/>
      <c r="G169" s="560" t="n"/>
      <c r="H169" s="560" t="n"/>
      <c r="I169" s="560" t="n"/>
      <c r="J169" s="560" t="n"/>
      <c r="K169" s="560" t="n"/>
      <c r="L169" s="560" t="n"/>
      <c r="M169" s="560" t="n"/>
      <c r="N169" s="560" t="n"/>
      <c r="O169" s="560" t="n"/>
      <c r="P169" s="560" t="n"/>
      <c r="Q169" s="560" t="n"/>
      <c r="R169" s="560" t="n"/>
      <c r="S169" s="560" t="n"/>
      <c r="T169" s="560" t="n"/>
      <c r="U169" s="560" t="n"/>
    </row>
    <row r="170">
      <c r="A170" s="560" t="n"/>
      <c r="B170" s="560" t="n"/>
      <c r="C170" s="560" t="n"/>
      <c r="D170" s="560" t="n"/>
      <c r="E170" s="560" t="n"/>
      <c r="F170" s="560" t="n"/>
      <c r="G170" s="560" t="n"/>
      <c r="H170" s="560" t="n"/>
      <c r="I170" s="560" t="n"/>
      <c r="J170" s="560" t="n"/>
      <c r="K170" s="560" t="n"/>
      <c r="L170" s="560" t="n"/>
      <c r="M170" s="560" t="n"/>
      <c r="N170" s="560" t="n"/>
      <c r="O170" s="560" t="n"/>
      <c r="P170" s="560" t="n"/>
      <c r="Q170" s="560" t="n"/>
      <c r="R170" s="560" t="n"/>
      <c r="S170" s="560" t="n"/>
      <c r="T170" s="560" t="n"/>
      <c r="U170" s="560" t="n"/>
    </row>
    <row r="171">
      <c r="A171" s="560" t="n"/>
      <c r="B171" s="560" t="n"/>
      <c r="C171" s="560" t="n"/>
      <c r="D171" s="560" t="n"/>
      <c r="E171" s="560" t="n"/>
      <c r="F171" s="560" t="n"/>
      <c r="G171" s="560" t="n"/>
      <c r="H171" s="560" t="n"/>
      <c r="I171" s="560" t="n"/>
      <c r="J171" s="560" t="n"/>
      <c r="K171" s="560" t="n"/>
      <c r="L171" s="560" t="n"/>
      <c r="M171" s="560" t="n"/>
      <c r="N171" s="560" t="n"/>
      <c r="O171" s="560" t="n"/>
      <c r="P171" s="560" t="n"/>
      <c r="Q171" s="560" t="n"/>
      <c r="R171" s="560" t="n"/>
      <c r="S171" s="560" t="n"/>
      <c r="T171" s="560" t="n"/>
      <c r="U171" s="560" t="n"/>
    </row>
    <row r="172">
      <c r="A172" s="560" t="n"/>
      <c r="B172" s="560" t="n"/>
      <c r="C172" s="560" t="n"/>
      <c r="D172" s="560" t="n"/>
      <c r="E172" s="560" t="n"/>
      <c r="F172" s="560" t="n"/>
      <c r="G172" s="560" t="n"/>
      <c r="H172" s="560" t="n"/>
      <c r="I172" s="560" t="n"/>
      <c r="J172" s="560" t="n"/>
      <c r="K172" s="560" t="n"/>
      <c r="L172" s="560" t="n"/>
      <c r="M172" s="560" t="n"/>
      <c r="N172" s="560" t="n"/>
      <c r="O172" s="560" t="n"/>
      <c r="P172" s="560" t="n"/>
      <c r="Q172" s="560" t="n"/>
      <c r="R172" s="560" t="n"/>
      <c r="S172" s="560" t="n"/>
      <c r="T172" s="560" t="n"/>
      <c r="U172" s="560" t="n"/>
    </row>
    <row r="173">
      <c r="A173" s="560" t="n"/>
      <c r="B173" s="560" t="n"/>
      <c r="C173" s="560" t="n"/>
      <c r="D173" s="560" t="n"/>
      <c r="E173" s="560" t="n"/>
      <c r="F173" s="560" t="n"/>
      <c r="G173" s="560" t="n"/>
      <c r="H173" s="560" t="n"/>
      <c r="I173" s="560" t="n"/>
      <c r="J173" s="560" t="n"/>
      <c r="K173" s="560" t="n"/>
      <c r="L173" s="560" t="n"/>
      <c r="M173" s="560" t="n"/>
      <c r="N173" s="560" t="n"/>
      <c r="O173" s="560" t="n"/>
      <c r="P173" s="560" t="n"/>
      <c r="Q173" s="560" t="n"/>
      <c r="R173" s="560" t="n"/>
      <c r="S173" s="560" t="n"/>
      <c r="T173" s="560" t="n"/>
      <c r="U173" s="560" t="n"/>
    </row>
    <row r="174">
      <c r="A174" s="560" t="n"/>
      <c r="B174" s="560" t="n"/>
      <c r="C174" s="560" t="n"/>
      <c r="D174" s="560" t="n"/>
      <c r="E174" s="560" t="n"/>
      <c r="F174" s="560" t="n"/>
      <c r="G174" s="560" t="n"/>
      <c r="H174" s="560" t="n"/>
      <c r="I174" s="560" t="n"/>
      <c r="J174" s="560" t="n"/>
      <c r="K174" s="560" t="n"/>
      <c r="L174" s="560" t="n"/>
      <c r="M174" s="560" t="n"/>
      <c r="N174" s="560" t="n"/>
      <c r="O174" s="560" t="n"/>
      <c r="P174" s="560" t="n"/>
      <c r="Q174" s="560" t="n"/>
      <c r="R174" s="560" t="n"/>
      <c r="S174" s="560" t="n"/>
      <c r="T174" s="560" t="n"/>
      <c r="U174" s="560" t="n"/>
    </row>
    <row r="175">
      <c r="A175" s="560" t="n"/>
      <c r="B175" s="560" t="n"/>
      <c r="C175" s="560" t="n"/>
      <c r="D175" s="560" t="n"/>
      <c r="E175" s="560" t="n"/>
      <c r="F175" s="560" t="n"/>
      <c r="G175" s="560" t="n"/>
      <c r="H175" s="560" t="n"/>
      <c r="I175" s="560" t="n"/>
      <c r="J175" s="560" t="n"/>
      <c r="K175" s="560" t="n"/>
      <c r="L175" s="560" t="n"/>
      <c r="M175" s="560" t="n"/>
      <c r="N175" s="560" t="n"/>
      <c r="O175" s="560" t="n"/>
      <c r="P175" s="560" t="n"/>
      <c r="Q175" s="560" t="n"/>
      <c r="R175" s="560" t="n"/>
      <c r="S175" s="560" t="n"/>
      <c r="T175" s="560" t="n"/>
      <c r="U175" s="560" t="n"/>
    </row>
    <row r="176">
      <c r="A176" s="560" t="n"/>
      <c r="B176" s="560" t="n"/>
      <c r="C176" s="560" t="n"/>
      <c r="D176" s="560" t="n"/>
      <c r="E176" s="560" t="n"/>
      <c r="F176" s="560" t="n"/>
      <c r="G176" s="560" t="n"/>
      <c r="H176" s="560" t="n"/>
      <c r="I176" s="560" t="n"/>
      <c r="J176" s="560" t="n"/>
      <c r="K176" s="560" t="n"/>
      <c r="L176" s="560" t="n"/>
      <c r="M176" s="560" t="n"/>
      <c r="N176" s="560" t="n"/>
      <c r="O176" s="560" t="n"/>
      <c r="P176" s="560" t="n"/>
      <c r="Q176" s="560" t="n"/>
      <c r="R176" s="560" t="n"/>
      <c r="S176" s="560" t="n"/>
      <c r="T176" s="560" t="n"/>
      <c r="U176" s="560" t="n"/>
    </row>
    <row r="177">
      <c r="A177" s="560" t="n"/>
      <c r="B177" s="560" t="n"/>
      <c r="C177" s="560" t="n"/>
      <c r="D177" s="560" t="n"/>
      <c r="E177" s="560" t="n"/>
      <c r="F177" s="560" t="n"/>
      <c r="G177" s="560" t="n"/>
      <c r="H177" s="560" t="n"/>
      <c r="I177" s="560" t="n"/>
      <c r="J177" s="560" t="n"/>
      <c r="K177" s="560" t="n"/>
      <c r="L177" s="560" t="n"/>
      <c r="M177" s="560" t="n"/>
      <c r="N177" s="560" t="n"/>
      <c r="O177" s="560" t="n"/>
      <c r="P177" s="560" t="n"/>
      <c r="Q177" s="560" t="n"/>
      <c r="R177" s="560" t="n"/>
      <c r="S177" s="560" t="n"/>
      <c r="T177" s="560" t="n"/>
      <c r="U177" s="560" t="n"/>
    </row>
    <row r="178">
      <c r="A178" s="560" t="n"/>
      <c r="B178" s="560" t="n"/>
      <c r="C178" s="560" t="n"/>
      <c r="D178" s="560" t="n"/>
      <c r="E178" s="560" t="n"/>
      <c r="F178" s="560" t="n"/>
      <c r="G178" s="560" t="n"/>
      <c r="H178" s="560" t="n"/>
      <c r="I178" s="560" t="n"/>
      <c r="J178" s="560" t="n"/>
      <c r="K178" s="560" t="n"/>
      <c r="L178" s="560" t="n"/>
      <c r="M178" s="560" t="n"/>
      <c r="N178" s="560" t="n"/>
      <c r="O178" s="560" t="n"/>
      <c r="P178" s="560" t="n"/>
      <c r="Q178" s="560" t="n"/>
      <c r="R178" s="560" t="n"/>
      <c r="S178" s="560" t="n"/>
      <c r="T178" s="560" t="n"/>
      <c r="U178" s="560" t="n"/>
    </row>
    <row r="179">
      <c r="A179" s="560" t="n"/>
      <c r="B179" s="560" t="n"/>
      <c r="C179" s="560" t="n"/>
      <c r="D179" s="560" t="n"/>
      <c r="E179" s="560" t="n"/>
      <c r="F179" s="560" t="n"/>
      <c r="G179" s="560" t="n"/>
      <c r="H179" s="560" t="n"/>
      <c r="I179" s="560" t="n"/>
      <c r="J179" s="560" t="n"/>
      <c r="K179" s="560" t="n"/>
      <c r="L179" s="560" t="n"/>
      <c r="M179" s="560" t="n"/>
      <c r="N179" s="560" t="n"/>
      <c r="O179" s="560" t="n"/>
      <c r="P179" s="560" t="n"/>
      <c r="Q179" s="560" t="n"/>
      <c r="R179" s="560" t="n"/>
      <c r="S179" s="560" t="n"/>
      <c r="T179" s="560" t="n"/>
      <c r="U179" s="560" t="n"/>
    </row>
    <row r="180">
      <c r="A180" s="560" t="n"/>
      <c r="B180" s="560" t="n"/>
      <c r="C180" s="560" t="n"/>
      <c r="D180" s="560" t="n"/>
      <c r="E180" s="560" t="n"/>
      <c r="F180" s="560" t="n"/>
      <c r="G180" s="560" t="n"/>
      <c r="H180" s="560" t="n"/>
      <c r="I180" s="560" t="n"/>
      <c r="J180" s="560" t="n"/>
      <c r="K180" s="560" t="n"/>
      <c r="L180" s="560" t="n"/>
      <c r="M180" s="560" t="n"/>
      <c r="N180" s="560" t="n"/>
      <c r="O180" s="560" t="n"/>
      <c r="P180" s="560" t="n"/>
      <c r="Q180" s="560" t="n"/>
      <c r="R180" s="560" t="n"/>
      <c r="S180" s="560" t="n"/>
      <c r="T180" s="560" t="n"/>
      <c r="U180" s="560" t="n"/>
    </row>
    <row r="181">
      <c r="A181" s="560" t="n"/>
      <c r="B181" s="560" t="n"/>
      <c r="C181" s="560" t="n"/>
      <c r="D181" s="560" t="n"/>
      <c r="E181" s="560" t="n"/>
      <c r="F181" s="560" t="n"/>
      <c r="G181" s="560" t="n"/>
      <c r="H181" s="560" t="n"/>
      <c r="I181" s="560" t="n"/>
      <c r="J181" s="560" t="n"/>
      <c r="K181" s="560" t="n"/>
      <c r="L181" s="560" t="n"/>
      <c r="M181" s="560" t="n"/>
      <c r="N181" s="560" t="n"/>
      <c r="O181" s="560" t="n"/>
      <c r="P181" s="560" t="n"/>
      <c r="Q181" s="560" t="n"/>
      <c r="R181" s="560" t="n"/>
      <c r="S181" s="560" t="n"/>
      <c r="T181" s="560" t="n"/>
      <c r="U181" s="560" t="n"/>
    </row>
    <row r="182">
      <c r="A182" s="560" t="n"/>
      <c r="B182" s="560" t="n"/>
      <c r="C182" s="560" t="n"/>
      <c r="D182" s="560" t="n"/>
      <c r="E182" s="560" t="n"/>
      <c r="F182" s="560" t="n"/>
      <c r="G182" s="560" t="n"/>
      <c r="H182" s="560" t="n"/>
      <c r="I182" s="560" t="n"/>
      <c r="J182" s="560" t="n"/>
      <c r="K182" s="560" t="n"/>
      <c r="L182" s="560" t="n"/>
      <c r="M182" s="560" t="n"/>
      <c r="N182" s="560" t="n"/>
      <c r="O182" s="560" t="n"/>
      <c r="P182" s="560" t="n"/>
      <c r="Q182" s="560" t="n"/>
      <c r="R182" s="560" t="n"/>
      <c r="S182" s="560" t="n"/>
      <c r="T182" s="560" t="n"/>
      <c r="U182" s="560" t="n"/>
    </row>
    <row r="183">
      <c r="A183" s="560" t="n"/>
      <c r="B183" s="560" t="n"/>
      <c r="C183" s="560" t="n"/>
      <c r="D183" s="560" t="n"/>
      <c r="E183" s="560" t="n"/>
      <c r="F183" s="560" t="n"/>
      <c r="G183" s="560" t="n"/>
      <c r="H183" s="560" t="n"/>
      <c r="I183" s="560" t="n"/>
      <c r="J183" s="560" t="n"/>
      <c r="K183" s="560" t="n"/>
      <c r="L183" s="560" t="n"/>
      <c r="M183" s="560" t="n"/>
      <c r="N183" s="560" t="n"/>
      <c r="O183" s="560" t="n"/>
      <c r="P183" s="560" t="n"/>
      <c r="Q183" s="560" t="n"/>
      <c r="R183" s="560" t="n"/>
      <c r="S183" s="560" t="n"/>
      <c r="T183" s="560" t="n"/>
      <c r="U183" s="560" t="n"/>
    </row>
    <row r="184">
      <c r="A184" s="560" t="n"/>
      <c r="B184" s="560" t="n"/>
      <c r="C184" s="560" t="n"/>
      <c r="D184" s="560" t="n"/>
      <c r="E184" s="560" t="n"/>
      <c r="F184" s="560" t="n"/>
      <c r="G184" s="560" t="n"/>
      <c r="H184" s="560" t="n"/>
      <c r="I184" s="560" t="n"/>
      <c r="J184" s="560" t="n"/>
      <c r="K184" s="560" t="n"/>
      <c r="L184" s="560" t="n"/>
      <c r="M184" s="560" t="n"/>
      <c r="N184" s="560" t="n"/>
      <c r="O184" s="560" t="n"/>
      <c r="P184" s="560" t="n"/>
      <c r="Q184" s="560" t="n"/>
      <c r="R184" s="560" t="n"/>
      <c r="S184" s="560" t="n"/>
      <c r="T184" s="560" t="n"/>
      <c r="U184" s="560" t="n"/>
    </row>
    <row r="185">
      <c r="A185" s="560" t="n"/>
      <c r="B185" s="560" t="n"/>
      <c r="C185" s="560" t="n"/>
      <c r="D185" s="560" t="n"/>
      <c r="E185" s="560" t="n"/>
      <c r="F185" s="560" t="n"/>
      <c r="G185" s="560" t="n"/>
      <c r="H185" s="560" t="n"/>
      <c r="I185" s="560" t="n"/>
      <c r="J185" s="560" t="n"/>
      <c r="K185" s="560" t="n"/>
      <c r="L185" s="560" t="n"/>
      <c r="M185" s="560" t="n"/>
      <c r="N185" s="560" t="n"/>
      <c r="O185" s="560" t="n"/>
      <c r="P185" s="560" t="n"/>
      <c r="Q185" s="560" t="n"/>
      <c r="R185" s="560" t="n"/>
      <c r="S185" s="560" t="n"/>
      <c r="T185" s="560" t="n"/>
      <c r="U185" s="560" t="n"/>
    </row>
    <row r="186">
      <c r="A186" s="560" t="n"/>
      <c r="B186" s="560" t="n"/>
      <c r="C186" s="560" t="n"/>
      <c r="D186" s="560" t="n"/>
      <c r="E186" s="560" t="n"/>
      <c r="F186" s="560" t="n"/>
      <c r="G186" s="560" t="n"/>
      <c r="H186" s="560" t="n"/>
      <c r="I186" s="560" t="n"/>
      <c r="J186" s="560" t="n"/>
      <c r="K186" s="560" t="n"/>
      <c r="L186" s="560" t="n"/>
      <c r="M186" s="560" t="n"/>
      <c r="N186" s="560" t="n"/>
      <c r="O186" s="560" t="n"/>
      <c r="P186" s="560" t="n"/>
      <c r="Q186" s="560" t="n"/>
      <c r="R186" s="560" t="n"/>
      <c r="S186" s="560" t="n"/>
      <c r="T186" s="560" t="n"/>
      <c r="U186" s="560" t="n"/>
    </row>
    <row r="187">
      <c r="A187" s="560" t="n"/>
      <c r="B187" s="560" t="n"/>
      <c r="C187" s="560" t="n"/>
      <c r="D187" s="560" t="n"/>
      <c r="E187" s="560" t="n"/>
      <c r="F187" s="560" t="n"/>
      <c r="G187" s="560" t="n"/>
      <c r="H187" s="560" t="n"/>
      <c r="I187" s="560" t="n"/>
      <c r="J187" s="560" t="n"/>
      <c r="K187" s="560" t="n"/>
      <c r="L187" s="560" t="n"/>
      <c r="M187" s="560" t="n"/>
      <c r="N187" s="560" t="n"/>
      <c r="O187" s="560" t="n"/>
      <c r="P187" s="560" t="n"/>
      <c r="Q187" s="560" t="n"/>
      <c r="R187" s="560" t="n"/>
      <c r="S187" s="560" t="n"/>
      <c r="T187" s="560" t="n"/>
      <c r="U187" s="560" t="n"/>
    </row>
    <row r="188">
      <c r="A188" s="560" t="n"/>
      <c r="B188" s="560" t="n"/>
      <c r="C188" s="560" t="n"/>
      <c r="D188" s="560" t="n"/>
      <c r="E188" s="560" t="n"/>
      <c r="F188" s="560" t="n"/>
      <c r="G188" s="560" t="n"/>
      <c r="H188" s="560" t="n"/>
      <c r="I188" s="560" t="n"/>
      <c r="J188" s="560" t="n"/>
      <c r="K188" s="560" t="n"/>
      <c r="L188" s="560" t="n"/>
      <c r="M188" s="560" t="n"/>
      <c r="N188" s="560" t="n"/>
      <c r="O188" s="560" t="n"/>
      <c r="P188" s="560" t="n"/>
      <c r="Q188" s="560" t="n"/>
      <c r="R188" s="560" t="n"/>
      <c r="S188" s="560" t="n"/>
      <c r="T188" s="560" t="n"/>
      <c r="U188" s="560" t="n"/>
    </row>
    <row r="189">
      <c r="A189" s="560" t="n"/>
      <c r="B189" s="560" t="n"/>
      <c r="C189" s="560" t="n"/>
      <c r="D189" s="560" t="n"/>
      <c r="E189" s="560" t="n"/>
      <c r="F189" s="560" t="n"/>
      <c r="G189" s="560" t="n"/>
      <c r="H189" s="560" t="n"/>
      <c r="I189" s="560" t="n"/>
      <c r="J189" s="560" t="n"/>
      <c r="K189" s="560" t="n"/>
      <c r="L189" s="560" t="n"/>
      <c r="M189" s="560" t="n"/>
      <c r="N189" s="560" t="n"/>
      <c r="O189" s="560" t="n"/>
      <c r="P189" s="560" t="n"/>
      <c r="Q189" s="560" t="n"/>
      <c r="R189" s="560" t="n"/>
      <c r="S189" s="560" t="n"/>
      <c r="T189" s="560" t="n"/>
      <c r="U189" s="560" t="n"/>
    </row>
    <row r="190">
      <c r="A190" s="560" t="n"/>
      <c r="B190" s="560" t="n"/>
      <c r="C190" s="560" t="n"/>
      <c r="D190" s="560" t="n"/>
      <c r="E190" s="560" t="n"/>
      <c r="F190" s="560" t="n"/>
      <c r="G190" s="560" t="n"/>
      <c r="H190" s="560" t="n"/>
      <c r="I190" s="560" t="n"/>
      <c r="J190" s="560" t="n"/>
      <c r="K190" s="560" t="n"/>
      <c r="L190" s="560" t="n"/>
      <c r="M190" s="560" t="n"/>
      <c r="N190" s="560" t="n"/>
      <c r="O190" s="560" t="n"/>
      <c r="P190" s="560" t="n"/>
      <c r="Q190" s="560" t="n"/>
      <c r="R190" s="560" t="n"/>
      <c r="S190" s="560" t="n"/>
      <c r="T190" s="560" t="n"/>
      <c r="U190" s="560" t="n"/>
    </row>
    <row r="191">
      <c r="A191" s="560" t="n"/>
      <c r="B191" s="560" t="n"/>
      <c r="C191" s="560" t="n"/>
      <c r="D191" s="560" t="n"/>
      <c r="E191" s="560" t="n"/>
      <c r="F191" s="560" t="n"/>
      <c r="G191" s="560" t="n"/>
      <c r="H191" s="560" t="n"/>
      <c r="I191" s="560" t="n"/>
      <c r="J191" s="560" t="n"/>
      <c r="K191" s="560" t="n"/>
      <c r="L191" s="560" t="n"/>
      <c r="M191" s="560" t="n"/>
      <c r="N191" s="560" t="n"/>
      <c r="O191" s="560" t="n"/>
      <c r="P191" s="560" t="n"/>
      <c r="Q191" s="560" t="n"/>
      <c r="R191" s="560" t="n"/>
      <c r="S191" s="560" t="n"/>
      <c r="T191" s="560" t="n"/>
      <c r="U191" s="560" t="n"/>
    </row>
    <row r="192">
      <c r="A192" s="560" t="n"/>
      <c r="B192" s="560" t="n"/>
      <c r="C192" s="560" t="n"/>
      <c r="D192" s="560" t="n"/>
      <c r="E192" s="560" t="n"/>
      <c r="F192" s="560" t="n"/>
      <c r="G192" s="560" t="n"/>
      <c r="H192" s="560" t="n"/>
      <c r="I192" s="560" t="n"/>
      <c r="J192" s="560" t="n"/>
      <c r="K192" s="560" t="n"/>
      <c r="L192" s="560" t="n"/>
      <c r="M192" s="560" t="n"/>
      <c r="N192" s="560" t="n"/>
      <c r="O192" s="560" t="n"/>
      <c r="P192" s="560" t="n"/>
      <c r="Q192" s="560" t="n"/>
      <c r="R192" s="560" t="n"/>
      <c r="S192" s="560" t="n"/>
      <c r="T192" s="560" t="n"/>
      <c r="U192" s="560" t="n"/>
    </row>
    <row r="193">
      <c r="A193" s="560" t="n"/>
      <c r="B193" s="560" t="n"/>
      <c r="C193" s="560" t="n"/>
      <c r="D193" s="560" t="n"/>
      <c r="E193" s="560" t="n"/>
      <c r="F193" s="560" t="n"/>
      <c r="G193" s="560" t="n"/>
      <c r="H193" s="560" t="n"/>
      <c r="I193" s="560" t="n"/>
      <c r="J193" s="560" t="n"/>
      <c r="K193" s="560" t="n"/>
      <c r="L193" s="560" t="n"/>
      <c r="M193" s="560" t="n"/>
      <c r="N193" s="560" t="n"/>
      <c r="O193" s="560" t="n"/>
      <c r="P193" s="560" t="n"/>
      <c r="Q193" s="560" t="n"/>
      <c r="R193" s="560" t="n"/>
      <c r="S193" s="560" t="n"/>
      <c r="T193" s="560" t="n"/>
      <c r="U193" s="560" t="n"/>
    </row>
    <row r="194">
      <c r="A194" s="560" t="n"/>
      <c r="B194" s="560" t="n"/>
      <c r="C194" s="560" t="n"/>
      <c r="D194" s="560" t="n"/>
      <c r="E194" s="560" t="n"/>
      <c r="F194" s="560" t="n"/>
      <c r="G194" s="560" t="n"/>
      <c r="H194" s="560" t="n"/>
      <c r="I194" s="560" t="n"/>
      <c r="J194" s="560" t="n"/>
      <c r="K194" s="560" t="n"/>
      <c r="L194" s="560" t="n"/>
      <c r="M194" s="560" t="n"/>
      <c r="N194" s="560" t="n"/>
      <c r="O194" s="560" t="n"/>
      <c r="P194" s="560" t="n"/>
      <c r="Q194" s="560" t="n"/>
      <c r="R194" s="560" t="n"/>
      <c r="S194" s="560" t="n"/>
      <c r="T194" s="560" t="n"/>
      <c r="U194" s="560" t="n"/>
    </row>
    <row r="195">
      <c r="A195" s="560" t="n"/>
      <c r="B195" s="560" t="n"/>
      <c r="C195" s="560" t="n"/>
      <c r="D195" s="560" t="n"/>
      <c r="E195" s="560" t="n"/>
      <c r="F195" s="560" t="n"/>
      <c r="G195" s="560" t="n"/>
      <c r="H195" s="560" t="n"/>
      <c r="I195" s="560" t="n"/>
      <c r="J195" s="560" t="n"/>
      <c r="K195" s="560" t="n"/>
      <c r="L195" s="560" t="n"/>
      <c r="M195" s="560" t="n"/>
      <c r="N195" s="560" t="n"/>
      <c r="O195" s="560" t="n"/>
      <c r="P195" s="560" t="n"/>
      <c r="Q195" s="560" t="n"/>
      <c r="R195" s="560" t="n"/>
      <c r="S195" s="560" t="n"/>
      <c r="T195" s="560" t="n"/>
      <c r="U195" s="560" t="n"/>
    </row>
    <row r="196">
      <c r="A196" s="560" t="n"/>
      <c r="B196" s="560" t="n"/>
      <c r="C196" s="560" t="n"/>
      <c r="D196" s="560" t="n"/>
      <c r="E196" s="560" t="n"/>
      <c r="F196" s="560" t="n"/>
      <c r="G196" s="560" t="n"/>
      <c r="H196" s="560" t="n"/>
      <c r="I196" s="560" t="n"/>
      <c r="J196" s="560" t="n"/>
      <c r="K196" s="560" t="n"/>
      <c r="L196" s="560" t="n"/>
      <c r="M196" s="560" t="n"/>
      <c r="N196" s="560" t="n"/>
      <c r="O196" s="560" t="n"/>
      <c r="P196" s="560" t="n"/>
      <c r="Q196" s="560" t="n"/>
      <c r="R196" s="560" t="n"/>
      <c r="S196" s="560" t="n"/>
      <c r="T196" s="560" t="n"/>
      <c r="U196" s="560" t="n"/>
    </row>
    <row r="197">
      <c r="A197" s="560" t="n"/>
      <c r="B197" s="560" t="n"/>
      <c r="C197" s="560" t="n"/>
      <c r="D197" s="560" t="n"/>
      <c r="E197" s="560" t="n"/>
      <c r="F197" s="560" t="n"/>
      <c r="G197" s="560" t="n"/>
      <c r="H197" s="560" t="n"/>
      <c r="I197" s="560" t="n"/>
      <c r="J197" s="560" t="n"/>
      <c r="K197" s="560" t="n"/>
      <c r="L197" s="560" t="n"/>
      <c r="M197" s="560" t="n"/>
      <c r="N197" s="560" t="n"/>
      <c r="O197" s="560" t="n"/>
      <c r="P197" s="560" t="n"/>
      <c r="Q197" s="560" t="n"/>
      <c r="R197" s="560" t="n"/>
      <c r="S197" s="560" t="n"/>
      <c r="T197" s="560" t="n"/>
      <c r="U197" s="560" t="n"/>
    </row>
    <row r="198">
      <c r="A198" s="560" t="n"/>
      <c r="B198" s="560" t="n"/>
      <c r="C198" s="560" t="n"/>
      <c r="D198" s="560" t="n"/>
      <c r="E198" s="560" t="n"/>
      <c r="F198" s="560" t="n"/>
      <c r="G198" s="560" t="n"/>
      <c r="H198" s="560" t="n"/>
      <c r="I198" s="560" t="n"/>
      <c r="J198" s="560" t="n"/>
      <c r="K198" s="560" t="n"/>
      <c r="L198" s="560" t="n"/>
      <c r="M198" s="560" t="n"/>
      <c r="N198" s="560" t="n"/>
      <c r="O198" s="560" t="n"/>
      <c r="P198" s="560" t="n"/>
      <c r="Q198" s="560" t="n"/>
      <c r="R198" s="560" t="n"/>
      <c r="S198" s="560" t="n"/>
      <c r="T198" s="560" t="n"/>
      <c r="U198" s="560" t="n"/>
    </row>
    <row r="199">
      <c r="A199" s="560" t="n"/>
      <c r="B199" s="560" t="n"/>
      <c r="C199" s="560" t="n"/>
      <c r="D199" s="560" t="n"/>
      <c r="E199" s="560" t="n"/>
      <c r="F199" s="560" t="n"/>
      <c r="G199" s="560" t="n"/>
      <c r="H199" s="560" t="n"/>
      <c r="I199" s="560" t="n"/>
      <c r="J199" s="560" t="n"/>
      <c r="K199" s="560" t="n"/>
      <c r="L199" s="560" t="n"/>
      <c r="M199" s="560" t="n"/>
      <c r="N199" s="560" t="n"/>
      <c r="O199" s="560" t="n"/>
      <c r="P199" s="560" t="n"/>
      <c r="Q199" s="560" t="n"/>
      <c r="R199" s="560" t="n"/>
      <c r="S199" s="560" t="n"/>
      <c r="T199" s="560" t="n"/>
      <c r="U199" s="560" t="n"/>
    </row>
    <row r="200">
      <c r="A200" s="560" t="n"/>
      <c r="B200" s="560" t="n"/>
      <c r="C200" s="560" t="n"/>
      <c r="D200" s="560" t="n"/>
      <c r="E200" s="560" t="n"/>
      <c r="F200" s="560" t="n"/>
      <c r="G200" s="560" t="n"/>
      <c r="H200" s="560" t="n"/>
      <c r="I200" s="560" t="n"/>
      <c r="J200" s="560" t="n"/>
      <c r="K200" s="560" t="n"/>
      <c r="L200" s="560" t="n"/>
      <c r="M200" s="560" t="n"/>
      <c r="N200" s="560" t="n"/>
      <c r="O200" s="560" t="n"/>
      <c r="P200" s="560" t="n"/>
      <c r="Q200" s="560" t="n"/>
      <c r="R200" s="560" t="n"/>
      <c r="S200" s="560" t="n"/>
      <c r="T200" s="560" t="n"/>
      <c r="U200" s="560"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574" t="inlineStr">
        <is>
          <t>Category</t>
        </is>
      </c>
      <c r="B1" s="574" t="inlineStr">
        <is>
          <t>Operating Mechanism</t>
        </is>
      </c>
      <c r="C1" s="574" t="inlineStr">
        <is>
          <t>Group</t>
        </is>
      </c>
      <c r="D1" s="574" t="inlineStr">
        <is>
          <t>Definition</t>
        </is>
      </c>
      <c r="E1" s="564" t="n"/>
      <c r="F1" s="560" t="n"/>
      <c r="G1" s="560" t="n"/>
      <c r="H1" s="560" t="n"/>
      <c r="I1" s="560" t="n"/>
      <c r="J1" s="560" t="n"/>
      <c r="K1" s="560" t="n"/>
      <c r="L1" s="560" t="n"/>
      <c r="M1" s="560" t="n"/>
      <c r="N1" s="560" t="n"/>
      <c r="O1" s="560" t="n"/>
      <c r="P1" s="560" t="n"/>
      <c r="Q1" s="560" t="n"/>
      <c r="R1" s="560" t="n"/>
      <c r="S1" s="560" t="n"/>
      <c r="T1" s="560" t="n"/>
    </row>
    <row r="2" ht="15" customHeight="1">
      <c r="A2" s="575" t="inlineStr">
        <is>
          <t>Economic instruments</t>
        </is>
      </c>
      <c r="B2" s="575" t="inlineStr">
        <is>
          <t>Incentivise</t>
        </is>
      </c>
      <c r="C2" s="576" t="inlineStr">
        <is>
          <t>Subsidy</t>
        </is>
      </c>
      <c r="D2" s="576" t="inlineStr">
        <is>
          <t>Unrequited payments from government to non-government units</t>
        </is>
      </c>
      <c r="E2" s="564" t="n"/>
      <c r="F2" s="560" t="n"/>
      <c r="G2" s="560" t="n"/>
      <c r="H2" s="560" t="n"/>
      <c r="I2" s="560" t="n"/>
      <c r="J2" s="560" t="n"/>
      <c r="K2" s="560" t="n"/>
      <c r="L2" s="560" t="n"/>
      <c r="M2" s="560" t="n"/>
      <c r="N2" s="560" t="n"/>
      <c r="O2" s="560" t="n"/>
      <c r="P2" s="560" t="n"/>
      <c r="Q2" s="560" t="n"/>
      <c r="R2" s="560" t="n"/>
      <c r="S2" s="560" t="n"/>
      <c r="T2" s="560" t="n"/>
    </row>
    <row r="3" ht="15" customHeight="1">
      <c r="A3" s="369" t="n"/>
      <c r="B3" s="369" t="n"/>
      <c r="C3" s="576" t="inlineStr">
        <is>
          <t>Tax</t>
        </is>
      </c>
      <c r="D3" s="576" t="inlineStr">
        <is>
          <t>Compulsory unrequited payments to a government unit</t>
        </is>
      </c>
      <c r="E3" s="564" t="n"/>
      <c r="F3" s="560" t="n"/>
      <c r="G3" s="560" t="n"/>
      <c r="H3" s="560" t="n"/>
      <c r="I3" s="560" t="n"/>
      <c r="J3" s="560" t="n"/>
      <c r="K3" s="560" t="n"/>
      <c r="L3" s="560" t="n"/>
      <c r="M3" s="560" t="n"/>
      <c r="N3" s="560" t="n"/>
      <c r="O3" s="560" t="n"/>
      <c r="P3" s="560" t="n"/>
      <c r="Q3" s="560" t="n"/>
      <c r="R3" s="560" t="n"/>
      <c r="S3" s="560" t="n"/>
      <c r="T3" s="560" t="n"/>
    </row>
    <row r="4" ht="45" customHeight="1">
      <c r="A4" s="369" t="n"/>
      <c r="B4" s="369" t="n"/>
      <c r="C4" s="576" t="inlineStr">
        <is>
          <t>Trading scheme</t>
        </is>
      </c>
      <c r="D4" s="576"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564" t="n"/>
      <c r="F4" s="560" t="n"/>
      <c r="G4" s="560" t="n"/>
      <c r="H4" s="560" t="n"/>
      <c r="I4" s="560" t="n"/>
      <c r="J4" s="560" t="n"/>
      <c r="K4" s="560" t="n"/>
      <c r="L4" s="560" t="n"/>
      <c r="M4" s="560" t="n"/>
      <c r="N4" s="560" t="n"/>
      <c r="O4" s="560" t="n"/>
      <c r="P4" s="560" t="n"/>
      <c r="Q4" s="560" t="n"/>
      <c r="R4" s="560" t="n"/>
      <c r="S4" s="560" t="n"/>
      <c r="T4" s="560" t="n"/>
    </row>
    <row r="5" ht="30" customHeight="1">
      <c r="A5" s="361" t="n"/>
      <c r="B5" s="361" t="n"/>
      <c r="C5" s="576" t="inlineStr">
        <is>
          <t>Administered price</t>
        </is>
      </c>
      <c r="D5" s="576" t="inlineStr">
        <is>
          <t>Government-administered pricing mechanisms that directly set, differentiate, or regulate prices of energy or emissions-intensive activities to influence behaviour, without operating through explicit fiscal transfers or tax instruments.</t>
        </is>
      </c>
      <c r="E5" s="564" t="n"/>
      <c r="F5" s="560" t="n"/>
      <c r="G5" s="560" t="n"/>
      <c r="H5" s="560" t="n"/>
      <c r="I5" s="560" t="n"/>
      <c r="J5" s="560" t="n"/>
      <c r="K5" s="560" t="n"/>
      <c r="L5" s="560" t="n"/>
      <c r="M5" s="560" t="n"/>
      <c r="N5" s="560" t="n"/>
      <c r="O5" s="560" t="n"/>
      <c r="P5" s="560" t="n"/>
      <c r="Q5" s="560" t="n"/>
      <c r="R5" s="560" t="n"/>
      <c r="S5" s="560" t="n"/>
      <c r="T5" s="560" t="n"/>
    </row>
    <row r="6" ht="30" customHeight="1">
      <c r="A6" s="577" t="inlineStr">
        <is>
          <t>Regulatory instruments</t>
        </is>
      </c>
      <c r="B6" s="577" t="inlineStr">
        <is>
          <t>Mandate</t>
        </is>
      </c>
      <c r="C6" s="578" t="inlineStr">
        <is>
          <t>Performance standard</t>
        </is>
      </c>
      <c r="D6" s="578" t="inlineStr">
        <is>
          <t>Performance standards mandate a specific outcome, giving regulated agents the freedom to choose technologies and processes to achieve the specified performance level.</t>
        </is>
      </c>
      <c r="E6" s="564" t="n"/>
      <c r="F6" s="560" t="n"/>
      <c r="G6" s="560" t="n"/>
      <c r="H6" s="560" t="n"/>
      <c r="I6" s="560" t="n"/>
      <c r="J6" s="560" t="n"/>
      <c r="K6" s="560" t="n"/>
      <c r="L6" s="560" t="n"/>
      <c r="M6" s="560" t="n"/>
      <c r="N6" s="560" t="n"/>
      <c r="O6" s="560" t="n"/>
      <c r="P6" s="560" t="n"/>
      <c r="Q6" s="560" t="n"/>
      <c r="R6" s="560" t="n"/>
      <c r="S6" s="560" t="n"/>
      <c r="T6" s="560" t="n"/>
    </row>
    <row r="7" ht="15" customHeight="1">
      <c r="A7" s="369" t="n"/>
      <c r="B7" s="369" t="n"/>
      <c r="C7" s="578" t="inlineStr">
        <is>
          <t>Technology standard</t>
        </is>
      </c>
      <c r="D7" s="578" t="inlineStr">
        <is>
          <t>Technology standards require or prohibit a specific input or technology, or design for production.</t>
        </is>
      </c>
      <c r="E7" s="564" t="n"/>
      <c r="F7" s="560" t="n"/>
      <c r="G7" s="560" t="n"/>
      <c r="H7" s="560" t="n"/>
      <c r="I7" s="560" t="n"/>
      <c r="J7" s="560" t="n"/>
      <c r="K7" s="560" t="n"/>
      <c r="L7" s="560" t="n"/>
      <c r="M7" s="560" t="n"/>
      <c r="N7" s="560" t="n"/>
      <c r="O7" s="560" t="n"/>
      <c r="P7" s="560" t="n"/>
      <c r="Q7" s="560" t="n"/>
      <c r="R7" s="560" t="n"/>
      <c r="S7" s="560" t="n"/>
      <c r="T7" s="560" t="n"/>
    </row>
    <row r="8" ht="45" customHeight="1">
      <c r="A8" s="361" t="n"/>
      <c r="B8" s="361" t="n"/>
      <c r="C8" s="578" t="inlineStr">
        <is>
          <t>Framework regulation</t>
        </is>
      </c>
      <c r="D8" s="578"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564" t="n"/>
      <c r="F8" s="560" t="n"/>
      <c r="G8" s="560" t="n"/>
      <c r="H8" s="560" t="n"/>
      <c r="I8" s="560" t="n"/>
      <c r="J8" s="560" t="n"/>
      <c r="K8" s="560" t="n"/>
      <c r="L8" s="560" t="n"/>
      <c r="M8" s="560" t="n"/>
      <c r="N8" s="560" t="n"/>
      <c r="O8" s="560" t="n"/>
      <c r="P8" s="560" t="n"/>
      <c r="Q8" s="560" t="n"/>
      <c r="R8" s="560" t="n"/>
      <c r="S8" s="560" t="n"/>
      <c r="T8" s="560" t="n"/>
    </row>
    <row r="9" ht="30" customHeight="1">
      <c r="A9" s="579" t="inlineStr">
        <is>
          <t>Government investment and consumption</t>
        </is>
      </c>
      <c r="B9" s="579" t="inlineStr">
        <is>
          <t>Enable and guide</t>
        </is>
      </c>
      <c r="C9" s="580" t="inlineStr">
        <is>
          <t>Public investment</t>
        </is>
      </c>
      <c r="D9" s="580" t="inlineStr">
        <is>
          <t>Spending by a government unit towards forming fixed capital such as transport and energy infrastructure, or nature-based infrastructure solutions, as well as intangible assets such as R&amp;D.</t>
        </is>
      </c>
      <c r="E9" s="564" t="n"/>
      <c r="F9" s="560" t="n"/>
      <c r="G9" s="560" t="n"/>
      <c r="H9" s="560" t="n"/>
      <c r="I9" s="560" t="n"/>
      <c r="J9" s="560" t="n"/>
      <c r="K9" s="560" t="n"/>
      <c r="L9" s="560" t="n"/>
      <c r="M9" s="560" t="n"/>
      <c r="N9" s="560" t="n"/>
      <c r="O9" s="560" t="n"/>
      <c r="P9" s="560" t="n"/>
      <c r="Q9" s="560" t="n"/>
      <c r="R9" s="560" t="n"/>
      <c r="S9" s="560" t="n"/>
      <c r="T9" s="560" t="n"/>
    </row>
    <row r="10" ht="30" customHeight="1">
      <c r="A10" s="369" t="n"/>
      <c r="B10" s="369" t="n"/>
      <c r="C10" s="580" t="inlineStr">
        <is>
          <t>Public procuremet</t>
        </is>
      </c>
      <c r="D10" s="580"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564" t="n"/>
      <c r="F10" s="560" t="n"/>
      <c r="G10" s="560" t="n"/>
      <c r="H10" s="560" t="n"/>
      <c r="I10" s="560" t="n"/>
      <c r="J10" s="560" t="n"/>
      <c r="K10" s="560" t="n"/>
      <c r="L10" s="560" t="n"/>
      <c r="M10" s="560" t="n"/>
      <c r="N10" s="560" t="n"/>
      <c r="O10" s="560" t="n"/>
      <c r="P10" s="560" t="n"/>
      <c r="Q10" s="560" t="n"/>
      <c r="R10" s="560" t="n"/>
      <c r="S10" s="560" t="n"/>
      <c r="T10" s="560" t="n"/>
    </row>
    <row r="11" ht="45" customHeight="1">
      <c r="A11" s="361" t="n"/>
      <c r="B11" s="361" t="n"/>
      <c r="C11" s="580" t="inlineStr">
        <is>
          <t>Public appraisal rule</t>
        </is>
      </c>
      <c r="D11" s="580"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564" t="n"/>
      <c r="F11" s="560" t="n"/>
      <c r="G11" s="560" t="n"/>
      <c r="H11" s="560" t="n"/>
      <c r="I11" s="560" t="n"/>
      <c r="J11" s="560" t="n"/>
      <c r="K11" s="560" t="n"/>
      <c r="L11" s="560" t="n"/>
      <c r="M11" s="560" t="n"/>
      <c r="N11" s="560" t="n"/>
      <c r="O11" s="560" t="n"/>
      <c r="P11" s="560" t="n"/>
      <c r="Q11" s="560" t="n"/>
      <c r="R11" s="560" t="n"/>
      <c r="S11" s="560" t="n"/>
      <c r="T11" s="560" t="n"/>
    </row>
    <row r="12" ht="30" customHeight="1">
      <c r="A12" s="581" t="inlineStr">
        <is>
          <t>Information instruments</t>
        </is>
      </c>
      <c r="B12" s="581" t="inlineStr">
        <is>
          <t>Enable and guide</t>
        </is>
      </c>
      <c r="C12" s="582" t="inlineStr">
        <is>
          <t>Comparative energy efficiency label</t>
        </is>
      </c>
      <c r="D12" s="582" t="inlineStr">
        <is>
          <t>A mandatory label that provides standardised, comparable information on the energy efficiency of products, buildings, or vehicles to guide consumer decision-making.</t>
        </is>
      </c>
      <c r="E12" s="564" t="n"/>
      <c r="F12" s="560" t="n"/>
      <c r="G12" s="560" t="n"/>
      <c r="H12" s="560" t="n"/>
      <c r="I12" s="560" t="n"/>
      <c r="J12" s="560" t="n"/>
      <c r="K12" s="560" t="n"/>
      <c r="L12" s="560" t="n"/>
      <c r="M12" s="560" t="n"/>
      <c r="N12" s="560" t="n"/>
      <c r="O12" s="560" t="n"/>
      <c r="P12" s="560" t="n"/>
      <c r="Q12" s="560" t="n"/>
      <c r="R12" s="560" t="n"/>
      <c r="S12" s="560" t="n"/>
      <c r="T12" s="560" t="n"/>
    </row>
    <row r="13" ht="15" customHeight="1">
      <c r="A13" s="369" t="n"/>
      <c r="B13" s="369" t="n"/>
      <c r="C13" s="582" t="inlineStr">
        <is>
          <t>Reporting requirement</t>
        </is>
      </c>
      <c r="D13" s="582" t="inlineStr">
        <is>
          <t>Reporting requirements mandate agents to submit regular reports, disclosures, or documentation to the regulating agents, oversight bodies, or stakeholders.</t>
        </is>
      </c>
      <c r="E13" s="564" t="n"/>
      <c r="F13" s="560" t="n"/>
      <c r="G13" s="560" t="n"/>
      <c r="H13" s="560" t="n"/>
      <c r="I13" s="560" t="n"/>
      <c r="J13" s="560" t="n"/>
      <c r="K13" s="560" t="n"/>
      <c r="L13" s="560" t="n"/>
      <c r="M13" s="560" t="n"/>
      <c r="N13" s="560" t="n"/>
      <c r="O13" s="560" t="n"/>
      <c r="P13" s="560" t="n"/>
      <c r="Q13" s="560" t="n"/>
      <c r="R13" s="560" t="n"/>
      <c r="S13" s="560" t="n"/>
      <c r="T13" s="560" t="n"/>
    </row>
    <row r="14" ht="30" customHeight="1">
      <c r="A14" s="361" t="n"/>
      <c r="B14" s="361" t="n"/>
      <c r="C14" s="582" t="inlineStr">
        <is>
          <t>Capacity building and public awareness</t>
        </is>
      </c>
      <c r="D14" s="582" t="inlineStr">
        <is>
          <t>Government provides information to non-government units to disseminate information, raise awareness, and enhance understanding on specific issues, initiatives, or policies.</t>
        </is>
      </c>
      <c r="E14" s="564" t="n"/>
      <c r="F14" s="560" t="n"/>
      <c r="G14" s="560" t="n"/>
      <c r="H14" s="560" t="n"/>
      <c r="I14" s="560" t="n"/>
      <c r="J14" s="560" t="n"/>
      <c r="K14" s="560" t="n"/>
      <c r="L14" s="560" t="n"/>
      <c r="M14" s="560" t="n"/>
      <c r="N14" s="560" t="n"/>
      <c r="O14" s="560" t="n"/>
      <c r="P14" s="560" t="n"/>
      <c r="Q14" s="560" t="n"/>
      <c r="R14" s="560" t="n"/>
      <c r="S14" s="560" t="n"/>
      <c r="T14" s="560" t="n"/>
    </row>
    <row r="15" ht="45" customHeight="1">
      <c r="A15" s="583" t="inlineStr">
        <is>
          <t>Voluntary approaches</t>
        </is>
      </c>
      <c r="B15" s="583" t="inlineStr">
        <is>
          <t>Enable and guide</t>
        </is>
      </c>
      <c r="C15" s="584" t="inlineStr">
        <is>
          <t>Voluntary information instrument</t>
        </is>
      </c>
      <c r="D15" s="584"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564" t="n"/>
      <c r="F15" s="560" t="n"/>
      <c r="G15" s="560" t="n"/>
      <c r="H15" s="560" t="n"/>
      <c r="I15" s="560" t="n"/>
      <c r="J15" s="560" t="n"/>
      <c r="K15" s="560" t="n"/>
      <c r="L15" s="560" t="n"/>
      <c r="M15" s="560" t="n"/>
      <c r="N15" s="560" t="n"/>
      <c r="O15" s="560" t="n"/>
      <c r="P15" s="560" t="n"/>
      <c r="Q15" s="560" t="n"/>
      <c r="R15" s="560" t="n"/>
      <c r="S15" s="560" t="n"/>
      <c r="T15" s="560" t="n"/>
    </row>
    <row r="16" ht="45" customHeight="1">
      <c r="A16" s="369" t="n"/>
      <c r="B16" s="369" t="n"/>
      <c r="C16" s="584" t="inlineStr">
        <is>
          <t>Voluntary trading system</t>
        </is>
      </c>
      <c r="D16" s="584"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564" t="n"/>
      <c r="F16" s="560" t="n"/>
      <c r="G16" s="560" t="n"/>
      <c r="H16" s="560" t="n"/>
      <c r="I16" s="560" t="n"/>
      <c r="J16" s="560" t="n"/>
      <c r="K16" s="560" t="n"/>
      <c r="L16" s="560" t="n"/>
      <c r="M16" s="560" t="n"/>
      <c r="N16" s="560" t="n"/>
      <c r="O16" s="560" t="n"/>
      <c r="P16" s="560" t="n"/>
      <c r="Q16" s="560" t="n"/>
      <c r="R16" s="560" t="n"/>
      <c r="S16" s="560" t="n"/>
      <c r="T16" s="560" t="n"/>
    </row>
    <row r="17" ht="45" customHeight="1">
      <c r="A17" s="361" t="n"/>
      <c r="B17" s="361" t="n"/>
      <c r="C17" s="584" t="inlineStr">
        <is>
          <t>Voluntary target</t>
        </is>
      </c>
      <c r="D17" s="584"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564" t="n"/>
      <c r="F17" s="560" t="n"/>
      <c r="G17" s="560" t="n"/>
      <c r="H17" s="560" t="n"/>
      <c r="I17" s="560" t="n"/>
      <c r="J17" s="560" t="n"/>
      <c r="K17" s="560" t="n"/>
      <c r="L17" s="560" t="n"/>
      <c r="M17" s="560" t="n"/>
      <c r="N17" s="560" t="n"/>
      <c r="O17" s="560" t="n"/>
      <c r="P17" s="560" t="n"/>
      <c r="Q17" s="560" t="n"/>
      <c r="R17" s="560" t="n"/>
      <c r="S17" s="560" t="n"/>
      <c r="T17" s="560" t="n"/>
    </row>
    <row r="18">
      <c r="A18" s="571" t="n"/>
      <c r="B18" s="571" t="n"/>
      <c r="C18" s="571" t="n"/>
      <c r="D18" s="571" t="n"/>
      <c r="E18" s="560" t="n"/>
      <c r="F18" s="560" t="n"/>
      <c r="G18" s="560" t="n"/>
      <c r="H18" s="560" t="n"/>
      <c r="I18" s="560" t="n"/>
      <c r="J18" s="560" t="n"/>
      <c r="K18" s="560" t="n"/>
      <c r="L18" s="560" t="n"/>
      <c r="M18" s="560" t="n"/>
      <c r="N18" s="560" t="n"/>
      <c r="O18" s="560" t="n"/>
      <c r="P18" s="560" t="n"/>
      <c r="Q18" s="560" t="n"/>
      <c r="R18" s="560" t="n"/>
      <c r="S18" s="560" t="n"/>
      <c r="T18" s="560" t="n"/>
    </row>
    <row r="19">
      <c r="A19" s="585" t="inlineStr">
        <is>
          <t>Source: IFCMA(2024), MGF Lab.</t>
        </is>
      </c>
      <c r="B19" s="560" t="n"/>
      <c r="C19" s="560" t="n"/>
      <c r="D19" s="560" t="n"/>
      <c r="E19" s="560" t="n"/>
      <c r="F19" s="560" t="n"/>
      <c r="G19" s="560" t="n"/>
      <c r="H19" s="560" t="n"/>
      <c r="I19" s="560" t="n"/>
      <c r="J19" s="560" t="n"/>
      <c r="K19" s="560" t="n"/>
      <c r="L19" s="560" t="n"/>
      <c r="M19" s="560" t="n"/>
      <c r="N19" s="560" t="n"/>
      <c r="O19" s="560" t="n"/>
      <c r="P19" s="560" t="n"/>
      <c r="Q19" s="560" t="n"/>
      <c r="R19" s="560" t="n"/>
      <c r="S19" s="560" t="n"/>
      <c r="T19" s="560"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463" t="inlineStr">
        <is>
          <t>Summary statistics</t>
        </is>
      </c>
      <c r="B1" s="208" t="n"/>
      <c r="C1" s="464" t="n"/>
      <c r="D1" s="464" t="n"/>
      <c r="E1" s="464" t="n"/>
      <c r="F1" s="464" t="n"/>
      <c r="G1" s="464" t="n"/>
      <c r="H1" s="464" t="n"/>
      <c r="I1" s="464" t="n"/>
      <c r="J1" s="464" t="n"/>
      <c r="K1" s="464" t="n"/>
      <c r="L1" s="464" t="n"/>
      <c r="M1" s="464" t="n"/>
      <c r="N1" s="464" t="n"/>
    </row>
    <row r="2" ht="14.25" customHeight="1">
      <c r="A2" s="208" t="n"/>
      <c r="B2" s="208" t="n"/>
      <c r="C2" s="464" t="n"/>
      <c r="D2" s="464" t="n"/>
      <c r="E2" s="464" t="n"/>
      <c r="F2" s="464" t="n"/>
      <c r="G2" s="464" t="n"/>
      <c r="H2" s="464" t="n"/>
      <c r="I2" s="464" t="n"/>
      <c r="J2" s="464" t="n"/>
      <c r="K2" s="464" t="n"/>
      <c r="L2" s="464" t="n"/>
      <c r="M2" s="464" t="n"/>
      <c r="N2" s="464" t="n"/>
    </row>
    <row r="3" ht="16.5" customHeight="1">
      <c r="A3" s="463" t="inlineStr">
        <is>
          <t>Scope of this dataset</t>
        </is>
      </c>
      <c r="B3" s="208" t="n"/>
      <c r="C3" s="464" t="n"/>
      <c r="D3" s="464" t="n"/>
      <c r="E3" s="464" t="n"/>
      <c r="F3" s="464" t="n"/>
      <c r="G3" s="464" t="n"/>
      <c r="H3" s="464" t="n"/>
      <c r="I3" s="464" t="n"/>
      <c r="J3" s="464" t="n"/>
      <c r="K3" s="464" t="n"/>
      <c r="L3" s="464" t="n"/>
      <c r="M3" s="464" t="n"/>
      <c r="N3" s="464" t="n"/>
    </row>
    <row r="4" ht="15" customHeight="1">
      <c r="A4" s="207" t="inlineStr">
        <is>
          <t>Number of approaches:</t>
        </is>
      </c>
      <c r="B4" s="208">
        <f>COUNTA('Approaches'!C:C)-1</f>
        <v/>
      </c>
      <c r="C4" s="464" t="n"/>
      <c r="D4" s="464" t="n"/>
      <c r="E4" s="464" t="n"/>
      <c r="F4" s="464" t="n"/>
      <c r="G4" s="464" t="n"/>
      <c r="H4" s="464" t="n"/>
      <c r="I4" s="464" t="n"/>
      <c r="J4" s="464" t="n"/>
      <c r="K4" s="464" t="n"/>
      <c r="L4" s="464" t="n"/>
      <c r="M4" s="464" t="n"/>
      <c r="N4" s="464" t="n"/>
    </row>
    <row r="5" ht="15" customHeight="1">
      <c r="A5" s="207" t="inlineStr">
        <is>
          <t>Number of instruments:</t>
        </is>
      </c>
      <c r="B5" s="208">
        <f>COUNTA('Instruments overview'!A:A)-1</f>
        <v/>
      </c>
      <c r="C5" s="464" t="n"/>
      <c r="D5" s="464" t="n"/>
      <c r="E5" s="464" t="n"/>
      <c r="F5" s="464" t="n"/>
      <c r="G5" s="464" t="n"/>
      <c r="H5" s="464" t="n"/>
      <c r="I5" s="464" t="n"/>
      <c r="J5" s="464" t="n"/>
      <c r="K5" s="464" t="n"/>
      <c r="L5" s="464" t="n"/>
      <c r="M5" s="464" t="n"/>
      <c r="N5" s="464" t="n"/>
    </row>
    <row r="6" ht="15" customHeight="1">
      <c r="A6" s="207" t="inlineStr">
        <is>
          <t>Sectors covered:</t>
        </is>
      </c>
      <c r="B6" s="208" t="inlineStr">
        <is>
          <t>Energy, transport, buildings, industry, AFOLU, waste</t>
        </is>
      </c>
      <c r="C6" s="464" t="n"/>
      <c r="D6" s="464" t="n"/>
      <c r="E6" s="464" t="n"/>
      <c r="F6" s="464" t="n"/>
      <c r="G6" s="464" t="n"/>
      <c r="H6" s="464" t="n"/>
      <c r="I6" s="464" t="n"/>
      <c r="J6" s="464" t="n"/>
      <c r="K6" s="464" t="n"/>
      <c r="L6" s="464" t="n"/>
      <c r="M6" s="464" t="n"/>
      <c r="N6" s="464" t="n"/>
    </row>
    <row r="7" ht="15" customHeight="1">
      <c r="A7" s="464" t="n"/>
      <c r="B7" s="464" t="n"/>
      <c r="C7" s="464" t="n"/>
      <c r="D7" s="464" t="n"/>
      <c r="E7" s="464" t="n"/>
      <c r="F7" s="464" t="n"/>
      <c r="G7" s="464" t="n"/>
      <c r="H7" s="464" t="n"/>
      <c r="I7" s="464" t="n"/>
      <c r="J7" s="464" t="n"/>
      <c r="K7" s="464" t="n"/>
      <c r="L7" s="464" t="n"/>
      <c r="M7" s="464" t="n"/>
      <c r="N7" s="464" t="n"/>
    </row>
    <row r="8" ht="14.25" customHeight="1">
      <c r="A8" s="464" t="n"/>
      <c r="B8" s="464" t="n"/>
      <c r="C8" s="464" t="n"/>
      <c r="D8" s="464" t="n"/>
      <c r="E8" s="464" t="n"/>
      <c r="F8" s="464" t="n"/>
      <c r="G8" s="464" t="n"/>
      <c r="H8" s="464" t="n"/>
      <c r="I8" s="464" t="n"/>
      <c r="J8" s="464" t="n"/>
      <c r="K8" s="464" t="n"/>
      <c r="L8" s="464" t="n"/>
      <c r="M8" s="464" t="n"/>
      <c r="N8" s="464" t="n"/>
    </row>
    <row r="9" ht="16.9" customHeight="1">
      <c r="A9" s="460" t="inlineStr">
        <is>
          <t>Category</t>
        </is>
      </c>
      <c r="B9" s="460" t="inlineStr">
        <is>
          <t>Group</t>
        </is>
      </c>
      <c r="C9" s="460" t="inlineStr">
        <is>
          <t>Number of Approaches</t>
        </is>
      </c>
      <c r="D9" s="460" t="inlineStr">
        <is>
          <t>Number of Instruments</t>
        </is>
      </c>
      <c r="E9" s="464" t="n"/>
      <c r="F9" s="464" t="n"/>
      <c r="G9" s="464" t="n"/>
      <c r="H9" s="226" t="inlineStr">
        <is>
          <t>Category</t>
        </is>
      </c>
      <c r="I9" s="226" t="inlineStr">
        <is>
          <t>Number of Approaches</t>
        </is>
      </c>
      <c r="J9" s="226" t="inlineStr">
        <is>
          <t>Number of Instruments</t>
        </is>
      </c>
      <c r="K9" s="464" t="n"/>
      <c r="L9" s="464" t="n"/>
      <c r="M9" s="464" t="n"/>
      <c r="N9" s="464" t="n"/>
    </row>
    <row r="10" ht="16.5" customHeight="1">
      <c r="A10" s="378" t="inlineStr">
        <is>
          <t>Economic instruments</t>
        </is>
      </c>
      <c r="B10" s="465" t="inlineStr">
        <is>
          <t>Trading scheme</t>
        </is>
      </c>
      <c r="C10" s="465">
        <f>COUNTIF(Approaches!B:B, "Trading scheme")</f>
        <v/>
      </c>
      <c r="D10" s="465">
        <f>COUNTIF('Instruments overview'!J:J, "Trading scheme")</f>
        <v/>
      </c>
      <c r="E10" s="464" t="n"/>
      <c r="F10" s="464" t="n"/>
      <c r="G10" s="464" t="n"/>
      <c r="H10" s="586" t="inlineStr">
        <is>
          <t>Economic instruments</t>
        </is>
      </c>
      <c r="I10" s="466">
        <f>COUNTIF(Approaches!A:A, "Economic")</f>
        <v/>
      </c>
      <c r="J10" s="466">
        <f>COUNTIF('Instruments overview'!I:I, "Economic instruments")</f>
        <v/>
      </c>
      <c r="K10" s="464" t="n"/>
      <c r="L10" s="464" t="n"/>
      <c r="M10" s="464" t="n"/>
      <c r="N10" s="464" t="n"/>
    </row>
    <row r="11" ht="14.25" customHeight="1">
      <c r="A11" s="153" t="n"/>
      <c r="B11" s="465" t="inlineStr">
        <is>
          <t>Subsidy</t>
        </is>
      </c>
      <c r="C11" s="465">
        <f>COUNTIF(Approaches!B:B, "Subsidy")</f>
        <v/>
      </c>
      <c r="D11" s="465">
        <f>COUNTIF('Instruments overview'!J:J, "Subsidy")</f>
        <v/>
      </c>
      <c r="E11" s="464" t="n"/>
      <c r="F11" s="464" t="n"/>
      <c r="G11" s="464" t="n"/>
      <c r="H11" s="586" t="inlineStr">
        <is>
          <t>Regulatory instruments</t>
        </is>
      </c>
      <c r="I11" s="466">
        <f>COUNTIF(Approaches!A:A, "Regulatory")</f>
        <v/>
      </c>
      <c r="J11" s="466">
        <f>COUNTIF('Instruments overview'!I:I, "Regulatory instruments")</f>
        <v/>
      </c>
      <c r="K11" s="464" t="n"/>
      <c r="L11" s="464" t="n"/>
      <c r="M11" s="464" t="n"/>
      <c r="N11" s="464" t="n"/>
    </row>
    <row r="12" ht="14.25" customHeight="1">
      <c r="A12" s="153" t="n"/>
      <c r="B12" s="465" t="inlineStr">
        <is>
          <t>Tax</t>
        </is>
      </c>
      <c r="C12" s="465">
        <f>COUNTIF(Approaches!B:B, "Tax")</f>
        <v/>
      </c>
      <c r="D12" s="465">
        <f>COUNTIF('Instruments overview'!J:J, "Tax")</f>
        <v/>
      </c>
      <c r="E12" s="464" t="n"/>
      <c r="F12" s="464" t="n"/>
      <c r="G12" s="464" t="n"/>
      <c r="H12" s="586" t="inlineStr">
        <is>
          <t>Government I&amp;C</t>
        </is>
      </c>
      <c r="I12" s="466">
        <f>COUNTIF(Approaches!A:A, "Government investment and consumption")</f>
        <v/>
      </c>
      <c r="J12" s="466">
        <f>COUNTIF('Instruments overview'!I:I, "Government I&amp;C")</f>
        <v/>
      </c>
      <c r="K12" s="464" t="n"/>
      <c r="L12" s="464" t="n"/>
      <c r="M12" s="464" t="n"/>
      <c r="N12" s="464" t="n"/>
    </row>
    <row r="13" ht="14.25" customHeight="1">
      <c r="A13" s="154" t="n"/>
      <c r="B13" s="465" t="inlineStr">
        <is>
          <t>Administered price</t>
        </is>
      </c>
      <c r="C13" s="465">
        <f>COUNTIF(Approaches!B:B, "Administered price")</f>
        <v/>
      </c>
      <c r="D13" s="465">
        <f>COUNTIF('Instruments overview'!J:J, "Administered price")</f>
        <v/>
      </c>
      <c r="E13" s="464" t="n"/>
      <c r="F13" s="464" t="n"/>
      <c r="G13" s="464" t="n"/>
      <c r="H13" s="586" t="inlineStr">
        <is>
          <t>Information instruments</t>
        </is>
      </c>
      <c r="I13" s="466">
        <f>COUNTIF(Approaches!A:A, "Information")</f>
        <v/>
      </c>
      <c r="J13" s="466">
        <f>COUNTIF('Instruments overview'!I:I, "Information instruments")</f>
        <v/>
      </c>
      <c r="K13" s="464" t="n"/>
      <c r="L13" s="464" t="n"/>
      <c r="M13" s="464" t="n"/>
      <c r="N13" s="464" t="n"/>
    </row>
    <row r="14" ht="14.25" customHeight="1">
      <c r="A14" s="380" t="inlineStr">
        <is>
          <t>Regulatory instruments</t>
        </is>
      </c>
      <c r="B14" s="465" t="inlineStr">
        <is>
          <t>Technology standard</t>
        </is>
      </c>
      <c r="C14" s="465">
        <f>COUNTIF(Approaches!B:B, "Technology standard")</f>
        <v/>
      </c>
      <c r="D14" s="465">
        <f>COUNTIF('Instruments overview'!J:J, "Technology standard")</f>
        <v/>
      </c>
      <c r="E14" s="464" t="n"/>
      <c r="F14" s="464" t="n"/>
      <c r="G14" s="464" t="n"/>
      <c r="H14" s="586" t="inlineStr">
        <is>
          <t>Voluntary approaches</t>
        </is>
      </c>
      <c r="I14" s="466">
        <f>COUNTIF(Approaches!A:A, "Voluntary")</f>
        <v/>
      </c>
      <c r="J14" s="466">
        <f>COUNTIF('Instruments overview'!I:I, "Voluntary approaches")</f>
        <v/>
      </c>
      <c r="K14" s="464" t="n"/>
      <c r="L14" s="464" t="n"/>
      <c r="M14" s="464" t="n"/>
      <c r="N14" s="464" t="n"/>
    </row>
    <row r="15" ht="14.25" customHeight="1">
      <c r="B15" s="465" t="inlineStr">
        <is>
          <t>Performance standard</t>
        </is>
      </c>
      <c r="C15" s="465">
        <f>COUNTIF(Approaches!B:B, "Performance standard")</f>
        <v/>
      </c>
      <c r="D15" s="465">
        <f>COUNTIF('Instruments overview'!J:J, "Performance standard")</f>
        <v/>
      </c>
      <c r="E15" s="464" t="n"/>
      <c r="F15" s="464" t="n"/>
      <c r="G15" s="464" t="n"/>
      <c r="H15" s="464" t="n"/>
      <c r="I15" s="464" t="n"/>
      <c r="J15" s="464" t="n"/>
      <c r="K15" s="464" t="n"/>
      <c r="L15" s="464" t="n"/>
      <c r="M15" s="464" t="n"/>
      <c r="N15" s="464" t="n"/>
    </row>
    <row r="16" ht="14.25" customHeight="1">
      <c r="B16" s="465" t="inlineStr">
        <is>
          <t>Framework regulation</t>
        </is>
      </c>
      <c r="C16" s="465">
        <f>COUNTIF(Approaches!B:B, "Framework regulation")</f>
        <v/>
      </c>
      <c r="D16" s="465">
        <f>COUNTIF('Instruments overview'!J:J, "Framework regulation")</f>
        <v/>
      </c>
      <c r="E16" s="464" t="n"/>
      <c r="F16" s="464" t="n"/>
      <c r="G16" s="464" t="n"/>
      <c r="H16" s="464" t="n"/>
      <c r="I16" s="464" t="n"/>
      <c r="J16" s="464" t="n"/>
      <c r="K16" s="464" t="n"/>
      <c r="L16" s="464" t="n"/>
      <c r="M16" s="464" t="n"/>
      <c r="N16" s="464" t="n"/>
    </row>
    <row r="17" ht="16.9" customHeight="1">
      <c r="A17" s="380" t="inlineStr">
        <is>
          <t>Government I&amp;C</t>
        </is>
      </c>
      <c r="B17" s="465" t="inlineStr">
        <is>
          <t>Public procurement</t>
        </is>
      </c>
      <c r="C17" s="465">
        <f>COUNTIF(Approaches!B:B, "Public procurement")</f>
        <v/>
      </c>
      <c r="D17" s="465">
        <f>COUNTIF('Instruments overview'!J:J, "Public procurement")</f>
        <v/>
      </c>
      <c r="E17" s="464" t="n"/>
      <c r="F17" s="464" t="n"/>
      <c r="G17" s="464" t="n"/>
      <c r="H17" s="226" t="inlineStr">
        <is>
          <t>Emission Sector</t>
        </is>
      </c>
      <c r="I17" s="226" t="inlineStr">
        <is>
          <t>Number of Approaches</t>
        </is>
      </c>
      <c r="J17" s="226" t="inlineStr">
        <is>
          <t>Number of Instruments</t>
        </is>
      </c>
      <c r="K17" s="464" t="n"/>
      <c r="L17" s="464" t="n"/>
      <c r="M17" s="464" t="n"/>
      <c r="N17" s="464" t="n"/>
    </row>
    <row r="18" ht="16.5" customHeight="1">
      <c r="B18" s="465" t="inlineStr">
        <is>
          <t>Public investment</t>
        </is>
      </c>
      <c r="C18" s="465">
        <f>COUNTIF(Approaches!B:B, "Public investment")</f>
        <v/>
      </c>
      <c r="D18" s="465">
        <f>COUNTIF('Instruments overview'!J:J, "Public investment")</f>
        <v/>
      </c>
      <c r="E18" s="464" t="n"/>
      <c r="F18" s="464" t="n"/>
      <c r="G18" s="464" t="n"/>
      <c r="H18" s="586" t="inlineStr">
        <is>
          <t>Energy</t>
        </is>
      </c>
      <c r="I18" s="466">
        <f>SUMPRODUCT((ISNUMBER(SEARCH("Energy",Approaches!F:F)))*1)</f>
        <v/>
      </c>
      <c r="J18" s="466">
        <f>COUNTIF('Instruments overview'!K:K, "*Energy*")</f>
        <v/>
      </c>
      <c r="K18" s="464" t="n"/>
      <c r="L18" s="464" t="n"/>
      <c r="M18" s="464" t="n"/>
      <c r="N18" s="464" t="n"/>
    </row>
    <row r="19" ht="14.25" customHeight="1">
      <c r="B19" s="465" t="inlineStr">
        <is>
          <t>Public appraisal rule</t>
        </is>
      </c>
      <c r="C19" s="465">
        <f>COUNTIF(Approaches!B:B, "Public appraisal rules")</f>
        <v/>
      </c>
      <c r="D19" s="465">
        <f>COUNTIF('Instruments overview'!J:J, "Public appraisal rules")</f>
        <v/>
      </c>
      <c r="E19" s="464" t="n"/>
      <c r="F19" s="464" t="n"/>
      <c r="G19" s="464" t="n"/>
      <c r="H19" s="586" t="inlineStr">
        <is>
          <t>Industry</t>
        </is>
      </c>
      <c r="I19" s="466">
        <f>SUMPRODUCT((ISNUMBER(SEARCH("Industry",Approaches!F:F)))*1)</f>
        <v/>
      </c>
      <c r="J19" s="466">
        <f>COUNTIF('Instruments overview'!K:K, "*Industry*")</f>
        <v/>
      </c>
      <c r="K19" s="464" t="n"/>
      <c r="L19" s="464" t="n"/>
      <c r="M19" s="464" t="n"/>
      <c r="N19" s="464" t="n"/>
    </row>
    <row r="20" ht="14.25" customHeight="1">
      <c r="A20" s="380" t="inlineStr">
        <is>
          <t>Information instruments</t>
        </is>
      </c>
      <c r="B20" s="465" t="inlineStr">
        <is>
          <t>Label</t>
        </is>
      </c>
      <c r="C20" s="465">
        <f>COUNTIF(Approaches!B:B, "Comparative energy efficiency label")</f>
        <v/>
      </c>
      <c r="D20" s="465">
        <f>COUNTIF('Instruments overview'!J:J, "Comparative energy efficiency label")</f>
        <v/>
      </c>
      <c r="E20" s="464" t="n"/>
      <c r="F20" s="464" t="n"/>
      <c r="G20" s="464" t="n"/>
      <c r="H20" s="586" t="inlineStr">
        <is>
          <t>Buildings</t>
        </is>
      </c>
      <c r="I20" s="466">
        <f>SUMPRODUCT((ISNUMBER(SEARCH("Buildings",Approaches!F:F)))*1)</f>
        <v/>
      </c>
      <c r="J20" s="466">
        <f>COUNTIF('Instruments overview'!K:K, "*Buildings*")</f>
        <v/>
      </c>
      <c r="K20" s="464" t="n"/>
      <c r="L20" s="464" t="n"/>
      <c r="M20" s="464" t="n"/>
      <c r="N20" s="464" t="n"/>
    </row>
    <row r="21" ht="14.25" customHeight="1">
      <c r="B21" s="465" t="inlineStr">
        <is>
          <t>Reporting requirement</t>
        </is>
      </c>
      <c r="C21" s="465">
        <f>COUNTIF(Approaches!B:B, "Reporting requirements")</f>
        <v/>
      </c>
      <c r="D21" s="465">
        <f>COUNTIF('Instruments overview'!J:J, "Reporting requirements")</f>
        <v/>
      </c>
      <c r="E21" s="464" t="n"/>
      <c r="F21" s="464" t="n"/>
      <c r="G21" s="464" t="n"/>
      <c r="H21" s="586" t="inlineStr">
        <is>
          <t>Transport</t>
        </is>
      </c>
      <c r="I21" s="466">
        <f>SUMPRODUCT((ISNUMBER(SEARCH("Transport",Approaches!F:F)))*1)</f>
        <v/>
      </c>
      <c r="J21" s="466">
        <f>COUNTIF('Instruments overview'!K:K, "*Transport*")</f>
        <v/>
      </c>
      <c r="K21" s="464" t="n"/>
      <c r="L21" s="464" t="n"/>
      <c r="M21" s="464" t="n"/>
      <c r="N21" s="464" t="n"/>
    </row>
    <row r="22" ht="14.25" customHeight="1">
      <c r="B22" s="465" t="inlineStr">
        <is>
          <t>Capacity building and public awareness</t>
        </is>
      </c>
      <c r="C22" s="465">
        <f>COUNTIF(Approaches!B:B, "Capacity building and public awareness")</f>
        <v/>
      </c>
      <c r="D22" s="465">
        <f>COUNTIF('Instruments overview'!J:J, "Capacity building and public awareness")</f>
        <v/>
      </c>
      <c r="E22" s="464" t="n"/>
      <c r="F22" s="464" t="n"/>
      <c r="G22" s="464" t="n"/>
      <c r="H22" s="586" t="inlineStr">
        <is>
          <t>AFOLU</t>
        </is>
      </c>
      <c r="I22" s="466">
        <f>SUMPRODUCT((ISNUMBER(SEARCH("AFOLU",Approaches!F:F)))*1)</f>
        <v/>
      </c>
      <c r="J22" s="466">
        <f>COUNTIF('Instruments overview'!K:K, "*AFOLU*")</f>
        <v/>
      </c>
      <c r="K22" s="464" t="n"/>
      <c r="L22" s="464" t="n"/>
      <c r="M22" s="464" t="n"/>
      <c r="N22" s="464" t="n"/>
    </row>
    <row r="23" ht="14.25" customHeight="1">
      <c r="A23" s="380" t="inlineStr">
        <is>
          <t>Voluntary approaches</t>
        </is>
      </c>
      <c r="B23" s="465" t="inlineStr">
        <is>
          <t>Voluntary information instrument</t>
        </is>
      </c>
      <c r="C23" s="465">
        <f>COUNTIF(Approaches!B:B, "Voluntary information instrument")</f>
        <v/>
      </c>
      <c r="D23" s="465">
        <f>COUNTIF('Instruments overview'!J:J, "Voluntary information instrument")</f>
        <v/>
      </c>
      <c r="E23" s="464" t="n"/>
      <c r="F23" s="464" t="n"/>
      <c r="G23" s="464" t="n"/>
      <c r="H23" s="586" t="inlineStr">
        <is>
          <t>Waste</t>
        </is>
      </c>
      <c r="I23" s="466">
        <f>SUMPRODUCT((ISNUMBER(SEARCH("Waste",Approaches!F:F)))*1)</f>
        <v/>
      </c>
      <c r="J23" s="466">
        <f>COUNTIF('Instruments overview'!K:K, "*Waste*")</f>
        <v/>
      </c>
      <c r="K23" s="464" t="n"/>
      <c r="L23" s="464" t="n"/>
      <c r="M23" s="464" t="n"/>
      <c r="N23" s="464" t="n"/>
    </row>
    <row r="24" ht="14.25" customHeight="1">
      <c r="B24" s="465" t="inlineStr">
        <is>
          <t>Voluntary target</t>
        </is>
      </c>
      <c r="C24" s="465">
        <f>COUNTIF(Approaches!B:B, "Voluntary target")</f>
        <v/>
      </c>
      <c r="D24" s="465">
        <f>COUNTIF('Instruments overview'!J:J, "Voluntary target")</f>
        <v/>
      </c>
      <c r="E24" s="464" t="n"/>
      <c r="F24" s="464" t="n"/>
      <c r="G24" s="464" t="n"/>
      <c r="H24" s="586" t="inlineStr">
        <is>
          <t>Cross-sectoral</t>
        </is>
      </c>
      <c r="I24" s="466">
        <f>SUMPRODUCT((ISNUMBER(SEARCH("Cross-sectoral",Approaches!F:F)))*1)</f>
        <v/>
      </c>
      <c r="J24" s="466">
        <f>COUNTIF('Instruments overview'!K:K, "*Cross-sectoral*")</f>
        <v/>
      </c>
      <c r="K24" s="464" t="n"/>
      <c r="L24" s="464" t="n"/>
      <c r="M24" s="464" t="n"/>
      <c r="N24" s="464" t="n"/>
    </row>
    <row r="25" ht="14.25" customHeight="1">
      <c r="B25" s="465" t="inlineStr">
        <is>
          <t>Voluntary trading system</t>
        </is>
      </c>
      <c r="C25" s="465">
        <f>COUNTIF(Approaches!B:B, "Voluntary trading system")</f>
        <v/>
      </c>
      <c r="D25" s="465">
        <f>COUNTIF('Instruments overview'!J:J, "Voluntary trading system")</f>
        <v/>
      </c>
      <c r="E25" s="464" t="n"/>
      <c r="F25" s="464" t="n"/>
      <c r="G25" s="464" t="n"/>
      <c r="H25" s="587" t="n"/>
      <c r="I25" s="464" t="n"/>
      <c r="J25" s="464" t="n"/>
      <c r="K25" s="464" t="n"/>
      <c r="L25" s="464" t="n"/>
      <c r="M25" s="464" t="n"/>
      <c r="N25" s="464" t="n"/>
    </row>
    <row r="26" ht="14.25" customHeight="1">
      <c r="A26" s="464" t="n"/>
      <c r="B26" s="464" t="n"/>
      <c r="C26" s="464" t="n"/>
      <c r="D26" s="464" t="n"/>
      <c r="E26" s="464" t="n"/>
      <c r="F26" s="464" t="n"/>
      <c r="G26" s="464" t="n"/>
      <c r="H26" s="464" t="n"/>
      <c r="I26" s="464" t="n"/>
      <c r="J26" s="464" t="n"/>
      <c r="K26" s="464" t="n"/>
      <c r="L26" s="464" t="n"/>
      <c r="M26" s="464" t="n"/>
      <c r="N26" s="464" t="n"/>
    </row>
    <row r="27" ht="14.25" customHeight="1">
      <c r="A27" s="467"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464" t="n"/>
      <c r="C27" s="464" t="n"/>
      <c r="D27" s="464" t="n"/>
      <c r="E27" s="464" t="n"/>
      <c r="F27" s="464" t="n"/>
      <c r="G27" s="464" t="n"/>
      <c r="H27" s="464" t="n"/>
      <c r="I27" s="464" t="n"/>
      <c r="J27" s="464" t="n"/>
      <c r="K27" s="464" t="n"/>
      <c r="L27" s="464" t="n"/>
      <c r="M27" s="464" t="n"/>
      <c r="N27" s="464" t="n"/>
    </row>
    <row r="28" ht="14.25" customHeight="1">
      <c r="A28" s="464" t="n"/>
      <c r="B28" s="464" t="n"/>
      <c r="C28" s="464" t="n"/>
      <c r="D28" s="464" t="n"/>
      <c r="E28" s="464" t="n"/>
      <c r="F28" s="464" t="n"/>
      <c r="G28" s="464" t="n"/>
      <c r="H28" s="464" t="n"/>
      <c r="I28" s="464" t="n"/>
      <c r="J28" s="464" t="n"/>
      <c r="K28" s="464" t="n"/>
      <c r="L28" s="464" t="n"/>
      <c r="M28" s="464" t="n"/>
      <c r="N28" s="464" t="n"/>
    </row>
    <row r="29" ht="14.25" customHeight="1">
      <c r="A29" s="464" t="n"/>
      <c r="B29" s="464" t="n"/>
      <c r="C29" s="464" t="n"/>
      <c r="D29" s="464" t="n"/>
      <c r="E29" s="464" t="n"/>
      <c r="F29" s="464" t="n"/>
      <c r="G29" s="464" t="n"/>
      <c r="H29" s="464" t="n"/>
      <c r="I29" s="464" t="n"/>
      <c r="J29" s="464" t="n"/>
      <c r="K29" s="464" t="n"/>
      <c r="L29" s="464" t="n"/>
      <c r="M29" s="464" t="n"/>
      <c r="N29" s="464" t="n"/>
    </row>
    <row r="30" ht="16.9" customHeight="1">
      <c r="A30" s="464" t="n"/>
      <c r="B30" s="464" t="n"/>
      <c r="C30" s="464" t="n"/>
      <c r="D30" s="464" t="n"/>
      <c r="E30" s="464" t="n"/>
      <c r="F30" s="464" t="n"/>
      <c r="G30" s="464" t="n"/>
      <c r="H30" s="226" t="inlineStr">
        <is>
          <t>Mitigation relevance</t>
        </is>
      </c>
      <c r="I30" s="226" t="inlineStr">
        <is>
          <t>Number of Approaches</t>
        </is>
      </c>
      <c r="J30" s="226" t="inlineStr">
        <is>
          <t>Number of Instruments</t>
        </is>
      </c>
      <c r="K30" s="464" t="n"/>
      <c r="L30" s="464" t="n"/>
      <c r="M30" s="464" t="n"/>
      <c r="N30" s="464" t="n"/>
    </row>
    <row r="31" ht="16.5" customHeight="1">
      <c r="A31" s="464" t="n"/>
      <c r="B31" s="464" t="n"/>
      <c r="C31" s="464" t="n"/>
      <c r="D31" s="464" t="n"/>
      <c r="E31" s="464" t="n"/>
      <c r="F31" s="464" t="n"/>
      <c r="G31" s="464" t="n"/>
      <c r="H31" s="586" t="inlineStr">
        <is>
          <t>Direct</t>
        </is>
      </c>
      <c r="I31" s="466">
        <f>SUMPRODUCT((ISNUMBER(SEARCH("Direct",Approaches!G:G)))*1)</f>
        <v/>
      </c>
      <c r="J31" s="466">
        <f>COUNTIF('Instruments overview'!H:H, "Direct")</f>
        <v/>
      </c>
      <c r="K31" s="464" t="n"/>
      <c r="L31" s="464" t="n"/>
      <c r="M31" s="464" t="n"/>
      <c r="N31" s="464" t="n"/>
    </row>
    <row r="32" ht="14.25" customHeight="1">
      <c r="A32" s="464" t="n"/>
      <c r="B32" s="464" t="n"/>
      <c r="C32" s="464" t="n"/>
      <c r="D32" s="464" t="n"/>
      <c r="E32" s="464" t="n"/>
      <c r="F32" s="464" t="n"/>
      <c r="G32" s="464" t="n"/>
      <c r="H32" s="586" t="inlineStr">
        <is>
          <t>Indirect</t>
        </is>
      </c>
      <c r="I32" s="466">
        <f>SUMPRODUCT((ISNUMBER(SEARCH("Indirect",Approaches!G:G)))*1)</f>
        <v/>
      </c>
      <c r="J32" s="466">
        <f>COUNTIF('Instruments overview'!H:H, "Indirect")</f>
        <v/>
      </c>
      <c r="K32" s="464" t="n"/>
      <c r="L32" s="464" t="n"/>
      <c r="M32" s="464" t="n"/>
      <c r="N32" s="464" t="n"/>
    </row>
    <row r="33" ht="14.25" customHeight="1">
      <c r="A33" s="464" t="n"/>
      <c r="B33" s="464" t="n"/>
      <c r="C33" s="464" t="n"/>
      <c r="D33" s="464" t="n"/>
      <c r="E33" s="464" t="n"/>
      <c r="F33" s="464" t="n"/>
      <c r="G33" s="464" t="n"/>
      <c r="H33" s="464" t="n"/>
      <c r="I33" s="464" t="n"/>
      <c r="J33" s="464" t="n"/>
      <c r="K33" s="464" t="n"/>
      <c r="L33" s="464" t="n"/>
      <c r="M33" s="464" t="n"/>
      <c r="N33" s="464" t="n"/>
    </row>
    <row r="34" ht="14.25" customHeight="1">
      <c r="A34" s="464" t="n"/>
      <c r="B34" s="464" t="n"/>
      <c r="C34" s="464" t="n"/>
      <c r="D34" s="464" t="n"/>
      <c r="E34" s="464" t="n"/>
      <c r="F34" s="464" t="n"/>
      <c r="G34" s="464" t="n"/>
      <c r="H34" s="464" t="n"/>
      <c r="I34" s="464" t="n"/>
      <c r="J34" s="464" t="n"/>
      <c r="K34" s="464" t="n"/>
      <c r="L34" s="464" t="n"/>
      <c r="M34" s="464" t="n"/>
      <c r="N34" s="464" t="n"/>
    </row>
    <row r="35" ht="16.9" customHeight="1">
      <c r="A35" s="464" t="n"/>
      <c r="B35" s="464" t="n"/>
      <c r="C35" s="464" t="n"/>
      <c r="D35" s="464" t="n"/>
      <c r="E35" s="464" t="n"/>
      <c r="F35" s="464" t="n"/>
      <c r="G35" s="464" t="n"/>
      <c r="H35" s="466" t="n"/>
      <c r="I35" s="226" t="inlineStr">
        <is>
          <t>Economic instruments</t>
        </is>
      </c>
      <c r="J35" s="226" t="inlineStr">
        <is>
          <t>Regulatory instruments</t>
        </is>
      </c>
      <c r="K35" s="226" t="inlineStr">
        <is>
          <t>Government I&amp;C</t>
        </is>
      </c>
      <c r="L35" s="226" t="inlineStr">
        <is>
          <t>Information instruments</t>
        </is>
      </c>
      <c r="M35" s="226" t="inlineStr">
        <is>
          <t>Voluntary approaches</t>
        </is>
      </c>
      <c r="N35" s="226" t="inlineStr">
        <is>
          <t>Total number of approaches</t>
        </is>
      </c>
    </row>
    <row r="36" ht="16.5" customHeight="1">
      <c r="A36" s="464" t="n"/>
      <c r="B36" s="464" t="n"/>
      <c r="C36" s="464" t="n"/>
      <c r="D36" s="464" t="n"/>
      <c r="E36" s="464" t="n"/>
      <c r="F36" s="464" t="n"/>
      <c r="G36" s="464" t="n"/>
      <c r="H36" s="588" t="inlineStr">
        <is>
          <t>Energy</t>
        </is>
      </c>
      <c r="I36" s="466">
        <f>COUNTIFS(Approaches!F:F, "*Energy*", Approaches!A:A, "Economic")</f>
        <v/>
      </c>
      <c r="J36" s="466">
        <f>COUNTIFS(Approaches!F:F, "*Energy*", Approaches!A:A, "Regulatory")</f>
        <v/>
      </c>
      <c r="K36" s="466">
        <f>COUNTIFS(Approaches!F:F, "*Energy*", Approaches!A:A, "Government investment and consumption")</f>
        <v/>
      </c>
      <c r="L36" s="466">
        <f>COUNTIFS(Approaches!F:F, "*Energy*", Approaches!A:A, "Information")</f>
        <v/>
      </c>
      <c r="M36" s="466">
        <f>COUNTIFS(Approaches!F:F, "*Energy*", Approaches!A:A, "Voluntary")</f>
        <v/>
      </c>
      <c r="N36" s="466">
        <f>SUM(I36:M36)</f>
        <v/>
      </c>
    </row>
    <row r="37" ht="16.5" customHeight="1">
      <c r="A37" s="464" t="n"/>
      <c r="B37" s="464" t="n"/>
      <c r="C37" s="464" t="n"/>
      <c r="D37" s="464" t="n"/>
      <c r="E37" s="464" t="n"/>
      <c r="F37" s="464" t="n"/>
      <c r="G37" s="464" t="n"/>
      <c r="H37" s="588" t="inlineStr">
        <is>
          <t>Industry</t>
        </is>
      </c>
      <c r="I37" s="466">
        <f>COUNTIFS(Approaches!F:F, "*Industry*", Approaches!A:A, "Economic")</f>
        <v/>
      </c>
      <c r="J37" s="466">
        <f>COUNTIFS(Approaches!F:F, "*Industry*", Approaches!A:A, "Regulatory")</f>
        <v/>
      </c>
      <c r="K37" s="466">
        <f>COUNTIFS(Approaches!F:F, "*Industry*", Approaches!A:A, "Government investment and consumption")</f>
        <v/>
      </c>
      <c r="L37" s="466">
        <f>COUNTIFS(Approaches!F:F, "*Industry*", Approaches!A:A, "Information")</f>
        <v/>
      </c>
      <c r="M37" s="466">
        <f>COUNTIFS(Approaches!F:F, "*Industry*", Approaches!A:A, "Voluntary")</f>
        <v/>
      </c>
      <c r="N37" s="466">
        <f>SUM(I37:M37)</f>
        <v/>
      </c>
    </row>
    <row r="38" ht="16.5" customHeight="1">
      <c r="A38" s="464" t="n"/>
      <c r="B38" s="464" t="n"/>
      <c r="C38" s="464" t="n"/>
      <c r="D38" s="464" t="n"/>
      <c r="E38" s="464" t="n"/>
      <c r="F38" s="464" t="n"/>
      <c r="G38" s="464" t="n"/>
      <c r="H38" s="588" t="inlineStr">
        <is>
          <t>Buildings</t>
        </is>
      </c>
      <c r="I38" s="466">
        <f>COUNTIFS(Approaches!F:F, "*Buildings*", Approaches!A:A, "Economic")</f>
        <v/>
      </c>
      <c r="J38" s="466">
        <f>COUNTIFS(Approaches!F:F, "*Buildings*", Approaches!A:A, "Regulatory")</f>
        <v/>
      </c>
      <c r="K38" s="466">
        <f>COUNTIFS(Approaches!F:F, "*Buildings*", Approaches!A:A, "Government investment and consumption")</f>
        <v/>
      </c>
      <c r="L38" s="466">
        <f>COUNTIFS(Approaches!F:F, "*Buildings*", Approaches!A:A, "Information")</f>
        <v/>
      </c>
      <c r="M38" s="466">
        <f>COUNTIFS(Approaches!F:F, "*Buildings*", Approaches!A:A, "Voluntary")</f>
        <v/>
      </c>
      <c r="N38" s="466">
        <f>SUM(I38:M38)</f>
        <v/>
      </c>
    </row>
    <row r="39" ht="16.5" customHeight="1">
      <c r="A39" s="464" t="n"/>
      <c r="B39" s="464" t="n"/>
      <c r="C39" s="464" t="n"/>
      <c r="D39" s="464" t="n"/>
      <c r="E39" s="464" t="n"/>
      <c r="F39" s="464" t="n"/>
      <c r="G39" s="464" t="n"/>
      <c r="H39" s="588" t="inlineStr">
        <is>
          <t>Transport</t>
        </is>
      </c>
      <c r="I39" s="466">
        <f>COUNTIFS(Approaches!F:F, "*Transport*", Approaches!A:A, "Economic")</f>
        <v/>
      </c>
      <c r="J39" s="466">
        <f>COUNTIFS(Approaches!F:F, "*Transport*", Approaches!A:A, "Regulatory")</f>
        <v/>
      </c>
      <c r="K39" s="466">
        <f>COUNTIFS(Approaches!F:F, "*Transport*", Approaches!A:A, "Government investment and consumption")</f>
        <v/>
      </c>
      <c r="L39" s="466">
        <f>COUNTIFS(Approaches!F:F, "*Transport*", Approaches!A:A, "Information")</f>
        <v/>
      </c>
      <c r="M39" s="466">
        <f>COUNTIFS(Approaches!F:F, "*Transport*", Approaches!A:A, "Voluntary")</f>
        <v/>
      </c>
      <c r="N39" s="466">
        <f>SUM(I39:M39)</f>
        <v/>
      </c>
    </row>
    <row r="40" ht="16.5" customHeight="1">
      <c r="A40" s="464" t="n"/>
      <c r="B40" s="464" t="n"/>
      <c r="C40" s="464" t="n"/>
      <c r="D40" s="464" t="n"/>
      <c r="E40" s="464" t="n"/>
      <c r="F40" s="464" t="n"/>
      <c r="G40" s="464" t="n"/>
      <c r="H40" s="588" t="inlineStr">
        <is>
          <t>AFOLU</t>
        </is>
      </c>
      <c r="I40" s="466">
        <f>COUNTIFS(Approaches!F:F, "*AFOLU*", Approaches!A:A, "Economic")</f>
        <v/>
      </c>
      <c r="J40" s="466">
        <f>COUNTIFS(Approaches!F:F, "*AFOLU*", Approaches!A:A, "Regulatory")</f>
        <v/>
      </c>
      <c r="K40" s="466">
        <f>COUNTIFS(Approaches!F:F, "*AFOLU*", Approaches!A:A, "Government investment and consumption")</f>
        <v/>
      </c>
      <c r="L40" s="466">
        <f>COUNTIFS(Approaches!F:F, "*AFOLU*", Approaches!A:A, "Information")</f>
        <v/>
      </c>
      <c r="M40" s="466">
        <f>COUNTIFS(Approaches!F:F, "*AFOLU*", Approaches!A:A, "Voluntary")</f>
        <v/>
      </c>
      <c r="N40" s="466">
        <f>SUM(I40:M40)</f>
        <v/>
      </c>
    </row>
    <row r="41" ht="16.5" customHeight="1">
      <c r="A41" s="464" t="n"/>
      <c r="B41" s="464" t="n"/>
      <c r="C41" s="464" t="n"/>
      <c r="D41" s="464" t="n"/>
      <c r="E41" s="464" t="n"/>
      <c r="F41" s="464" t="n"/>
      <c r="G41" s="464" t="n"/>
      <c r="H41" s="588" t="inlineStr">
        <is>
          <t>Waste</t>
        </is>
      </c>
      <c r="I41" s="466">
        <f>COUNTIFS(Approaches!F:F, "*Waste*", Approaches!A:A, "Economic")</f>
        <v/>
      </c>
      <c r="J41" s="466">
        <f>COUNTIFS(Approaches!F:F, "*Waste*", Approaches!A:A, "Regulatory")</f>
        <v/>
      </c>
      <c r="K41" s="466">
        <f>COUNTIFS(Approaches!F:F, "*Waste*", Approaches!A:A, "Government investment and consumption")</f>
        <v/>
      </c>
      <c r="L41" s="466">
        <f>COUNTIFS(Approaches!F:F, "*Waste*", Approaches!A:A, "Information")</f>
        <v/>
      </c>
      <c r="M41" s="466">
        <f>COUNTIFS(Approaches!F:F, "*Waste*", Approaches!A:A, "Voluntary")</f>
        <v/>
      </c>
      <c r="N41" s="466">
        <f>SUM(I41:M41)</f>
        <v/>
      </c>
    </row>
    <row r="42" ht="16.5" customHeight="1">
      <c r="A42" s="464" t="n"/>
      <c r="B42" s="464" t="n"/>
      <c r="C42" s="464" t="n"/>
      <c r="D42" s="464" t="n"/>
      <c r="E42" s="464" t="n"/>
      <c r="F42" s="464" t="n"/>
      <c r="G42" s="464" t="n"/>
      <c r="H42" s="588" t="inlineStr">
        <is>
          <t>Cross-sectoral</t>
        </is>
      </c>
      <c r="I42" s="466">
        <f>COUNTIFS(Approaches!F:F, "*Cross-sectoral*", Approaches!A:A, "Economic")</f>
        <v/>
      </c>
      <c r="J42" s="466">
        <f>COUNTIFS(Approaches!F:F, "*Cross-sectoral*", Approaches!A:A, "Regulatory")</f>
        <v/>
      </c>
      <c r="K42" s="466">
        <f>COUNTIFS(Approaches!F:F, "*Cross-sectoral*", Approaches!A:A, "Government investment and consumption")</f>
        <v/>
      </c>
      <c r="L42" s="466">
        <f>COUNTIFS(Approaches!F:F, "*Cross-sectoral*", Approaches!A:A, "Information")</f>
        <v/>
      </c>
      <c r="M42" s="466">
        <f>COUNTIFS(Approaches!F:F, "*Cross-sectoral*", Approaches!A:A, "Voluntary")</f>
        <v/>
      </c>
      <c r="N42" s="466">
        <f>SUM(I42:M42)</f>
        <v/>
      </c>
    </row>
    <row r="43" ht="16.5" customHeight="1">
      <c r="A43" s="464" t="n"/>
      <c r="B43" s="464" t="n"/>
      <c r="C43" s="464" t="n"/>
      <c r="D43" s="464" t="n"/>
      <c r="E43" s="464" t="n"/>
      <c r="F43" s="464" t="n"/>
      <c r="G43" s="464" t="n"/>
      <c r="H43" s="468" t="n"/>
      <c r="I43" s="464" t="n"/>
      <c r="J43" s="464" t="n"/>
      <c r="K43" s="464" t="n"/>
      <c r="L43" s="464" t="n"/>
      <c r="M43" s="464" t="n"/>
      <c r="N43" s="464" t="n"/>
    </row>
    <row r="44"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31:J32">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6:N42">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I31:J32</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I36:N42</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589" t="inlineStr">
        <is>
          <t>Category</t>
        </is>
      </c>
      <c r="B1" s="589" t="inlineStr">
        <is>
          <t>Group</t>
        </is>
      </c>
      <c r="C1" s="589" t="inlineStr">
        <is>
          <t>Approach</t>
        </is>
      </c>
      <c r="D1" s="589" t="inlineStr">
        <is>
          <t>Abbreviation</t>
        </is>
      </c>
      <c r="E1" s="589" t="inlineStr">
        <is>
          <t>Definition</t>
        </is>
      </c>
      <c r="F1" s="589" t="inlineStr">
        <is>
          <t>Emission sector</t>
        </is>
      </c>
      <c r="G1" s="589" t="inlineStr">
        <is>
          <t>Mitigation relevance</t>
        </is>
      </c>
      <c r="H1" s="589" t="inlineStr">
        <is>
          <t>Number of instruments</t>
        </is>
      </c>
    </row>
    <row r="2" ht="85.5" customHeight="1">
      <c r="A2" s="590" t="inlineStr">
        <is>
          <t>Economic</t>
        </is>
      </c>
      <c r="B2" s="590" t="inlineStr">
        <is>
          <t>Trading scheme</t>
        </is>
      </c>
      <c r="C2" s="590" t="inlineStr">
        <is>
          <t>Emissions trading system</t>
        </is>
      </c>
      <c r="D2" s="590" t="inlineStr">
        <is>
          <t>ETS</t>
        </is>
      </c>
      <c r="E2" s="590"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590" t="inlineStr">
        <is>
          <t>Energy; Industry</t>
        </is>
      </c>
      <c r="G2" s="590" t="inlineStr">
        <is>
          <t>Direct</t>
        </is>
      </c>
      <c r="H2" s="590" t="n">
        <v>5</v>
      </c>
    </row>
    <row r="3" ht="99.75" customHeight="1">
      <c r="A3" s="590" t="inlineStr">
        <is>
          <t>Economic</t>
        </is>
      </c>
      <c r="B3" s="590" t="inlineStr">
        <is>
          <t>Trading scheme</t>
        </is>
      </c>
      <c r="C3" s="590" t="inlineStr">
        <is>
          <t>Tradable performance standards</t>
        </is>
      </c>
      <c r="D3" s="590" t="inlineStr">
        <is>
          <t>TPS</t>
        </is>
      </c>
      <c r="E3" s="590"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590" t="inlineStr">
        <is>
          <t>Transport</t>
        </is>
      </c>
      <c r="G3" s="590" t="inlineStr">
        <is>
          <t>Direct</t>
        </is>
      </c>
      <c r="H3" s="590" t="n">
        <v>3</v>
      </c>
    </row>
    <row r="4" ht="99.75" customHeight="1">
      <c r="A4" s="590" t="inlineStr">
        <is>
          <t>Economic</t>
        </is>
      </c>
      <c r="B4" s="590" t="inlineStr">
        <is>
          <t>Trading scheme</t>
        </is>
      </c>
      <c r="C4" s="590" t="inlineStr">
        <is>
          <t>Tradable renewable electricity credits, quota or tradable performance standards</t>
        </is>
      </c>
      <c r="D4" s="590" t="inlineStr">
        <is>
          <t>REC</t>
        </is>
      </c>
      <c r="E4" s="590"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590" t="inlineStr">
        <is>
          <t>Energy</t>
        </is>
      </c>
      <c r="G4" s="590" t="inlineStr">
        <is>
          <t>Direct</t>
        </is>
      </c>
      <c r="H4" s="590" t="n">
        <v>3</v>
      </c>
    </row>
    <row r="5" ht="42.75" customHeight="1">
      <c r="A5" s="590" t="inlineStr">
        <is>
          <t>Economic</t>
        </is>
      </c>
      <c r="B5" s="590" t="inlineStr">
        <is>
          <t>Subsidy</t>
        </is>
      </c>
      <c r="C5" s="590" t="inlineStr">
        <is>
          <t>Concessional loans, loan guarantees and credit support</t>
        </is>
      </c>
      <c r="D5" s="590" t="inlineStr">
        <is>
          <t>CLG</t>
        </is>
      </c>
      <c r="E5" s="590"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590" t="inlineStr">
        <is>
          <t>Cross-sectoral</t>
        </is>
      </c>
      <c r="G5" s="590" t="inlineStr">
        <is>
          <t>Indirect; Direct</t>
        </is>
      </c>
      <c r="H5" s="590" t="n">
        <v>4</v>
      </c>
    </row>
    <row r="6" ht="42.75" customHeight="1">
      <c r="A6" s="590" t="inlineStr">
        <is>
          <t>Economic</t>
        </is>
      </c>
      <c r="B6" s="590" t="inlineStr">
        <is>
          <t>Subsidy</t>
        </is>
      </c>
      <c r="C6" s="590" t="inlineStr">
        <is>
          <t>Renewable electricity contract for difference</t>
        </is>
      </c>
      <c r="D6" s="590" t="inlineStr">
        <is>
          <t>ECD</t>
        </is>
      </c>
      <c r="E6" s="590"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590" t="inlineStr">
        <is>
          <t>Energy</t>
        </is>
      </c>
      <c r="G6" s="590" t="inlineStr">
        <is>
          <t>Direct</t>
        </is>
      </c>
      <c r="H6" s="590" t="n">
        <v>1</v>
      </c>
    </row>
    <row r="7" ht="28.5" customHeight="1">
      <c r="A7" s="590" t="inlineStr">
        <is>
          <t>Economic</t>
        </is>
      </c>
      <c r="B7" s="590" t="inlineStr">
        <is>
          <t>Subsidy</t>
        </is>
      </c>
      <c r="C7" s="590" t="inlineStr">
        <is>
          <t>Vehicle purchase subsidy</t>
        </is>
      </c>
      <c r="D7" s="590" t="inlineStr">
        <is>
          <t>VPS</t>
        </is>
      </c>
      <c r="E7" s="590" t="inlineStr">
        <is>
          <t>Includes any subsidy towards the adoption of low carbon vehicles, such as electric, natural gas or fuel-efficient vehicles, either through the purchase, retrofitting or leasing of such vehicles, as well as scrappage schemes.</t>
        </is>
      </c>
      <c r="F7" s="590" t="inlineStr">
        <is>
          <t>Transport</t>
        </is>
      </c>
      <c r="G7" s="590" t="inlineStr">
        <is>
          <t>Direct</t>
        </is>
      </c>
      <c r="H7" s="590" t="n">
        <v>4</v>
      </c>
    </row>
    <row r="8" ht="71.25" customHeight="1">
      <c r="A8" s="590" t="inlineStr">
        <is>
          <t>Economic</t>
        </is>
      </c>
      <c r="B8" s="590" t="inlineStr">
        <is>
          <t>Subsidy</t>
        </is>
      </c>
      <c r="C8" s="590" t="inlineStr">
        <is>
          <t>Ecosystem service payments</t>
        </is>
      </c>
      <c r="D8" s="590" t="inlineStr">
        <is>
          <t>ESP</t>
        </is>
      </c>
      <c r="E8" s="590"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590" t="inlineStr">
        <is>
          <t>AFOLU</t>
        </is>
      </c>
      <c r="G8" s="590" t="inlineStr">
        <is>
          <t>Indirect</t>
        </is>
      </c>
      <c r="H8" s="590" t="n">
        <v>7</v>
      </c>
    </row>
    <row r="9" ht="57" customHeight="1">
      <c r="A9" s="590" t="inlineStr">
        <is>
          <t>Economic</t>
        </is>
      </c>
      <c r="B9" s="590" t="inlineStr">
        <is>
          <t>Subsidy</t>
        </is>
      </c>
      <c r="C9" s="590" t="inlineStr">
        <is>
          <t>Trade-in subsidy</t>
        </is>
      </c>
      <c r="D9" s="590" t="inlineStr">
        <is>
          <t>TIS</t>
        </is>
      </c>
      <c r="E9" s="590"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590" t="inlineStr">
        <is>
          <t>Transport; AFOLU; Buildings</t>
        </is>
      </c>
      <c r="G9" s="590" t="inlineStr">
        <is>
          <t>Direct; Indirect</t>
        </is>
      </c>
      <c r="H9" s="590" t="n">
        <v>3</v>
      </c>
    </row>
    <row r="10" ht="57" customHeight="1">
      <c r="A10" s="590" t="inlineStr">
        <is>
          <t>Economic</t>
        </is>
      </c>
      <c r="B10" s="590" t="inlineStr">
        <is>
          <t>Subsidy</t>
        </is>
      </c>
      <c r="C10" s="590" t="inlineStr">
        <is>
          <t>Clean heating subsidy</t>
        </is>
      </c>
      <c r="D10" s="590" t="inlineStr">
        <is>
          <t>CHS</t>
        </is>
      </c>
      <c r="E10" s="590"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590" t="inlineStr">
        <is>
          <t>Buildings</t>
        </is>
      </c>
      <c r="G10" s="590" t="inlineStr">
        <is>
          <t>Direct</t>
        </is>
      </c>
      <c r="H10" s="590" t="n">
        <v>1</v>
      </c>
    </row>
    <row r="11" ht="57" customHeight="1">
      <c r="A11" s="590" t="inlineStr">
        <is>
          <t>Economic</t>
        </is>
      </c>
      <c r="B11" s="590" t="inlineStr">
        <is>
          <t>Subsidy</t>
        </is>
      </c>
      <c r="C11" s="590" t="inlineStr">
        <is>
          <t>Recycling and treatment subsidy</t>
        </is>
      </c>
      <c r="D11" s="590" t="inlineStr">
        <is>
          <t>RTS</t>
        </is>
      </c>
      <c r="E11" s="590"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590" t="inlineStr">
        <is>
          <t>Waste</t>
        </is>
      </c>
      <c r="G11" s="590" t="inlineStr">
        <is>
          <t>Indirect</t>
        </is>
      </c>
      <c r="H11" s="590" t="n">
        <v>1</v>
      </c>
    </row>
    <row r="12" ht="71.25" customHeight="1">
      <c r="A12" s="590" t="inlineStr">
        <is>
          <t>Economic</t>
        </is>
      </c>
      <c r="B12" s="590" t="inlineStr">
        <is>
          <t>Subsidy</t>
        </is>
      </c>
      <c r="C12" s="590" t="inlineStr">
        <is>
          <t>Low-emission machinery purchase subsidy</t>
        </is>
      </c>
      <c r="D12" s="590" t="inlineStr">
        <is>
          <t>MPS</t>
        </is>
      </c>
      <c r="E12" s="590"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590" t="inlineStr">
        <is>
          <t>AFOLU</t>
        </is>
      </c>
      <c r="G12" s="590" t="inlineStr">
        <is>
          <t>Direct</t>
        </is>
      </c>
      <c r="H12" s="590" t="n">
        <v>1</v>
      </c>
    </row>
    <row r="13" ht="71.25" customHeight="1">
      <c r="A13" s="590" t="inlineStr">
        <is>
          <t>Economic</t>
        </is>
      </c>
      <c r="B13" s="590" t="inlineStr">
        <is>
          <t>Tax</t>
        </is>
      </c>
      <c r="C13" s="590" t="inlineStr">
        <is>
          <t>CIT incentive</t>
        </is>
      </c>
      <c r="D13" s="590" t="inlineStr">
        <is>
          <t>CIT</t>
        </is>
      </c>
      <c r="E13" s="590"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590" t="inlineStr">
        <is>
          <t>Industry; buildings; waste; Energy</t>
        </is>
      </c>
      <c r="G13" s="590" t="inlineStr">
        <is>
          <t>Direct; Indirect</t>
        </is>
      </c>
      <c r="H13" s="590" t="n">
        <v>5</v>
      </c>
    </row>
    <row r="14" ht="42.75" customHeight="1">
      <c r="A14" s="590" t="inlineStr">
        <is>
          <t>Economic</t>
        </is>
      </c>
      <c r="B14" s="590" t="inlineStr">
        <is>
          <t>Tax</t>
        </is>
      </c>
      <c r="C14" s="590" t="inlineStr">
        <is>
          <t>Vehicle purchase tax incentive</t>
        </is>
      </c>
      <c r="D14" s="590" t="inlineStr">
        <is>
          <t>VPT</t>
        </is>
      </c>
      <c r="E14" s="590"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590" t="inlineStr">
        <is>
          <t>Transport</t>
        </is>
      </c>
      <c r="G14" s="590" t="inlineStr">
        <is>
          <t>Direct</t>
        </is>
      </c>
      <c r="H14" s="590" t="n">
        <v>1</v>
      </c>
    </row>
    <row r="15">
      <c r="A15" s="590" t="inlineStr">
        <is>
          <t>Economic</t>
        </is>
      </c>
      <c r="B15" s="590" t="inlineStr">
        <is>
          <t>Tax</t>
        </is>
      </c>
      <c r="C15" s="590" t="inlineStr">
        <is>
          <t>Fuel excise tax</t>
        </is>
      </c>
      <c r="D15" s="590" t="inlineStr">
        <is>
          <t>FET</t>
        </is>
      </c>
      <c r="E15" s="590" t="inlineStr">
        <is>
          <t>This includes any excise tax on fossil fuel consumption based on the amount consumed (rather than the carbon content).</t>
        </is>
      </c>
      <c r="F15" s="590" t="inlineStr">
        <is>
          <t>Energy</t>
        </is>
      </c>
      <c r="G15" s="590" t="inlineStr">
        <is>
          <t>Direct</t>
        </is>
      </c>
      <c r="H15" s="590" t="n">
        <v>1</v>
      </c>
    </row>
    <row r="16" ht="85.5" customHeight="1">
      <c r="A16" s="590" t="inlineStr">
        <is>
          <t>Economic</t>
        </is>
      </c>
      <c r="B16" s="590" t="inlineStr">
        <is>
          <t>Tax</t>
        </is>
      </c>
      <c r="C16" s="590" t="inlineStr">
        <is>
          <t>Differentiated vehicle tax</t>
        </is>
      </c>
      <c r="D16" s="590" t="inlineStr">
        <is>
          <t>DVT</t>
        </is>
      </c>
      <c r="E16" s="590"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590" t="inlineStr">
        <is>
          <t>Transport</t>
        </is>
      </c>
      <c r="G16" s="590" t="inlineStr">
        <is>
          <t>Direct</t>
        </is>
      </c>
      <c r="H16" s="590" t="n">
        <v>1</v>
      </c>
    </row>
    <row r="17" ht="57" customHeight="1">
      <c r="A17" s="590" t="inlineStr">
        <is>
          <t>Economic</t>
        </is>
      </c>
      <c r="B17" s="590" t="inlineStr">
        <is>
          <t>Tax</t>
        </is>
      </c>
      <c r="C17" s="590" t="inlineStr">
        <is>
          <t>Vehicle ownership tax incentive</t>
        </is>
      </c>
      <c r="D17" s="590" t="inlineStr">
        <is>
          <t>VOT</t>
        </is>
      </c>
      <c r="E17" s="590"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590" t="inlineStr">
        <is>
          <t>Transport</t>
        </is>
      </c>
      <c r="G17" s="590" t="inlineStr">
        <is>
          <t>Direct</t>
        </is>
      </c>
      <c r="H17" s="590" t="n">
        <v>3</v>
      </c>
    </row>
    <row r="18" ht="85.5" customHeight="1">
      <c r="A18" s="590" t="inlineStr">
        <is>
          <t>Economic</t>
        </is>
      </c>
      <c r="B18" s="590" t="inlineStr">
        <is>
          <t>Tax</t>
        </is>
      </c>
      <c r="C18" s="590" t="inlineStr">
        <is>
          <t>VAT incentive</t>
        </is>
      </c>
      <c r="D18" s="590" t="inlineStr">
        <is>
          <t>VAT</t>
        </is>
      </c>
      <c r="E18" s="590"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590" t="inlineStr">
        <is>
          <t>Industry; Waste; AFOLU; Energy</t>
        </is>
      </c>
      <c r="G18" s="590" t="inlineStr">
        <is>
          <t>Indirect; Direct</t>
        </is>
      </c>
      <c r="H18" s="590" t="n">
        <v>3</v>
      </c>
    </row>
    <row r="19" ht="71.25" customHeight="1">
      <c r="A19" s="590" t="inlineStr">
        <is>
          <t>Economic</t>
        </is>
      </c>
      <c r="B19" s="590" t="inlineStr">
        <is>
          <t>Tax</t>
        </is>
      </c>
      <c r="C19" s="590" t="inlineStr">
        <is>
          <t>Environmental pollution tax</t>
        </is>
      </c>
      <c r="D19" s="590" t="inlineStr">
        <is>
          <t>EPT</t>
        </is>
      </c>
      <c r="E19" s="590"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590" t="inlineStr">
        <is>
          <t>Cross-sectoral</t>
        </is>
      </c>
      <c r="G19" s="590" t="inlineStr">
        <is>
          <t>Indirect</t>
        </is>
      </c>
      <c r="H19" s="590" t="n">
        <v>1</v>
      </c>
    </row>
    <row r="20" ht="71.25" customHeight="1">
      <c r="A20" s="590" t="inlineStr">
        <is>
          <t>Economic</t>
        </is>
      </c>
      <c r="B20" s="590" t="inlineStr">
        <is>
          <t>Tax</t>
        </is>
      </c>
      <c r="C20" s="590" t="inlineStr">
        <is>
          <t>Consumption tax incentive</t>
        </is>
      </c>
      <c r="D20" s="590" t="inlineStr">
        <is>
          <t>CTI</t>
        </is>
      </c>
      <c r="E20" s="590"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590" t="inlineStr">
        <is>
          <t>Industry; Transport</t>
        </is>
      </c>
      <c r="G20" s="590" t="inlineStr">
        <is>
          <t>Indirect; Direct</t>
        </is>
      </c>
      <c r="H20" s="590" t="n">
        <v>3</v>
      </c>
    </row>
    <row r="21" ht="71.25" customHeight="1">
      <c r="A21" s="590" t="inlineStr">
        <is>
          <t>Economic</t>
        </is>
      </c>
      <c r="B21" s="590" t="inlineStr">
        <is>
          <t>Tax</t>
        </is>
      </c>
      <c r="C21" s="590" t="inlineStr">
        <is>
          <t>Parafiscal levy exemption</t>
        </is>
      </c>
      <c r="D21" s="590" t="inlineStr">
        <is>
          <t>PLE</t>
        </is>
      </c>
      <c r="E21" s="590"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590" t="inlineStr">
        <is>
          <t>Energy</t>
        </is>
      </c>
      <c r="G21" s="590" t="inlineStr">
        <is>
          <t>Direct</t>
        </is>
      </c>
      <c r="H21" s="590" t="n">
        <v>1</v>
      </c>
    </row>
    <row r="22" ht="57" customHeight="1">
      <c r="A22" s="590" t="inlineStr">
        <is>
          <t>Economic</t>
        </is>
      </c>
      <c r="B22" s="590" t="inlineStr">
        <is>
          <t>Tax</t>
        </is>
      </c>
      <c r="C22" s="590" t="inlineStr">
        <is>
          <t>Urban land use tax incentive</t>
        </is>
      </c>
      <c r="D22" s="590" t="inlineStr">
        <is>
          <t>ULT</t>
        </is>
      </c>
      <c r="E22" s="590"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590" t="inlineStr">
        <is>
          <t>Energy</t>
        </is>
      </c>
      <c r="G22" s="590" t="inlineStr">
        <is>
          <t>Direct</t>
        </is>
      </c>
      <c r="H22" s="590" t="n">
        <v>2</v>
      </c>
    </row>
    <row r="23" ht="71.25" customHeight="1">
      <c r="A23" s="590" t="inlineStr">
        <is>
          <t>Economic</t>
        </is>
      </c>
      <c r="B23" s="590" t="inlineStr">
        <is>
          <t>Administered price</t>
        </is>
      </c>
      <c r="C23" s="590" t="inlineStr">
        <is>
          <t>Industrial differentiated electricity pricing</t>
        </is>
      </c>
      <c r="D23" s="590" t="inlineStr">
        <is>
          <t>IDP</t>
        </is>
      </c>
      <c r="E23" s="590"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590" t="inlineStr">
        <is>
          <t>Industry</t>
        </is>
      </c>
      <c r="G23" s="590" t="inlineStr">
        <is>
          <t>Direct</t>
        </is>
      </c>
      <c r="H23" s="590" t="n">
        <v>1</v>
      </c>
    </row>
    <row r="24" ht="57" customHeight="1">
      <c r="A24" s="590" t="inlineStr">
        <is>
          <t>Economic</t>
        </is>
      </c>
      <c r="B24" s="590" t="inlineStr">
        <is>
          <t>Administered price</t>
        </is>
      </c>
      <c r="C24" s="590" t="inlineStr">
        <is>
          <t>Residential increasing-block tariff</t>
        </is>
      </c>
      <c r="D24" s="590" t="inlineStr">
        <is>
          <t>RIT</t>
        </is>
      </c>
      <c r="E24" s="590"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590" t="inlineStr">
        <is>
          <t>Buildings</t>
        </is>
      </c>
      <c r="G24" s="590" t="inlineStr">
        <is>
          <t>Indirect</t>
        </is>
      </c>
      <c r="H24" s="590" t="n">
        <v>1</v>
      </c>
    </row>
    <row r="25" ht="71.25" customHeight="1">
      <c r="A25" s="590" t="inlineStr">
        <is>
          <t>Economic</t>
        </is>
      </c>
      <c r="B25" s="590" t="inlineStr">
        <is>
          <t>Administered price</t>
        </is>
      </c>
      <c r="C25" s="590" t="inlineStr">
        <is>
          <t>Capacity pricing mechanism</t>
        </is>
      </c>
      <c r="D25" s="590" t="inlineStr">
        <is>
          <t>CPM</t>
        </is>
      </c>
      <c r="E25" s="590"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590" t="inlineStr">
        <is>
          <t>Energy</t>
        </is>
      </c>
      <c r="G25" s="590" t="inlineStr">
        <is>
          <t>Indirect</t>
        </is>
      </c>
      <c r="H25" s="590" t="n">
        <v>5</v>
      </c>
    </row>
    <row r="26" ht="28.5" customHeight="1">
      <c r="A26" s="590" t="inlineStr">
        <is>
          <t>Regulatory</t>
        </is>
      </c>
      <c r="B26" s="590" t="inlineStr">
        <is>
          <t>Technology standard</t>
        </is>
      </c>
      <c r="C26" s="590" t="inlineStr">
        <is>
          <t>Bans and phase-outs of fossil fuel heating systems</t>
        </is>
      </c>
      <c r="D26" s="590" t="inlineStr">
        <is>
          <t>BFH</t>
        </is>
      </c>
      <c r="E26" s="590" t="inlineStr">
        <is>
          <t>Regulatory instruments that prohibit the installation of new fossil fuel heating systems in buildings and/or set a binding date for the phase-out of existing systems.</t>
        </is>
      </c>
      <c r="F26" s="590" t="inlineStr">
        <is>
          <t>Industry; Buildings</t>
        </is>
      </c>
      <c r="G26" s="590" t="inlineStr">
        <is>
          <t>Direct</t>
        </is>
      </c>
      <c r="H26" s="590" t="n">
        <v>1</v>
      </c>
    </row>
    <row r="27" ht="42.75" customHeight="1">
      <c r="A27" s="590" t="inlineStr">
        <is>
          <t>Regulatory</t>
        </is>
      </c>
      <c r="B27" s="590" t="inlineStr">
        <is>
          <t>Technology standard</t>
        </is>
      </c>
      <c r="C27" s="590" t="inlineStr">
        <is>
          <t>Biofuel quotas for land transport fuels</t>
        </is>
      </c>
      <c r="D27" s="590" t="inlineStr">
        <is>
          <t>BQL</t>
        </is>
      </c>
      <c r="E27" s="590"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590" t="inlineStr">
        <is>
          <t>Transport</t>
        </is>
      </c>
      <c r="G27" s="590" t="inlineStr">
        <is>
          <t>Indirect</t>
        </is>
      </c>
      <c r="H27" s="590" t="n">
        <v>1</v>
      </c>
    </row>
    <row r="28" ht="28.5" customHeight="1">
      <c r="A28" s="590" t="inlineStr">
        <is>
          <t>Regulatory</t>
        </is>
      </c>
      <c r="B28" s="590" t="inlineStr">
        <is>
          <t>Technology standard</t>
        </is>
      </c>
      <c r="C28" s="590" t="inlineStr">
        <is>
          <t>Minimum Energy Performance Standards (MEPS) for electric motors</t>
        </is>
      </c>
      <c r="D28" s="590" t="inlineStr">
        <is>
          <t>MEM</t>
        </is>
      </c>
      <c r="E28" s="590" t="inlineStr">
        <is>
          <t>A MEPS sets a baseline level of energy efficiency that motors must achieve before they can be sold or distributed in a particular market.</t>
        </is>
      </c>
      <c r="F28" s="590" t="inlineStr">
        <is>
          <t>Industry</t>
        </is>
      </c>
      <c r="G28" s="590" t="inlineStr">
        <is>
          <t>Direct</t>
        </is>
      </c>
      <c r="H28" s="590" t="n">
        <v>3</v>
      </c>
    </row>
    <row r="29" ht="71.25" customHeight="1">
      <c r="A29" s="590" t="inlineStr">
        <is>
          <t>Regulatory</t>
        </is>
      </c>
      <c r="B29" s="590" t="inlineStr">
        <is>
          <t>Technology standard</t>
        </is>
      </c>
      <c r="C29" s="590" t="inlineStr">
        <is>
          <t>Bans and phase-outs of ozone-depleting substances</t>
        </is>
      </c>
      <c r="D29" s="590" t="inlineStr">
        <is>
          <t>ODS</t>
        </is>
      </c>
      <c r="E29" s="590"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590" t="inlineStr">
        <is>
          <t>Industry</t>
        </is>
      </c>
      <c r="G29" s="590" t="inlineStr">
        <is>
          <t>Indirect</t>
        </is>
      </c>
      <c r="H29" s="590" t="n">
        <v>1</v>
      </c>
    </row>
    <row r="30" ht="71.25" customHeight="1">
      <c r="A30" s="590" t="inlineStr">
        <is>
          <t>Regulatory</t>
        </is>
      </c>
      <c r="B30" s="590" t="inlineStr">
        <is>
          <t>Technology standard</t>
        </is>
      </c>
      <c r="C30" s="590" t="inlineStr">
        <is>
          <t>Bans and phase-outs of fluorinated greenhouse gases (F-gases)</t>
        </is>
      </c>
      <c r="D30" s="590" t="inlineStr">
        <is>
          <t>FGA</t>
        </is>
      </c>
      <c r="E30" s="590"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590" t="inlineStr">
        <is>
          <t>Industry</t>
        </is>
      </c>
      <c r="G30" s="590" t="inlineStr">
        <is>
          <t>Direct</t>
        </is>
      </c>
      <c r="H30" s="590" t="n">
        <v>1</v>
      </c>
    </row>
    <row r="31" ht="85.5" customHeight="1">
      <c r="A31" s="590" t="inlineStr">
        <is>
          <t>Regulatory</t>
        </is>
      </c>
      <c r="B31" s="590" t="inlineStr">
        <is>
          <t>Technology standard</t>
        </is>
      </c>
      <c r="C31" s="590" t="inlineStr">
        <is>
          <t>Bans and phase-outs of plastic products</t>
        </is>
      </c>
      <c r="D31" s="590" t="inlineStr">
        <is>
          <t>BPP</t>
        </is>
      </c>
      <c r="E31" s="590"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590" t="inlineStr">
        <is>
          <t>Industry</t>
        </is>
      </c>
      <c r="G31" s="590" t="inlineStr">
        <is>
          <t>Indirect</t>
        </is>
      </c>
      <c r="H31" s="590" t="n">
        <v>1</v>
      </c>
    </row>
    <row r="32" ht="57" customHeight="1">
      <c r="A32" s="590" t="inlineStr">
        <is>
          <t>Regulatory</t>
        </is>
      </c>
      <c r="B32" s="590" t="inlineStr">
        <is>
          <t>Performance standard</t>
        </is>
      </c>
      <c r="C32" s="590" t="inlineStr">
        <is>
          <t>Fuel economy standard</t>
        </is>
      </c>
      <c r="D32" s="590" t="inlineStr">
        <is>
          <t>FEC</t>
        </is>
      </c>
      <c r="E32" s="590"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590" t="inlineStr">
        <is>
          <t>Transport</t>
        </is>
      </c>
      <c r="G32" s="590" t="inlineStr">
        <is>
          <t>Direct</t>
        </is>
      </c>
      <c r="H32" s="590" t="n">
        <v>5</v>
      </c>
    </row>
    <row r="33" ht="28.5" customHeight="1">
      <c r="A33" s="590" t="inlineStr">
        <is>
          <t>Regulatory</t>
        </is>
      </c>
      <c r="B33" s="590" t="inlineStr">
        <is>
          <t>Performance standard</t>
        </is>
      </c>
      <c r="C33" s="590" t="inlineStr">
        <is>
          <t>Minimum Energy Performance Standards (MEPS) for buildings</t>
        </is>
      </c>
      <c r="D33" s="590" t="inlineStr">
        <is>
          <t>MEB</t>
        </is>
      </c>
      <c r="E33" s="590" t="inlineStr">
        <is>
          <t>A MEPS sets a baseline level of energy efficiency that buildings must achieve before they can be constructed, sold, or rented. In particular, they mandate a maximum level of energy consumption by a building.</t>
        </is>
      </c>
      <c r="F33" s="590" t="inlineStr">
        <is>
          <t>Buildings</t>
        </is>
      </c>
      <c r="G33" s="590" t="inlineStr">
        <is>
          <t>Direct</t>
        </is>
      </c>
      <c r="H33" s="590" t="n">
        <v>2</v>
      </c>
    </row>
    <row r="34" ht="28.5" customHeight="1">
      <c r="A34" s="590" t="inlineStr">
        <is>
          <t>Regulatory</t>
        </is>
      </c>
      <c r="B34" s="590" t="inlineStr">
        <is>
          <t>Performance standard</t>
        </is>
      </c>
      <c r="C34" s="590" t="inlineStr">
        <is>
          <t>Minimum Energy Performance Standards (MEPS) for cooking systems</t>
        </is>
      </c>
      <c r="D34" s="590" t="inlineStr">
        <is>
          <t>MEC</t>
        </is>
      </c>
      <c r="E34" s="590" t="inlineStr">
        <is>
          <t>A MEPS sets a baseline level of energy efficiency that cooking systems must achieve before they can be sold or distributed in a particular market.</t>
        </is>
      </c>
      <c r="F34" s="590" t="inlineStr">
        <is>
          <t>Buildings</t>
        </is>
      </c>
      <c r="G34" s="590" t="inlineStr">
        <is>
          <t>Direct</t>
        </is>
      </c>
      <c r="H34" s="590" t="n">
        <v>3</v>
      </c>
    </row>
    <row r="35" ht="28.5" customHeight="1">
      <c r="A35" s="590" t="inlineStr">
        <is>
          <t>Regulatory</t>
        </is>
      </c>
      <c r="B35" s="590" t="inlineStr">
        <is>
          <t>Performance standard</t>
        </is>
      </c>
      <c r="C35" s="590" t="inlineStr">
        <is>
          <t>Minimum Energy Performance Standards (MEPS) for electric appliances</t>
        </is>
      </c>
      <c r="D35" s="590" t="inlineStr">
        <is>
          <t>MEA</t>
        </is>
      </c>
      <c r="E35" s="590" t="inlineStr">
        <is>
          <t>A MEPS sets a baseline level of energy efficiency that electric appliances must achieve before they can be sold or distributed in a particular market.</t>
        </is>
      </c>
      <c r="F35" s="590" t="inlineStr">
        <is>
          <t>Industry; Buildings</t>
        </is>
      </c>
      <c r="G35" s="590" t="inlineStr">
        <is>
          <t>Direct</t>
        </is>
      </c>
      <c r="H35" s="590" t="n">
        <v>30</v>
      </c>
    </row>
    <row r="36" ht="28.5" customHeight="1">
      <c r="A36" s="590" t="inlineStr">
        <is>
          <t>Regulatory</t>
        </is>
      </c>
      <c r="B36" s="590" t="inlineStr">
        <is>
          <t>Performance standard</t>
        </is>
      </c>
      <c r="C36" s="590" t="inlineStr">
        <is>
          <t>Minimum Energy Performance Standards (MEPS) for lighting systems</t>
        </is>
      </c>
      <c r="D36" s="590" t="inlineStr">
        <is>
          <t>MEL</t>
        </is>
      </c>
      <c r="E36" s="590" t="inlineStr">
        <is>
          <t>A MEPS sets a baseline level of energy efficiency that lighting systems must achieve before they can be sold or distributed in a particular market.</t>
        </is>
      </c>
      <c r="F36" s="590" t="inlineStr">
        <is>
          <t>Industry; Business; Transport</t>
        </is>
      </c>
      <c r="G36" s="590" t="inlineStr">
        <is>
          <t>Direct</t>
        </is>
      </c>
      <c r="H36" s="590" t="n">
        <v>8</v>
      </c>
    </row>
    <row r="37" ht="28.5" customHeight="1">
      <c r="A37" s="590" t="inlineStr">
        <is>
          <t>Regulatory</t>
        </is>
      </c>
      <c r="B37" s="590" t="inlineStr">
        <is>
          <t>Performance standard</t>
        </is>
      </c>
      <c r="C37" s="590" t="inlineStr">
        <is>
          <t>Minimum Energy Performance Standards (MEPS) for spatial cooling</t>
        </is>
      </c>
      <c r="D37" s="590" t="inlineStr">
        <is>
          <t>MCS</t>
        </is>
      </c>
      <c r="E37" s="590" t="inlineStr">
        <is>
          <t>A MEPS sets a baseline level of energy efficiency that spatial cooling systems must achieve before they can be sold or distributed in a particular market.</t>
        </is>
      </c>
      <c r="F37" s="590" t="inlineStr">
        <is>
          <t>Buildings</t>
        </is>
      </c>
      <c r="G37" s="590" t="inlineStr">
        <is>
          <t>Direct</t>
        </is>
      </c>
      <c r="H37" s="590" t="n">
        <v>4</v>
      </c>
    </row>
    <row r="38" ht="28.5" customHeight="1">
      <c r="A38" s="590" t="inlineStr">
        <is>
          <t>Regulatory</t>
        </is>
      </c>
      <c r="B38" s="590" t="inlineStr">
        <is>
          <t>Performance standard</t>
        </is>
      </c>
      <c r="C38" s="590" t="inlineStr">
        <is>
          <t>Minimum Energy Performance Standards (MEPS) for spatial heating</t>
        </is>
      </c>
      <c r="D38" s="590" t="inlineStr">
        <is>
          <t>MHS</t>
        </is>
      </c>
      <c r="E38" s="590" t="inlineStr">
        <is>
          <t>A MEPS sets a baseline level of energy efficiency that spatial heating systems must achieve before they can be sold or distributed in a particular market.</t>
        </is>
      </c>
      <c r="F38" s="590" t="inlineStr">
        <is>
          <t>Buildings; Industry</t>
        </is>
      </c>
      <c r="G38" s="590" t="inlineStr">
        <is>
          <t>Direct</t>
        </is>
      </c>
      <c r="H38" s="590" t="n">
        <v>1</v>
      </c>
    </row>
    <row r="39" ht="28.5" customHeight="1">
      <c r="A39" s="590" t="inlineStr">
        <is>
          <t>Regulatory</t>
        </is>
      </c>
      <c r="B39" s="590" t="inlineStr">
        <is>
          <t>Performance standard</t>
        </is>
      </c>
      <c r="C39" s="590" t="inlineStr">
        <is>
          <t>Minimum Energy Performance Standards (MEPS) for water heating systems</t>
        </is>
      </c>
      <c r="D39" s="590" t="inlineStr">
        <is>
          <t>MWH</t>
        </is>
      </c>
      <c r="E39" s="590" t="inlineStr">
        <is>
          <t>A MEPS sets a baseline level of energy efficiency that water heating systems must achieve before they can be sold or distributed in a particular market.</t>
        </is>
      </c>
      <c r="F39" s="590" t="inlineStr">
        <is>
          <t>Buildings</t>
        </is>
      </c>
      <c r="G39" s="590" t="inlineStr">
        <is>
          <t>Direct</t>
        </is>
      </c>
      <c r="H39" s="590" t="n">
        <v>4</v>
      </c>
    </row>
    <row r="40" ht="28.5" customHeight="1">
      <c r="A40" s="590" t="inlineStr">
        <is>
          <t>Regulatory</t>
        </is>
      </c>
      <c r="B40" s="590" t="inlineStr">
        <is>
          <t>Performance standard</t>
        </is>
      </c>
      <c r="C40" s="590" t="inlineStr">
        <is>
          <t>Minimum Energy Performance Standards (MEPS) for industrial thermal equipment</t>
        </is>
      </c>
      <c r="D40" s="590" t="inlineStr">
        <is>
          <t>MIT</t>
        </is>
      </c>
      <c r="E40" s="590" t="inlineStr">
        <is>
          <t>A MEPS sets a baseline level of energy efficiency that industrial thermal equipment must achieve before they can be sold or distributed in a particular market.</t>
        </is>
      </c>
      <c r="F40" s="590" t="inlineStr">
        <is>
          <t>Industry</t>
        </is>
      </c>
      <c r="G40" s="590" t="inlineStr">
        <is>
          <t>Direct</t>
        </is>
      </c>
      <c r="H40" s="590" t="n">
        <v>3</v>
      </c>
    </row>
    <row r="41" ht="28.5" customHeight="1">
      <c r="A41" s="590" t="inlineStr">
        <is>
          <t>Regulatory</t>
        </is>
      </c>
      <c r="B41" s="590" t="inlineStr">
        <is>
          <t>Performance standard</t>
        </is>
      </c>
      <c r="C41" s="590" t="inlineStr">
        <is>
          <t>Minimum Energy Performance Standards (MEPS) for refrigeration equipment</t>
        </is>
      </c>
      <c r="D41" s="590" t="inlineStr">
        <is>
          <t>MRE</t>
        </is>
      </c>
      <c r="E41" s="590" t="inlineStr">
        <is>
          <t>A MEPS sets a baseline level of energy efficiency that refrigeration equipment must achieve before they can be sold or distributed in a particular market.</t>
        </is>
      </c>
      <c r="F41" s="590" t="inlineStr">
        <is>
          <t>Industry; Buildings</t>
        </is>
      </c>
      <c r="G41" s="590" t="inlineStr">
        <is>
          <t>Direct</t>
        </is>
      </c>
      <c r="H41" s="590" t="n">
        <v>2</v>
      </c>
    </row>
    <row r="42" ht="42.75" customHeight="1">
      <c r="A42" s="590" t="inlineStr">
        <is>
          <t>Regulatory</t>
        </is>
      </c>
      <c r="B42" s="590" t="inlineStr">
        <is>
          <t>Performance standard</t>
        </is>
      </c>
      <c r="C42" s="590" t="inlineStr">
        <is>
          <t>Energy intensity limit for industrial production</t>
        </is>
      </c>
      <c r="D42" s="590" t="inlineStr">
        <is>
          <t>EIL</t>
        </is>
      </c>
      <c r="E42" s="590"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590" t="inlineStr">
        <is>
          <t>Industry; Energy</t>
        </is>
      </c>
      <c r="G42" s="590" t="inlineStr">
        <is>
          <t>Direct</t>
        </is>
      </c>
      <c r="H42" s="590" t="n">
        <v>68</v>
      </c>
    </row>
    <row r="43" ht="42.75" customHeight="1">
      <c r="A43" s="590" t="inlineStr">
        <is>
          <t>Regulatory</t>
        </is>
      </c>
      <c r="B43" s="590" t="inlineStr">
        <is>
          <t>Performance standard</t>
        </is>
      </c>
      <c r="C43" s="590" t="inlineStr">
        <is>
          <t>Speed limits</t>
        </is>
      </c>
      <c r="D43" s="590" t="inlineStr">
        <is>
          <t>SPD</t>
        </is>
      </c>
      <c r="E43" s="590"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590" t="inlineStr">
        <is>
          <t>Transport</t>
        </is>
      </c>
      <c r="G43" s="590" t="inlineStr">
        <is>
          <t>Indirect</t>
        </is>
      </c>
      <c r="H43" s="590" t="n">
        <v>1</v>
      </c>
    </row>
    <row r="44" ht="99.75" customHeight="1">
      <c r="A44" s="590" t="inlineStr">
        <is>
          <t>Regulatory</t>
        </is>
      </c>
      <c r="B44" s="590" t="inlineStr">
        <is>
          <t>Framework regulation</t>
        </is>
      </c>
      <c r="C44" s="590" t="inlineStr">
        <is>
          <t>Agricultural pollution control</t>
        </is>
      </c>
      <c r="D44" s="590" t="inlineStr">
        <is>
          <t>APC</t>
        </is>
      </c>
      <c r="E44" s="590"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590" t="inlineStr">
        <is>
          <t>AFOLU</t>
        </is>
      </c>
      <c r="G44" s="590" t="inlineStr">
        <is>
          <t>Indirect</t>
        </is>
      </c>
      <c r="H44" s="590" t="n">
        <v>1</v>
      </c>
    </row>
    <row r="45" ht="85.5" customHeight="1">
      <c r="A45" s="590" t="inlineStr">
        <is>
          <t>Regulatory</t>
        </is>
      </c>
      <c r="B45" s="590" t="inlineStr">
        <is>
          <t>Framework regulation</t>
        </is>
      </c>
      <c r="C45" s="590" t="inlineStr">
        <is>
          <t>Capacity replacement</t>
        </is>
      </c>
      <c r="D45" s="590" t="inlineStr">
        <is>
          <t>CAP</t>
        </is>
      </c>
      <c r="E45" s="590"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590" t="inlineStr">
        <is>
          <t>Industry</t>
        </is>
      </c>
      <c r="G45" s="590" t="inlineStr">
        <is>
          <t>Indirect</t>
        </is>
      </c>
      <c r="H45" s="590" t="n">
        <v>3</v>
      </c>
    </row>
    <row r="46" ht="99.75" customHeight="1">
      <c r="A46" s="590" t="inlineStr">
        <is>
          <t>Regulatory</t>
        </is>
      </c>
      <c r="B46" s="590" t="inlineStr">
        <is>
          <t>Framework regulation</t>
        </is>
      </c>
      <c r="C46" s="590" t="inlineStr">
        <is>
          <t>Ecosystem protection mandate</t>
        </is>
      </c>
      <c r="D46" s="590" t="inlineStr">
        <is>
          <t>ECM</t>
        </is>
      </c>
      <c r="E46" s="590"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590" t="inlineStr">
        <is>
          <t>AFOLU</t>
        </is>
      </c>
      <c r="G46" s="590" t="inlineStr">
        <is>
          <t>Indirect</t>
        </is>
      </c>
      <c r="H46" s="590" t="n">
        <v>3</v>
      </c>
    </row>
    <row r="47" ht="128.25" customHeight="1">
      <c r="A47" s="590" t="inlineStr">
        <is>
          <t>Regulatory</t>
        </is>
      </c>
      <c r="B47" s="590" t="inlineStr">
        <is>
          <t>Framework regulation</t>
        </is>
      </c>
      <c r="C47" s="590" t="inlineStr">
        <is>
          <t>Eco-compensation</t>
        </is>
      </c>
      <c r="D47" s="590" t="inlineStr">
        <is>
          <t>ECO</t>
        </is>
      </c>
      <c r="E47" s="590"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590" t="inlineStr">
        <is>
          <t>AFOLU</t>
        </is>
      </c>
      <c r="G47" s="590" t="inlineStr">
        <is>
          <t>Indirect</t>
        </is>
      </c>
      <c r="H47" s="590" t="n">
        <v>1</v>
      </c>
    </row>
    <row r="48" ht="85.5" customHeight="1">
      <c r="A48" s="590" t="inlineStr">
        <is>
          <t>Regulatory</t>
        </is>
      </c>
      <c r="B48" s="590" t="inlineStr">
        <is>
          <t>Framework regulation</t>
        </is>
      </c>
      <c r="C48" s="590" t="inlineStr">
        <is>
          <t>Enterprise energy management obligation</t>
        </is>
      </c>
      <c r="D48" s="590" t="inlineStr">
        <is>
          <t>EEM</t>
        </is>
      </c>
      <c r="E48" s="590"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590" t="inlineStr">
        <is>
          <t>Cross-sectoral</t>
        </is>
      </c>
      <c r="G48" s="590" t="inlineStr">
        <is>
          <t>Direct</t>
        </is>
      </c>
      <c r="H48" s="590" t="n">
        <v>1</v>
      </c>
    </row>
    <row r="49" ht="99.75" customHeight="1">
      <c r="A49" s="590" t="inlineStr">
        <is>
          <t>Regulatory</t>
        </is>
      </c>
      <c r="B49" s="590" t="inlineStr">
        <is>
          <t>Framework regulation</t>
        </is>
      </c>
      <c r="C49" s="590" t="inlineStr">
        <is>
          <t>Energy performance management framework for public institutions</t>
        </is>
      </c>
      <c r="D49" s="590" t="inlineStr">
        <is>
          <t>EPM</t>
        </is>
      </c>
      <c r="E49" s="590"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590" t="inlineStr">
        <is>
          <t>Buildings</t>
        </is>
      </c>
      <c r="G49" s="590" t="inlineStr">
        <is>
          <t>Direct</t>
        </is>
      </c>
      <c r="H49" s="590" t="n">
        <v>1</v>
      </c>
    </row>
    <row r="50" ht="114" customHeight="1">
      <c r="A50" s="590" t="inlineStr">
        <is>
          <t>Regulatory</t>
        </is>
      </c>
      <c r="B50" s="590" t="inlineStr">
        <is>
          <t>Framework regulation</t>
        </is>
      </c>
      <c r="C50" s="590" t="inlineStr">
        <is>
          <t>Extended producer responsibility</t>
        </is>
      </c>
      <c r="D50" s="590" t="inlineStr">
        <is>
          <t>EPR</t>
        </is>
      </c>
      <c r="E50" s="590"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590" t="inlineStr">
        <is>
          <t>Cross-sectoral; Waste; Industry</t>
        </is>
      </c>
      <c r="G50" s="590" t="inlineStr">
        <is>
          <t>Indirect</t>
        </is>
      </c>
      <c r="H50" s="590" t="n">
        <v>3</v>
      </c>
    </row>
    <row r="51" ht="128.25" customHeight="1">
      <c r="A51" s="590" t="inlineStr">
        <is>
          <t>Regulatory</t>
        </is>
      </c>
      <c r="B51" s="590" t="inlineStr">
        <is>
          <t>Framework regulation</t>
        </is>
      </c>
      <c r="C51" s="590" t="inlineStr">
        <is>
          <t>Eco-environmental zoning</t>
        </is>
      </c>
      <c r="D51" s="590" t="inlineStr">
        <is>
          <t>EEZ</t>
        </is>
      </c>
      <c r="E51" s="590"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590" t="inlineStr">
        <is>
          <t>Cross-sectoral</t>
        </is>
      </c>
      <c r="G51" s="590" t="inlineStr">
        <is>
          <t>Indirect</t>
        </is>
      </c>
      <c r="H51" s="590" t="n">
        <v>1</v>
      </c>
    </row>
    <row r="52" ht="114" customHeight="1">
      <c r="A52" s="590" t="inlineStr">
        <is>
          <t>Regulatory</t>
        </is>
      </c>
      <c r="B52" s="590" t="inlineStr">
        <is>
          <t>Framework regulation</t>
        </is>
      </c>
      <c r="C52" s="590" t="inlineStr">
        <is>
          <t>Industrial transition governance</t>
        </is>
      </c>
      <c r="D52" s="590" t="inlineStr">
        <is>
          <t>ITG</t>
        </is>
      </c>
      <c r="E52" s="590"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590" t="inlineStr">
        <is>
          <t>Cross-sectoral</t>
        </is>
      </c>
      <c r="G52" s="590" t="inlineStr">
        <is>
          <t>Direct</t>
        </is>
      </c>
      <c r="H52" s="590" t="n">
        <v>1</v>
      </c>
    </row>
    <row r="53" ht="142.5" customHeight="1">
      <c r="A53" s="590" t="inlineStr">
        <is>
          <t>Regulatory</t>
        </is>
      </c>
      <c r="B53" s="590" t="inlineStr">
        <is>
          <t>Framework regulation</t>
        </is>
      </c>
      <c r="C53" s="590" t="inlineStr">
        <is>
          <t>Pollution discharge permitting</t>
        </is>
      </c>
      <c r="D53" s="590" t="inlineStr">
        <is>
          <t>PDP</t>
        </is>
      </c>
      <c r="E53" s="590"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590" t="inlineStr">
        <is>
          <t>Industry</t>
        </is>
      </c>
      <c r="G53" s="590" t="inlineStr">
        <is>
          <t>Indirect</t>
        </is>
      </c>
      <c r="H53" s="590" t="n">
        <v>1</v>
      </c>
    </row>
    <row r="54" ht="99.75" customHeight="1">
      <c r="A54" s="590" t="inlineStr">
        <is>
          <t>Regulatory</t>
        </is>
      </c>
      <c r="B54" s="590" t="inlineStr">
        <is>
          <t>Framework regulation</t>
        </is>
      </c>
      <c r="C54" s="590" t="inlineStr">
        <is>
          <t>Green finance governance framework</t>
        </is>
      </c>
      <c r="D54" s="590" t="inlineStr">
        <is>
          <t>GFG</t>
        </is>
      </c>
      <c r="E54" s="590"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590" t="inlineStr">
        <is>
          <t>Cross-sectoral</t>
        </is>
      </c>
      <c r="G54" s="590" t="inlineStr">
        <is>
          <t>Indirect</t>
        </is>
      </c>
      <c r="H54" s="590" t="n">
        <v>1</v>
      </c>
    </row>
    <row r="55" ht="99.75" customHeight="1">
      <c r="A55" s="590" t="inlineStr">
        <is>
          <t>Regulatory</t>
        </is>
      </c>
      <c r="B55" s="590" t="inlineStr">
        <is>
          <t>Framework regulation</t>
        </is>
      </c>
      <c r="C55" s="590" t="inlineStr">
        <is>
          <t>Production scheduling mandate</t>
        </is>
      </c>
      <c r="D55" s="590" t="inlineStr">
        <is>
          <t>PSM</t>
        </is>
      </c>
      <c r="E55" s="590"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590" t="inlineStr">
        <is>
          <t>Industry</t>
        </is>
      </c>
      <c r="G55" s="590" t="inlineStr">
        <is>
          <t>Indirect</t>
        </is>
      </c>
      <c r="H55" s="590" t="n">
        <v>1</v>
      </c>
    </row>
    <row r="56" ht="85.5" customHeight="1">
      <c r="A56" s="590" t="inlineStr">
        <is>
          <t>Regulatory</t>
        </is>
      </c>
      <c r="B56" s="590" t="inlineStr">
        <is>
          <t>Framework regulation</t>
        </is>
      </c>
      <c r="C56" s="590" t="inlineStr">
        <is>
          <t>Renewable priority dispatch</t>
        </is>
      </c>
      <c r="D56" s="590" t="inlineStr">
        <is>
          <t>RPD</t>
        </is>
      </c>
      <c r="E56" s="590"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590" t="inlineStr">
        <is>
          <t>Energy</t>
        </is>
      </c>
      <c r="G56" s="590" t="inlineStr">
        <is>
          <t>Direct</t>
        </is>
      </c>
      <c r="H56" s="590" t="n">
        <v>1</v>
      </c>
    </row>
    <row r="57" ht="85.5" customHeight="1">
      <c r="A57" s="590" t="inlineStr">
        <is>
          <t>Regulatory</t>
        </is>
      </c>
      <c r="B57" s="590" t="inlineStr">
        <is>
          <t>Framework regulation</t>
        </is>
      </c>
      <c r="C57" s="590" t="inlineStr">
        <is>
          <t>Target responsibility system</t>
        </is>
      </c>
      <c r="D57" s="590" t="inlineStr">
        <is>
          <t>TRS</t>
        </is>
      </c>
      <c r="E57" s="590"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590" t="inlineStr">
        <is>
          <t>Cross-sectoral</t>
        </is>
      </c>
      <c r="G57" s="590" t="inlineStr">
        <is>
          <t>Direct</t>
        </is>
      </c>
      <c r="H57" s="590" t="n">
        <v>4</v>
      </c>
    </row>
    <row r="58" ht="71.25" customHeight="1">
      <c r="A58" s="590" t="inlineStr">
        <is>
          <t>Government investment and consumption</t>
        </is>
      </c>
      <c r="B58" s="590" t="inlineStr">
        <is>
          <t>Public investment</t>
        </is>
      </c>
      <c r="C58" s="590" t="inlineStr">
        <is>
          <t>Government-funded RD&amp;D programmes</t>
        </is>
      </c>
      <c r="D58" s="590" t="inlineStr">
        <is>
          <t>RDD</t>
        </is>
      </c>
      <c r="E58" s="590"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590" t="inlineStr">
        <is>
          <t>Transport; Industry; Energy; Buildings</t>
        </is>
      </c>
      <c r="G58" s="590" t="inlineStr">
        <is>
          <t>Direct; Indirect</t>
        </is>
      </c>
      <c r="H58" s="590" t="n">
        <v>6</v>
      </c>
    </row>
    <row r="59" ht="71.25" customHeight="1">
      <c r="A59" s="590" t="inlineStr">
        <is>
          <t>Government investment and consumption</t>
        </is>
      </c>
      <c r="B59" s="590" t="inlineStr">
        <is>
          <t>Public investment</t>
        </is>
      </c>
      <c r="C59" s="590" t="inlineStr">
        <is>
          <t>Central budget investment</t>
        </is>
      </c>
      <c r="D59" s="590" t="inlineStr">
        <is>
          <t>CBI</t>
        </is>
      </c>
      <c r="E59" s="590"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590" t="inlineStr">
        <is>
          <t>Transport; Industry; Energy; Buildings; AFOLU</t>
        </is>
      </c>
      <c r="G59" s="590" t="inlineStr">
        <is>
          <t>Direct; Indirect</t>
        </is>
      </c>
      <c r="H59" s="590" t="n">
        <v>5</v>
      </c>
    </row>
    <row r="60" ht="57" customHeight="1">
      <c r="A60" s="590" t="inlineStr">
        <is>
          <t>Government investment and consumption</t>
        </is>
      </c>
      <c r="B60" s="590" t="inlineStr">
        <is>
          <t>Public investment</t>
        </is>
      </c>
      <c r="C60" s="590" t="inlineStr">
        <is>
          <t>Government investment fund</t>
        </is>
      </c>
      <c r="D60" s="590" t="inlineStr">
        <is>
          <t>GIF</t>
        </is>
      </c>
      <c r="E60" s="590"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590" t="inlineStr">
        <is>
          <t>Cross-sectoral</t>
        </is>
      </c>
      <c r="G60" s="590" t="inlineStr">
        <is>
          <t>Direct</t>
        </is>
      </c>
      <c r="H60" s="590" t="n">
        <v>1</v>
      </c>
    </row>
    <row r="61" ht="99.75" customHeight="1">
      <c r="A61" s="590" t="inlineStr">
        <is>
          <t>Government investment and consumption</t>
        </is>
      </c>
      <c r="B61" s="590" t="inlineStr">
        <is>
          <t>Public procurement</t>
        </is>
      </c>
      <c r="C61" s="590" t="inlineStr">
        <is>
          <t>Green public procurement</t>
        </is>
      </c>
      <c r="D61" s="590" t="inlineStr">
        <is>
          <t>GPP</t>
        </is>
      </c>
      <c r="E61" s="590"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590" t="inlineStr">
        <is>
          <t>Industry; Buildings; Transport</t>
        </is>
      </c>
      <c r="G61" s="590" t="inlineStr">
        <is>
          <t>Direct; Indirect</t>
        </is>
      </c>
      <c r="H61" s="590" t="n">
        <v>6</v>
      </c>
    </row>
    <row r="62" ht="85.5" customHeight="1">
      <c r="A62" s="590" t="inlineStr">
        <is>
          <t>Government investment and consumption</t>
        </is>
      </c>
      <c r="B62" s="590" t="inlineStr">
        <is>
          <t>Public appraisal rules</t>
        </is>
      </c>
      <c r="C62" s="590" t="inlineStr">
        <is>
          <t>Strategic environmental assessment</t>
        </is>
      </c>
      <c r="D62" s="590" t="inlineStr">
        <is>
          <t>SEA</t>
        </is>
      </c>
      <c r="E62" s="590"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590" t="inlineStr">
        <is>
          <t>Cross-sectoral</t>
        </is>
      </c>
      <c r="G62" s="590" t="inlineStr">
        <is>
          <t>Indirect</t>
        </is>
      </c>
      <c r="H62" s="590" t="n">
        <v>1</v>
      </c>
    </row>
    <row r="63" ht="71.25" customHeight="1">
      <c r="A63" s="590" t="inlineStr">
        <is>
          <t>Government investment and consumption</t>
        </is>
      </c>
      <c r="B63" s="590" t="inlineStr">
        <is>
          <t>Public appraisal rules</t>
        </is>
      </c>
      <c r="C63" s="590" t="inlineStr">
        <is>
          <t>Climate performance assessment and evaluation</t>
        </is>
      </c>
      <c r="D63" s="590" t="inlineStr">
        <is>
          <t>CPA</t>
        </is>
      </c>
      <c r="E63" s="590"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590" t="inlineStr">
        <is>
          <t>Cross-sectoral</t>
        </is>
      </c>
      <c r="G63" s="590" t="inlineStr">
        <is>
          <t>Indirect</t>
        </is>
      </c>
      <c r="H63" s="590" t="n">
        <v>1</v>
      </c>
    </row>
    <row r="64" ht="57" customHeight="1">
      <c r="A64" s="590" t="inlineStr">
        <is>
          <t>Government investment and consumption</t>
        </is>
      </c>
      <c r="B64" s="590" t="inlineStr">
        <is>
          <t>Public appraisal rules</t>
        </is>
      </c>
      <c r="C64" s="590" t="inlineStr">
        <is>
          <t>Environmental impact assessment</t>
        </is>
      </c>
      <c r="D64" s="590" t="inlineStr">
        <is>
          <t>EIA</t>
        </is>
      </c>
      <c r="E64" s="590"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590" t="inlineStr">
        <is>
          <t>Cross-sectoral</t>
        </is>
      </c>
      <c r="G64" s="590" t="inlineStr">
        <is>
          <t>Indirect</t>
        </is>
      </c>
      <c r="H64" s="590" t="n">
        <v>1</v>
      </c>
    </row>
    <row r="65" ht="71.25" customHeight="1">
      <c r="A65" s="590" t="inlineStr">
        <is>
          <t>Government investment and consumption</t>
        </is>
      </c>
      <c r="B65" s="590" t="inlineStr">
        <is>
          <t>Public appraisal rules</t>
        </is>
      </c>
      <c r="C65" s="590" t="inlineStr">
        <is>
          <t>Energy and carbon review for investment projects</t>
        </is>
      </c>
      <c r="D65" s="590" t="inlineStr">
        <is>
          <t>ECR</t>
        </is>
      </c>
      <c r="E65" s="590"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590" t="inlineStr">
        <is>
          <t>Cross-sectoral</t>
        </is>
      </c>
      <c r="G65" s="590" t="inlineStr">
        <is>
          <t>Direct</t>
        </is>
      </c>
      <c r="H65" s="590" t="n">
        <v>1</v>
      </c>
    </row>
    <row r="66" ht="85.5" customHeight="1">
      <c r="A66" s="590" t="inlineStr">
        <is>
          <t>Government investment and consumption</t>
        </is>
      </c>
      <c r="B66" s="590" t="inlineStr">
        <is>
          <t>Public appraisal rules</t>
        </is>
      </c>
      <c r="C66" s="590" t="inlineStr">
        <is>
          <t>Environmental compliance audit</t>
        </is>
      </c>
      <c r="D66" s="590" t="inlineStr">
        <is>
          <t>ECA</t>
        </is>
      </c>
      <c r="E66" s="590"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590" t="inlineStr">
        <is>
          <t>Industry</t>
        </is>
      </c>
      <c r="G66" s="590" t="inlineStr">
        <is>
          <t>Indirect</t>
        </is>
      </c>
      <c r="H66" s="590" t="n">
        <v>1</v>
      </c>
    </row>
    <row r="67" ht="28.5" customHeight="1">
      <c r="A67" s="590" t="inlineStr">
        <is>
          <t>Information</t>
        </is>
      </c>
      <c r="B67" s="590" t="inlineStr">
        <is>
          <t>Comparative energy efficiency label</t>
        </is>
      </c>
      <c r="C67" s="590" t="inlineStr">
        <is>
          <t>Energy labels for buildings</t>
        </is>
      </c>
      <c r="D67" s="590" t="inlineStr">
        <is>
          <t>ELB</t>
        </is>
      </c>
      <c r="E67" s="590" t="inlineStr">
        <is>
          <t>They mandate agents (excluding government units) to put a label about the environmental performance, characteristics, or attributes of buildings put in the market.</t>
        </is>
      </c>
      <c r="F67" s="590" t="inlineStr">
        <is>
          <t>Buildings</t>
        </is>
      </c>
      <c r="G67" s="590" t="inlineStr">
        <is>
          <t>Indirect</t>
        </is>
      </c>
      <c r="H67" s="590" t="n">
        <v>1</v>
      </c>
    </row>
    <row r="68" ht="28.5" customHeight="1">
      <c r="A68" s="590" t="inlineStr">
        <is>
          <t>Information</t>
        </is>
      </c>
      <c r="B68" s="590" t="inlineStr">
        <is>
          <t>Comparative energy efficiency label</t>
        </is>
      </c>
      <c r="C68" s="590" t="inlineStr">
        <is>
          <t>Energy labels for products and appliances</t>
        </is>
      </c>
      <c r="D68" s="590" t="inlineStr">
        <is>
          <t>ELP</t>
        </is>
      </c>
      <c r="E68" s="590" t="inlineStr">
        <is>
          <t>They mandate agents (excluding government units) to put a label about the environmental performance, characteristics, or attributes of products and appliances put in the market.</t>
        </is>
      </c>
      <c r="F68" s="590" t="inlineStr">
        <is>
          <t>Industry; Buildings; Energy</t>
        </is>
      </c>
      <c r="G68" s="590" t="inlineStr">
        <is>
          <t>Indirect</t>
        </is>
      </c>
      <c r="H68" s="590" t="n">
        <v>1</v>
      </c>
    </row>
    <row r="69" ht="28.5" customHeight="1">
      <c r="A69" s="590" t="inlineStr">
        <is>
          <t>Information</t>
        </is>
      </c>
      <c r="B69" s="590" t="inlineStr">
        <is>
          <t>Comparative energy efficiency label</t>
        </is>
      </c>
      <c r="C69" s="590" t="inlineStr">
        <is>
          <t>Energy labels for vehicles</t>
        </is>
      </c>
      <c r="D69" s="590" t="inlineStr">
        <is>
          <t>ELV</t>
        </is>
      </c>
      <c r="E69" s="590" t="inlineStr">
        <is>
          <t>They mandate agents (excluding government units) to put a label about the environmental performance, characteristics, or attributes of vehicles put in the market.</t>
        </is>
      </c>
      <c r="F69" s="590" t="inlineStr">
        <is>
          <t>Transport</t>
        </is>
      </c>
      <c r="G69" s="590" t="inlineStr">
        <is>
          <t>Indirect</t>
        </is>
      </c>
      <c r="H69" s="590" t="n">
        <v>1</v>
      </c>
    </row>
    <row r="70" ht="99.75" customHeight="1">
      <c r="A70" s="590" t="inlineStr">
        <is>
          <t>Information</t>
        </is>
      </c>
      <c r="B70" s="590" t="inlineStr">
        <is>
          <t>Reporting requirements</t>
        </is>
      </c>
      <c r="C70" s="590" t="inlineStr">
        <is>
          <t>Energy statistics and audit</t>
        </is>
      </c>
      <c r="D70" s="590" t="inlineStr">
        <is>
          <t>ESA</t>
        </is>
      </c>
      <c r="E70" s="590"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590" t="inlineStr">
        <is>
          <t>Buildings; Transport</t>
        </is>
      </c>
      <c r="G70" s="590" t="inlineStr">
        <is>
          <t>Indirect</t>
        </is>
      </c>
      <c r="H70" s="590" t="n">
        <v>1</v>
      </c>
    </row>
    <row r="71" ht="185.25" customHeight="1">
      <c r="A71" s="590" t="inlineStr">
        <is>
          <t>Information</t>
        </is>
      </c>
      <c r="B71" s="590" t="inlineStr">
        <is>
          <t>Reporting requirements</t>
        </is>
      </c>
      <c r="C71" s="590" t="inlineStr">
        <is>
          <t>Sustainability information disclosure</t>
        </is>
      </c>
      <c r="D71" s="590" t="inlineStr">
        <is>
          <t>SID</t>
        </is>
      </c>
      <c r="E71" s="590"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590" t="inlineStr">
        <is>
          <t>Cross-sectoral</t>
        </is>
      </c>
      <c r="G71" s="590" t="inlineStr">
        <is>
          <t>Indirect; Direct</t>
        </is>
      </c>
      <c r="H71" s="590" t="n">
        <v>2</v>
      </c>
    </row>
    <row r="72" ht="171" customHeight="1">
      <c r="A72" s="590" t="inlineStr">
        <is>
          <t>Information</t>
        </is>
      </c>
      <c r="B72" s="590" t="inlineStr">
        <is>
          <t>Reporting requirements</t>
        </is>
      </c>
      <c r="C72" s="590" t="inlineStr">
        <is>
          <t>Greenhouse gas emissions reporting</t>
        </is>
      </c>
      <c r="D72" s="590" t="inlineStr">
        <is>
          <t>GRV</t>
        </is>
      </c>
      <c r="E72" s="590"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590" t="inlineStr">
        <is>
          <t>Energy; Industry; Transport</t>
        </is>
      </c>
      <c r="G72" s="590" t="inlineStr">
        <is>
          <t>Direct</t>
        </is>
      </c>
      <c r="H72" s="590" t="n">
        <v>1</v>
      </c>
    </row>
    <row r="73" ht="128.25" customHeight="1">
      <c r="A73" s="590" t="inlineStr">
        <is>
          <t>Information</t>
        </is>
      </c>
      <c r="B73" s="590" t="inlineStr">
        <is>
          <t>Reporting requirements</t>
        </is>
      </c>
      <c r="C73" s="590" t="inlineStr">
        <is>
          <t>Green finance statistics</t>
        </is>
      </c>
      <c r="D73" s="590" t="inlineStr">
        <is>
          <t>GFS</t>
        </is>
      </c>
      <c r="E73" s="590"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590" t="inlineStr">
        <is>
          <t>Cross-sectoral</t>
        </is>
      </c>
      <c r="G73" s="590" t="inlineStr">
        <is>
          <t>Indirect</t>
        </is>
      </c>
      <c r="H73" s="590" t="n">
        <v>2</v>
      </c>
    </row>
    <row r="74" ht="114" customHeight="1">
      <c r="A74" s="590" t="inlineStr">
        <is>
          <t>Information</t>
        </is>
      </c>
      <c r="B74" s="590" t="inlineStr">
        <is>
          <t>Reporting requirements</t>
        </is>
      </c>
      <c r="C74" s="590" t="inlineStr">
        <is>
          <t>Green finance performance evaluation</t>
        </is>
      </c>
      <c r="D74" s="590" t="inlineStr">
        <is>
          <t>GFE</t>
        </is>
      </c>
      <c r="E74" s="590"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590" t="inlineStr">
        <is>
          <t>Cross-sectoral</t>
        </is>
      </c>
      <c r="G74" s="590" t="inlineStr">
        <is>
          <t>Direct</t>
        </is>
      </c>
      <c r="H74" s="590" t="n">
        <v>1</v>
      </c>
    </row>
    <row r="75" ht="156.75" customHeight="1">
      <c r="A75" s="590" t="inlineStr">
        <is>
          <t>Information</t>
        </is>
      </c>
      <c r="B75" s="590" t="inlineStr">
        <is>
          <t>Capacity building and public awareness</t>
        </is>
      </c>
      <c r="C75" s="590" t="inlineStr">
        <is>
          <t>Technology promotion catalogue</t>
        </is>
      </c>
      <c r="D75" s="590" t="inlineStr">
        <is>
          <t>TPC</t>
        </is>
      </c>
      <c r="E75" s="590"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590" t="inlineStr">
        <is>
          <t>Industry; Cross-sectoral; Waste</t>
        </is>
      </c>
      <c r="G75" s="590" t="inlineStr">
        <is>
          <t>Direct; Indirect</t>
        </is>
      </c>
      <c r="H75" s="590" t="n">
        <v>5</v>
      </c>
    </row>
    <row r="76" ht="128.25" customHeight="1">
      <c r="A76" s="590" t="inlineStr">
        <is>
          <t>Information</t>
        </is>
      </c>
      <c r="B76" s="590" t="inlineStr">
        <is>
          <t>Capacity building and public awareness</t>
        </is>
      </c>
      <c r="C76" s="590" t="inlineStr">
        <is>
          <t>Industry guidance catalogue</t>
        </is>
      </c>
      <c r="D76" s="590" t="inlineStr">
        <is>
          <t>IGC</t>
        </is>
      </c>
      <c r="E76" s="590"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590" t="inlineStr">
        <is>
          <t>Cross-sectoral</t>
        </is>
      </c>
      <c r="G76" s="590" t="inlineStr">
        <is>
          <t>Direct</t>
        </is>
      </c>
      <c r="H76" s="590" t="n">
        <v>1</v>
      </c>
    </row>
    <row r="77" ht="128.25" customHeight="1">
      <c r="A77" s="590" t="inlineStr">
        <is>
          <t>Information</t>
        </is>
      </c>
      <c r="B77" s="590" t="inlineStr">
        <is>
          <t>Capacity building and public awareness</t>
        </is>
      </c>
      <c r="C77" s="590" t="inlineStr">
        <is>
          <t>Technical guidance</t>
        </is>
      </c>
      <c r="D77" s="590" t="inlineStr">
        <is>
          <t>TGC</t>
        </is>
      </c>
      <c r="E77" s="590"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590" t="inlineStr">
        <is>
          <t>Industry; AFOLU</t>
        </is>
      </c>
      <c r="G77" s="590" t="inlineStr">
        <is>
          <t>Direct</t>
        </is>
      </c>
      <c r="H77" s="590" t="n">
        <v>5</v>
      </c>
    </row>
    <row r="78" ht="156.75" customHeight="1">
      <c r="A78" s="590" t="inlineStr">
        <is>
          <t>Information</t>
        </is>
      </c>
      <c r="B78" s="590" t="inlineStr">
        <is>
          <t>Capacity building and public awareness</t>
        </is>
      </c>
      <c r="C78" s="590" t="inlineStr">
        <is>
          <t>Capacity building programme</t>
        </is>
      </c>
      <c r="D78" s="590" t="inlineStr">
        <is>
          <t>CBP</t>
        </is>
      </c>
      <c r="E78" s="590"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590" t="inlineStr">
        <is>
          <t>Industry</t>
        </is>
      </c>
      <c r="G78" s="590" t="inlineStr">
        <is>
          <t>Direct</t>
        </is>
      </c>
      <c r="H78" s="590" t="n">
        <v>1</v>
      </c>
    </row>
    <row r="79" ht="142.5" customHeight="1">
      <c r="A79" s="590" t="inlineStr">
        <is>
          <t>Information</t>
        </is>
      </c>
      <c r="B79" s="590" t="inlineStr">
        <is>
          <t>Capacity building and public awareness</t>
        </is>
      </c>
      <c r="C79" s="590" t="inlineStr">
        <is>
          <t>Public awareness campaign</t>
        </is>
      </c>
      <c r="D79" s="590" t="inlineStr">
        <is>
          <t>PAC</t>
        </is>
      </c>
      <c r="E79" s="590"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590" t="inlineStr">
        <is>
          <t>Waste; Cross-sectoral; Transport</t>
        </is>
      </c>
      <c r="G79" s="590" t="inlineStr">
        <is>
          <t>Direct</t>
        </is>
      </c>
      <c r="H79" s="590" t="n">
        <v>4</v>
      </c>
    </row>
    <row r="80" ht="128.25" customHeight="1">
      <c r="A80" s="590" t="inlineStr">
        <is>
          <t>Information</t>
        </is>
      </c>
      <c r="B80" s="590" t="inlineStr">
        <is>
          <t>Capacity building and public awareness</t>
        </is>
      </c>
      <c r="C80" s="590" t="inlineStr">
        <is>
          <t>Citizen code of conduct</t>
        </is>
      </c>
      <c r="D80" s="590" t="inlineStr">
        <is>
          <t>COC</t>
        </is>
      </c>
      <c r="E80" s="590"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590" t="inlineStr">
        <is>
          <t>Cross-sectoral</t>
        </is>
      </c>
      <c r="G80" s="590" t="inlineStr">
        <is>
          <t>Direct</t>
        </is>
      </c>
      <c r="H80" s="590" t="n">
        <v>1</v>
      </c>
    </row>
    <row r="81" ht="99.75" customHeight="1">
      <c r="A81" s="590" t="inlineStr">
        <is>
          <t>Information</t>
        </is>
      </c>
      <c r="B81" s="590" t="inlineStr">
        <is>
          <t>Capacity building and public awareness</t>
        </is>
      </c>
      <c r="C81" s="590" t="inlineStr">
        <is>
          <t>Professional certification</t>
        </is>
      </c>
      <c r="D81" s="590" t="inlineStr">
        <is>
          <t>PCE</t>
        </is>
      </c>
      <c r="E81" s="590"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590" t="inlineStr">
        <is>
          <t>Cross-sectoral</t>
        </is>
      </c>
      <c r="G81" s="590" t="inlineStr">
        <is>
          <t>Direct</t>
        </is>
      </c>
      <c r="H81" s="590" t="n">
        <v>1</v>
      </c>
    </row>
    <row r="82" ht="128.25" customHeight="1">
      <c r="A82" s="590" t="inlineStr">
        <is>
          <t>Information</t>
        </is>
      </c>
      <c r="B82" s="590" t="inlineStr">
        <is>
          <t>Capacity building and public awareness</t>
        </is>
      </c>
      <c r="C82" s="590" t="inlineStr">
        <is>
          <t>Education system integration</t>
        </is>
      </c>
      <c r="D82" s="590" t="inlineStr">
        <is>
          <t>ESI</t>
        </is>
      </c>
      <c r="E82" s="590"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590" t="inlineStr">
        <is>
          <t>Cross-sectoral</t>
        </is>
      </c>
      <c r="G82" s="590" t="inlineStr">
        <is>
          <t>Direct</t>
        </is>
      </c>
      <c r="H82" s="590" t="n">
        <v>1</v>
      </c>
    </row>
    <row r="83" ht="128.25" customHeight="1">
      <c r="A83" s="590" t="inlineStr">
        <is>
          <t>Information</t>
        </is>
      </c>
      <c r="B83" s="590" t="inlineStr">
        <is>
          <t>Capacity building and public awareness</t>
        </is>
      </c>
      <c r="C83" s="590" t="inlineStr">
        <is>
          <t>Green standard system</t>
        </is>
      </c>
      <c r="D83" s="590" t="inlineStr">
        <is>
          <t>GSS</t>
        </is>
      </c>
      <c r="E83" s="590"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590" t="inlineStr">
        <is>
          <t>Industry</t>
        </is>
      </c>
      <c r="G83" s="590" t="inlineStr">
        <is>
          <t>Indirect</t>
        </is>
      </c>
      <c r="H83" s="590" t="n">
        <v>1</v>
      </c>
    </row>
    <row r="84" ht="142.5" customHeight="1">
      <c r="A84" s="590" t="inlineStr">
        <is>
          <t>Voluntary</t>
        </is>
      </c>
      <c r="B84" s="590" t="inlineStr">
        <is>
          <t>Voluntary trading system</t>
        </is>
      </c>
      <c r="C84" s="590" t="inlineStr">
        <is>
          <t>Voluntary carbon market</t>
        </is>
      </c>
      <c r="D84" s="590" t="inlineStr">
        <is>
          <t>VCM</t>
        </is>
      </c>
      <c r="E84" s="590"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590" t="inlineStr">
        <is>
          <t>AFOLU; Energy; Transport; Industry; Buildings</t>
        </is>
      </c>
      <c r="G84" s="590" t="inlineStr">
        <is>
          <t>Direct</t>
        </is>
      </c>
      <c r="H84" s="590" t="n">
        <v>19</v>
      </c>
    </row>
    <row r="85" ht="142.5" customHeight="1">
      <c r="A85" s="590" t="inlineStr">
        <is>
          <t>Voluntary</t>
        </is>
      </c>
      <c r="B85" s="590" t="inlineStr">
        <is>
          <t>Voluntary information instrument</t>
        </is>
      </c>
      <c r="C85" s="590" t="inlineStr">
        <is>
          <t>Sustainable finance taxonomy</t>
        </is>
      </c>
      <c r="D85" s="590" t="inlineStr">
        <is>
          <t>SFT</t>
        </is>
      </c>
      <c r="E85" s="590"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590" t="inlineStr">
        <is>
          <t>Cross-sectoral</t>
        </is>
      </c>
      <c r="G85" s="590" t="inlineStr">
        <is>
          <t>Indirect</t>
        </is>
      </c>
      <c r="H85" s="590" t="n">
        <v>1</v>
      </c>
    </row>
    <row r="86" ht="114" customHeight="1">
      <c r="A86" s="590" t="inlineStr">
        <is>
          <t>Voluntary</t>
        </is>
      </c>
      <c r="B86" s="590" t="inlineStr">
        <is>
          <t>Voluntary information instrument</t>
        </is>
      </c>
      <c r="C86" s="590" t="inlineStr">
        <is>
          <t>Voluntary carbon neutrality methodology</t>
        </is>
      </c>
      <c r="D86" s="590" t="inlineStr">
        <is>
          <t>VCN</t>
        </is>
      </c>
      <c r="E86" s="590"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590" t="inlineStr">
        <is>
          <t>Cross-sectoral</t>
        </is>
      </c>
      <c r="G86" s="590" t="inlineStr">
        <is>
          <t>Direct</t>
        </is>
      </c>
      <c r="H86" s="590" t="n">
        <v>1</v>
      </c>
    </row>
    <row r="87" ht="156.75" customHeight="1">
      <c r="A87" s="590" t="inlineStr">
        <is>
          <t>Voluntary</t>
        </is>
      </c>
      <c r="B87" s="590" t="inlineStr">
        <is>
          <t>Voluntary information instrument</t>
        </is>
      </c>
      <c r="C87" s="590" t="inlineStr">
        <is>
          <t>Voluntary procurement guidance</t>
        </is>
      </c>
      <c r="D87" s="590" t="inlineStr">
        <is>
          <t>VPG</t>
        </is>
      </c>
      <c r="E87" s="590"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590" t="inlineStr">
        <is>
          <t>Cross-sectoral</t>
        </is>
      </c>
      <c r="G87" s="590" t="inlineStr">
        <is>
          <t>Direct</t>
        </is>
      </c>
      <c r="H87" s="590" t="n">
        <v>1</v>
      </c>
    </row>
    <row r="88" ht="114" customHeight="1">
      <c r="A88" s="590" t="inlineStr">
        <is>
          <t>Voluntary</t>
        </is>
      </c>
      <c r="B88" s="590" t="inlineStr">
        <is>
          <t>Voluntary information instrument</t>
        </is>
      </c>
      <c r="C88" s="590" t="inlineStr">
        <is>
          <t>Voluntary certification and labelling scheme</t>
        </is>
      </c>
      <c r="D88" s="590" t="inlineStr">
        <is>
          <t>VLB</t>
        </is>
      </c>
      <c r="E88" s="590"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590" t="inlineStr">
        <is>
          <t>Cross-sectoral; Buildings; Industry</t>
        </is>
      </c>
      <c r="G88" s="590" t="inlineStr">
        <is>
          <t>Direct; Indirect</t>
        </is>
      </c>
      <c r="H88" s="590" t="n">
        <v>15</v>
      </c>
    </row>
    <row r="89" ht="128.25" customHeight="1">
      <c r="A89" s="590" t="inlineStr">
        <is>
          <t>Voluntary</t>
        </is>
      </c>
      <c r="B89" s="590" t="inlineStr">
        <is>
          <t>Voluntary information instrument</t>
        </is>
      </c>
      <c r="C89" s="590" t="inlineStr">
        <is>
          <t>Voluntary information disclosure</t>
        </is>
      </c>
      <c r="D89" s="590" t="inlineStr">
        <is>
          <t>VID</t>
        </is>
      </c>
      <c r="E89" s="590"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590" t="inlineStr">
        <is>
          <t>Cross-sectoral</t>
        </is>
      </c>
      <c r="G89" s="590" t="inlineStr">
        <is>
          <t>Indirect</t>
        </is>
      </c>
      <c r="H89" s="590" t="n">
        <v>2</v>
      </c>
    </row>
    <row r="90" ht="114" customHeight="1">
      <c r="A90" s="590" t="inlineStr">
        <is>
          <t>Voluntary</t>
        </is>
      </c>
      <c r="B90" s="590" t="inlineStr">
        <is>
          <t>Voluntary target</t>
        </is>
      </c>
      <c r="C90" s="590" t="inlineStr">
        <is>
          <t>Voluntary target</t>
        </is>
      </c>
      <c r="D90" s="590" t="inlineStr">
        <is>
          <t>VTG</t>
        </is>
      </c>
      <c r="E90" s="590"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590" t="inlineStr">
        <is>
          <t>Industry; Energy</t>
        </is>
      </c>
      <c r="G90" s="590" t="inlineStr">
        <is>
          <t>Indirect; Direct</t>
        </is>
      </c>
      <c r="H90" s="590"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2"/>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69" t="n"/>
    </row>
    <row r="2" ht="42.75" customHeight="1">
      <c r="A2" s="590">
        <f>'Economic instruments'!A3</f>
        <v/>
      </c>
      <c r="B2" s="590">
        <f>'Economic instruments'!D3</f>
        <v/>
      </c>
      <c r="C2" s="590">
        <f>'Economic instruments'!H3</f>
        <v/>
      </c>
      <c r="D2" s="590">
        <f>'Economic instruments'!G3</f>
        <v/>
      </c>
      <c r="E2" s="590">
        <f>'Economic instruments'!U3</f>
        <v/>
      </c>
      <c r="F2" s="590">
        <f>'Economic instruments'!Q3</f>
        <v/>
      </c>
      <c r="G2" s="590">
        <f>'Economic instruments'!R3</f>
        <v/>
      </c>
      <c r="H2" s="590">
        <f>'Economic instruments'!L3</f>
        <v/>
      </c>
      <c r="I2" s="590" t="inlineStr">
        <is>
          <t>Economic instruments</t>
        </is>
      </c>
      <c r="J2" s="590">
        <f>'Economic instruments'!C3</f>
        <v/>
      </c>
      <c r="K2" s="590">
        <f>'Economic instruments'!E3</f>
        <v/>
      </c>
      <c r="L2" s="590">
        <f>'Economic instruments'!F3</f>
        <v/>
      </c>
      <c r="M2" s="464" t="n"/>
    </row>
    <row r="3" ht="42.75" customHeight="1">
      <c r="A3" s="590">
        <f>'Economic instruments'!A8</f>
        <v/>
      </c>
      <c r="B3" s="590">
        <f>'Economic instruments'!D8</f>
        <v/>
      </c>
      <c r="C3" s="590">
        <f>'Economic instruments'!H8</f>
        <v/>
      </c>
      <c r="D3" s="590">
        <f>'Economic instruments'!G8</f>
        <v/>
      </c>
      <c r="E3" s="590">
        <f>'Economic instruments'!U8</f>
        <v/>
      </c>
      <c r="F3" s="590">
        <f>'Economic instruments'!Q8</f>
        <v/>
      </c>
      <c r="G3" s="590">
        <f>'Economic instruments'!R8</f>
        <v/>
      </c>
      <c r="H3" s="590">
        <f>'Economic instruments'!L8</f>
        <v/>
      </c>
      <c r="I3" s="590" t="inlineStr">
        <is>
          <t>Economic instruments</t>
        </is>
      </c>
      <c r="J3" s="590">
        <f>'Economic instruments'!C8</f>
        <v/>
      </c>
      <c r="K3" s="590">
        <f>'Economic instruments'!E8</f>
        <v/>
      </c>
      <c r="L3" s="590">
        <f>'Economic instruments'!F8</f>
        <v/>
      </c>
      <c r="M3" s="464" t="n"/>
    </row>
    <row r="4" ht="42.75" customHeight="1">
      <c r="A4" s="590">
        <f>'Economic instruments'!A9</f>
        <v/>
      </c>
      <c r="B4" s="590">
        <f>'Economic instruments'!D9</f>
        <v/>
      </c>
      <c r="C4" s="590">
        <f>'Economic instruments'!H9</f>
        <v/>
      </c>
      <c r="D4" s="590">
        <f>'Economic instruments'!G9</f>
        <v/>
      </c>
      <c r="E4" s="590">
        <f>'Economic instruments'!U9</f>
        <v/>
      </c>
      <c r="F4" s="590">
        <f>'Economic instruments'!Q9</f>
        <v/>
      </c>
      <c r="G4" s="590">
        <f>'Economic instruments'!R9</f>
        <v/>
      </c>
      <c r="H4" s="590">
        <f>'Economic instruments'!L9</f>
        <v/>
      </c>
      <c r="I4" s="590" t="inlineStr">
        <is>
          <t>Economic instruments</t>
        </is>
      </c>
      <c r="J4" s="590">
        <f>'Economic instruments'!C9</f>
        <v/>
      </c>
      <c r="K4" s="590">
        <f>'Economic instruments'!E9</f>
        <v/>
      </c>
      <c r="L4" s="590">
        <f>'Economic instruments'!F9</f>
        <v/>
      </c>
      <c r="M4" s="464" t="n"/>
    </row>
    <row r="5" ht="42.75" customHeight="1">
      <c r="A5" s="590">
        <f>'Economic instruments'!A10</f>
        <v/>
      </c>
      <c r="B5" s="590">
        <f>'Economic instruments'!D10</f>
        <v/>
      </c>
      <c r="C5" s="590">
        <f>'Economic instruments'!H10</f>
        <v/>
      </c>
      <c r="D5" s="590">
        <f>'Economic instruments'!G10</f>
        <v/>
      </c>
      <c r="E5" s="590">
        <f>'Economic instruments'!U10</f>
        <v/>
      </c>
      <c r="F5" s="590">
        <f>'Economic instruments'!Q10</f>
        <v/>
      </c>
      <c r="G5" s="590">
        <f>'Economic instruments'!R10</f>
        <v/>
      </c>
      <c r="H5" s="590">
        <f>'Economic instruments'!L10</f>
        <v/>
      </c>
      <c r="I5" s="590" t="inlineStr">
        <is>
          <t>Economic instruments</t>
        </is>
      </c>
      <c r="J5" s="590">
        <f>'Economic instruments'!C10</f>
        <v/>
      </c>
      <c r="K5" s="590">
        <f>'Economic instruments'!E10</f>
        <v/>
      </c>
      <c r="L5" s="590">
        <f>'Economic instruments'!F10</f>
        <v/>
      </c>
      <c r="M5" s="464" t="n"/>
    </row>
    <row r="6" ht="42.75" customHeight="1">
      <c r="A6" s="590">
        <f>'Economic instruments'!A11</f>
        <v/>
      </c>
      <c r="B6" s="590">
        <f>'Economic instruments'!D11</f>
        <v/>
      </c>
      <c r="C6" s="590">
        <f>'Economic instruments'!H11</f>
        <v/>
      </c>
      <c r="D6" s="590">
        <f>'Economic instruments'!G11</f>
        <v/>
      </c>
      <c r="E6" s="590">
        <f>'Economic instruments'!U11</f>
        <v/>
      </c>
      <c r="F6" s="590">
        <f>'Economic instruments'!Q11</f>
        <v/>
      </c>
      <c r="G6" s="590">
        <f>'Economic instruments'!R11</f>
        <v/>
      </c>
      <c r="H6" s="590">
        <f>'Economic instruments'!L11</f>
        <v/>
      </c>
      <c r="I6" s="590" t="inlineStr">
        <is>
          <t>Economic instruments</t>
        </is>
      </c>
      <c r="J6" s="590">
        <f>'Economic instruments'!C11</f>
        <v/>
      </c>
      <c r="K6" s="590">
        <f>'Economic instruments'!E11</f>
        <v/>
      </c>
      <c r="L6" s="590">
        <f>'Economic instruments'!F11</f>
        <v/>
      </c>
      <c r="M6" s="464" t="n"/>
    </row>
    <row r="7" ht="42.75" customHeight="1">
      <c r="A7" s="590">
        <f>'Economic instruments'!A14</f>
        <v/>
      </c>
      <c r="B7" s="590">
        <f>'Economic instruments'!D14</f>
        <v/>
      </c>
      <c r="C7" s="590">
        <f>'Economic instruments'!H14</f>
        <v/>
      </c>
      <c r="D7" s="590">
        <f>'Economic instruments'!G14</f>
        <v/>
      </c>
      <c r="E7" s="590">
        <f>'Economic instruments'!U14</f>
        <v/>
      </c>
      <c r="F7" s="590">
        <f>'Economic instruments'!Q14</f>
        <v/>
      </c>
      <c r="G7" s="590">
        <f>'Economic instruments'!R14</f>
        <v/>
      </c>
      <c r="H7" s="590">
        <f>'Economic instruments'!L14</f>
        <v/>
      </c>
      <c r="I7" s="590" t="inlineStr">
        <is>
          <t>Economic instruments</t>
        </is>
      </c>
      <c r="J7" s="590">
        <f>'Economic instruments'!C14</f>
        <v/>
      </c>
      <c r="K7" s="590">
        <f>'Economic instruments'!E14</f>
        <v/>
      </c>
      <c r="L7" s="590">
        <f>'Economic instruments'!F14</f>
        <v/>
      </c>
      <c r="M7" s="464" t="n"/>
    </row>
    <row r="8" ht="42.75" customHeight="1">
      <c r="A8" s="590">
        <f>'Economic instruments'!A15</f>
        <v/>
      </c>
      <c r="B8" s="590">
        <f>'Economic instruments'!D15</f>
        <v/>
      </c>
      <c r="C8" s="590">
        <f>'Economic instruments'!H15</f>
        <v/>
      </c>
      <c r="D8" s="590">
        <f>'Economic instruments'!G15</f>
        <v/>
      </c>
      <c r="E8" s="590">
        <f>'Economic instruments'!U15</f>
        <v/>
      </c>
      <c r="F8" s="590">
        <f>'Economic instruments'!Q15</f>
        <v/>
      </c>
      <c r="G8" s="590">
        <f>'Economic instruments'!R15</f>
        <v/>
      </c>
      <c r="H8" s="590">
        <f>'Economic instruments'!L15</f>
        <v/>
      </c>
      <c r="I8" s="590" t="inlineStr">
        <is>
          <t>Economic instruments</t>
        </is>
      </c>
      <c r="J8" s="590">
        <f>'Economic instruments'!C15</f>
        <v/>
      </c>
      <c r="K8" s="590">
        <f>'Economic instruments'!E15</f>
        <v/>
      </c>
      <c r="L8" s="590">
        <f>'Economic instruments'!F15</f>
        <v/>
      </c>
      <c r="M8" s="464" t="n"/>
    </row>
    <row r="9" ht="42.75" customHeight="1">
      <c r="A9" s="590">
        <f>'Economic instruments'!A16</f>
        <v/>
      </c>
      <c r="B9" s="590">
        <f>'Economic instruments'!D16</f>
        <v/>
      </c>
      <c r="C9" s="590">
        <f>'Economic instruments'!H16</f>
        <v/>
      </c>
      <c r="D9" s="590">
        <f>'Economic instruments'!G16</f>
        <v/>
      </c>
      <c r="E9" s="590">
        <f>'Economic instruments'!U16</f>
        <v/>
      </c>
      <c r="F9" s="590">
        <f>'Economic instruments'!Q16</f>
        <v/>
      </c>
      <c r="G9" s="590">
        <f>'Economic instruments'!R16</f>
        <v/>
      </c>
      <c r="H9" s="590">
        <f>'Economic instruments'!L16</f>
        <v/>
      </c>
      <c r="I9" s="590" t="inlineStr">
        <is>
          <t>Economic instruments</t>
        </is>
      </c>
      <c r="J9" s="590">
        <f>'Economic instruments'!C16</f>
        <v/>
      </c>
      <c r="K9" s="590">
        <f>'Economic instruments'!E16</f>
        <v/>
      </c>
      <c r="L9" s="590">
        <f>'Economic instruments'!F16</f>
        <v/>
      </c>
      <c r="M9" s="464" t="n"/>
    </row>
    <row r="10" ht="42.75" customHeight="1">
      <c r="A10" s="590">
        <f>'Economic instruments'!A17</f>
        <v/>
      </c>
      <c r="B10" s="590">
        <f>'Economic instruments'!D17</f>
        <v/>
      </c>
      <c r="C10" s="590">
        <f>'Economic instruments'!H17</f>
        <v/>
      </c>
      <c r="D10" s="590">
        <f>'Economic instruments'!G17</f>
        <v/>
      </c>
      <c r="E10" s="590">
        <f>'Economic instruments'!U17</f>
        <v/>
      </c>
      <c r="F10" s="590">
        <f>'Economic instruments'!Q17</f>
        <v/>
      </c>
      <c r="G10" s="590">
        <f>'Economic instruments'!R17</f>
        <v/>
      </c>
      <c r="H10" s="590">
        <f>'Economic instruments'!L17</f>
        <v/>
      </c>
      <c r="I10" s="590" t="inlineStr">
        <is>
          <t>Economic instruments</t>
        </is>
      </c>
      <c r="J10" s="590">
        <f>'Economic instruments'!C17</f>
        <v/>
      </c>
      <c r="K10" s="590">
        <f>'Economic instruments'!E17</f>
        <v/>
      </c>
      <c r="L10" s="590">
        <f>'Economic instruments'!F17</f>
        <v/>
      </c>
      <c r="M10" s="464" t="n"/>
    </row>
    <row r="11" ht="42.75" customHeight="1">
      <c r="A11" s="590">
        <f>'Economic instruments'!A18</f>
        <v/>
      </c>
      <c r="B11" s="590">
        <f>'Economic instruments'!D18</f>
        <v/>
      </c>
      <c r="C11" s="590">
        <f>'Economic instruments'!H18</f>
        <v/>
      </c>
      <c r="D11" s="590">
        <f>'Economic instruments'!G18</f>
        <v/>
      </c>
      <c r="E11" s="590">
        <f>'Economic instruments'!U18</f>
        <v/>
      </c>
      <c r="F11" s="590">
        <f>'Economic instruments'!Q18</f>
        <v/>
      </c>
      <c r="G11" s="590">
        <f>'Economic instruments'!R18</f>
        <v/>
      </c>
      <c r="H11" s="590">
        <f>'Economic instruments'!L18</f>
        <v/>
      </c>
      <c r="I11" s="590" t="inlineStr">
        <is>
          <t>Economic instruments</t>
        </is>
      </c>
      <c r="J11" s="590">
        <f>'Economic instruments'!C18</f>
        <v/>
      </c>
      <c r="K11" s="590">
        <f>'Economic instruments'!E18</f>
        <v/>
      </c>
      <c r="L11" s="590">
        <f>'Economic instruments'!F18</f>
        <v/>
      </c>
      <c r="M11" s="464" t="n"/>
    </row>
    <row r="12" ht="42.75" customHeight="1">
      <c r="A12" s="590">
        <f>'Economic instruments'!A19</f>
        <v/>
      </c>
      <c r="B12" s="590">
        <f>'Economic instruments'!D19</f>
        <v/>
      </c>
      <c r="C12" s="590">
        <f>'Economic instruments'!H19</f>
        <v/>
      </c>
      <c r="D12" s="590">
        <f>'Economic instruments'!G19</f>
        <v/>
      </c>
      <c r="E12" s="590">
        <f>'Economic instruments'!U19</f>
        <v/>
      </c>
      <c r="F12" s="590">
        <f>'Economic instruments'!Q19</f>
        <v/>
      </c>
      <c r="G12" s="590">
        <f>'Economic instruments'!R19</f>
        <v/>
      </c>
      <c r="H12" s="590">
        <f>'Economic instruments'!L19</f>
        <v/>
      </c>
      <c r="I12" s="590" t="inlineStr">
        <is>
          <t>Economic instruments</t>
        </is>
      </c>
      <c r="J12" s="590">
        <f>'Economic instruments'!C19</f>
        <v/>
      </c>
      <c r="K12" s="590">
        <f>'Economic instruments'!E19</f>
        <v/>
      </c>
      <c r="L12" s="590">
        <f>'Economic instruments'!F19</f>
        <v/>
      </c>
      <c r="M12" s="464" t="n"/>
    </row>
    <row r="13" ht="42.75" customHeight="1">
      <c r="A13" s="590">
        <f>'Economic instruments'!A20</f>
        <v/>
      </c>
      <c r="B13" s="590">
        <f>'Economic instruments'!D20</f>
        <v/>
      </c>
      <c r="C13" s="590">
        <f>'Economic instruments'!H20</f>
        <v/>
      </c>
      <c r="D13" s="590">
        <f>'Economic instruments'!G20</f>
        <v/>
      </c>
      <c r="E13" s="590">
        <f>'Economic instruments'!U20</f>
        <v/>
      </c>
      <c r="F13" s="590">
        <f>'Economic instruments'!Q20</f>
        <v/>
      </c>
      <c r="G13" s="590">
        <f>'Economic instruments'!R20</f>
        <v/>
      </c>
      <c r="H13" s="590">
        <f>'Economic instruments'!L20</f>
        <v/>
      </c>
      <c r="I13" s="590" t="inlineStr">
        <is>
          <t>Economic instruments</t>
        </is>
      </c>
      <c r="J13" s="590">
        <f>'Economic instruments'!C20</f>
        <v/>
      </c>
      <c r="K13" s="590">
        <f>'Economic instruments'!E20</f>
        <v/>
      </c>
      <c r="L13" s="590">
        <f>'Economic instruments'!F20</f>
        <v/>
      </c>
      <c r="M13" s="464" t="n"/>
    </row>
    <row r="14" ht="42.75" customHeight="1">
      <c r="A14" s="590">
        <f>'Economic instruments'!A21</f>
        <v/>
      </c>
      <c r="B14" s="590">
        <f>'Economic instruments'!D21</f>
        <v/>
      </c>
      <c r="C14" s="590">
        <f>'Economic instruments'!H21</f>
        <v/>
      </c>
      <c r="D14" s="590">
        <f>'Economic instruments'!G21</f>
        <v/>
      </c>
      <c r="E14" s="590">
        <f>'Economic instruments'!U21</f>
        <v/>
      </c>
      <c r="F14" s="590">
        <f>'Economic instruments'!Q21</f>
        <v/>
      </c>
      <c r="G14" s="590">
        <f>'Economic instruments'!R21</f>
        <v/>
      </c>
      <c r="H14" s="590">
        <f>'Economic instruments'!L21</f>
        <v/>
      </c>
      <c r="I14" s="590" t="inlineStr">
        <is>
          <t>Economic instruments</t>
        </is>
      </c>
      <c r="J14" s="590">
        <f>'Economic instruments'!C21</f>
        <v/>
      </c>
      <c r="K14" s="590">
        <f>'Economic instruments'!E21</f>
        <v/>
      </c>
      <c r="L14" s="590">
        <f>'Economic instruments'!F21</f>
        <v/>
      </c>
      <c r="M14" s="464" t="n"/>
    </row>
    <row r="15" ht="42.75" customHeight="1">
      <c r="A15" s="590">
        <f>'Economic instruments'!A22</f>
        <v/>
      </c>
      <c r="B15" s="590">
        <f>'Economic instruments'!D22</f>
        <v/>
      </c>
      <c r="C15" s="590">
        <f>'Economic instruments'!H22</f>
        <v/>
      </c>
      <c r="D15" s="590">
        <f>'Economic instruments'!G22</f>
        <v/>
      </c>
      <c r="E15" s="590">
        <f>'Economic instruments'!U22</f>
        <v/>
      </c>
      <c r="F15" s="590">
        <f>'Economic instruments'!Q22</f>
        <v/>
      </c>
      <c r="G15" s="590">
        <f>'Economic instruments'!R22</f>
        <v/>
      </c>
      <c r="H15" s="590">
        <f>'Economic instruments'!L22</f>
        <v/>
      </c>
      <c r="I15" s="590" t="inlineStr">
        <is>
          <t>Economic instruments</t>
        </is>
      </c>
      <c r="J15" s="590">
        <f>'Economic instruments'!C22</f>
        <v/>
      </c>
      <c r="K15" s="590">
        <f>'Economic instruments'!E22</f>
        <v/>
      </c>
      <c r="L15" s="590">
        <f>'Economic instruments'!F22</f>
        <v/>
      </c>
      <c r="M15" s="464" t="n"/>
    </row>
    <row r="16" ht="42.75" customHeight="1">
      <c r="A16" s="590">
        <f>'Economic instruments'!A23</f>
        <v/>
      </c>
      <c r="B16" s="590">
        <f>'Economic instruments'!D23</f>
        <v/>
      </c>
      <c r="C16" s="590">
        <f>'Economic instruments'!H23</f>
        <v/>
      </c>
      <c r="D16" s="590">
        <f>'Economic instruments'!G23</f>
        <v/>
      </c>
      <c r="E16" s="590">
        <f>'Economic instruments'!U23</f>
        <v/>
      </c>
      <c r="F16" s="590">
        <f>'Economic instruments'!Q23</f>
        <v/>
      </c>
      <c r="G16" s="590">
        <f>'Economic instruments'!R23</f>
        <v/>
      </c>
      <c r="H16" s="590">
        <f>'Economic instruments'!L23</f>
        <v/>
      </c>
      <c r="I16" s="590" t="inlineStr">
        <is>
          <t>Economic instruments</t>
        </is>
      </c>
      <c r="J16" s="590">
        <f>'Economic instruments'!C23</f>
        <v/>
      </c>
      <c r="K16" s="590">
        <f>'Economic instruments'!E23</f>
        <v/>
      </c>
      <c r="L16" s="590">
        <f>'Economic instruments'!F23</f>
        <v/>
      </c>
      <c r="M16" s="464" t="n"/>
    </row>
    <row r="17" ht="42.75" customHeight="1">
      <c r="A17" s="590">
        <f>'Economic instruments'!A24</f>
        <v/>
      </c>
      <c r="B17" s="590">
        <f>'Economic instruments'!D24</f>
        <v/>
      </c>
      <c r="C17" s="590">
        <f>'Economic instruments'!H24</f>
        <v/>
      </c>
      <c r="D17" s="590">
        <f>'Economic instruments'!G24</f>
        <v/>
      </c>
      <c r="E17" s="590">
        <f>'Economic instruments'!U24</f>
        <v/>
      </c>
      <c r="F17" s="590">
        <f>'Economic instruments'!Q24</f>
        <v/>
      </c>
      <c r="G17" s="590">
        <f>'Economic instruments'!R24</f>
        <v/>
      </c>
      <c r="H17" s="590">
        <f>'Economic instruments'!L24</f>
        <v/>
      </c>
      <c r="I17" s="590" t="inlineStr">
        <is>
          <t>Economic instruments</t>
        </is>
      </c>
      <c r="J17" s="590">
        <f>'Economic instruments'!C24</f>
        <v/>
      </c>
      <c r="K17" s="590">
        <f>'Economic instruments'!E24</f>
        <v/>
      </c>
      <c r="L17" s="590">
        <f>'Economic instruments'!F24</f>
        <v/>
      </c>
      <c r="M17" s="464" t="n"/>
    </row>
    <row r="18" ht="42.75" customHeight="1">
      <c r="A18" s="590">
        <f>'Economic instruments'!A25</f>
        <v/>
      </c>
      <c r="B18" s="590">
        <f>'Economic instruments'!D25</f>
        <v/>
      </c>
      <c r="C18" s="590">
        <f>'Economic instruments'!H25</f>
        <v/>
      </c>
      <c r="D18" s="590">
        <f>'Economic instruments'!G25</f>
        <v/>
      </c>
      <c r="E18" s="590">
        <f>'Economic instruments'!U25</f>
        <v/>
      </c>
      <c r="F18" s="590">
        <f>'Economic instruments'!Q25</f>
        <v/>
      </c>
      <c r="G18" s="590">
        <f>'Economic instruments'!R25</f>
        <v/>
      </c>
      <c r="H18" s="590">
        <f>'Economic instruments'!L25</f>
        <v/>
      </c>
      <c r="I18" s="590" t="inlineStr">
        <is>
          <t>Economic instruments</t>
        </is>
      </c>
      <c r="J18" s="590">
        <f>'Economic instruments'!C25</f>
        <v/>
      </c>
      <c r="K18" s="590">
        <f>'Economic instruments'!E25</f>
        <v/>
      </c>
      <c r="L18" s="590">
        <f>'Economic instruments'!F25</f>
        <v/>
      </c>
      <c r="M18" s="464" t="n"/>
    </row>
    <row r="19" ht="42.75" customHeight="1">
      <c r="A19" s="590">
        <f>'Economic instruments'!A26</f>
        <v/>
      </c>
      <c r="B19" s="590">
        <f>'Economic instruments'!D26</f>
        <v/>
      </c>
      <c r="C19" s="590">
        <f>'Economic instruments'!H26</f>
        <v/>
      </c>
      <c r="D19" s="590">
        <f>'Economic instruments'!G26</f>
        <v/>
      </c>
      <c r="E19" s="590">
        <f>'Economic instruments'!U26</f>
        <v/>
      </c>
      <c r="F19" s="590">
        <f>'Economic instruments'!Q26</f>
        <v/>
      </c>
      <c r="G19" s="590">
        <f>'Economic instruments'!R26</f>
        <v/>
      </c>
      <c r="H19" s="590">
        <f>'Economic instruments'!L26</f>
        <v/>
      </c>
      <c r="I19" s="590" t="inlineStr">
        <is>
          <t>Economic instruments</t>
        </is>
      </c>
      <c r="J19" s="590">
        <f>'Economic instruments'!C26</f>
        <v/>
      </c>
      <c r="K19" s="590">
        <f>'Economic instruments'!E26</f>
        <v/>
      </c>
      <c r="L19" s="590">
        <f>'Economic instruments'!F26</f>
        <v/>
      </c>
      <c r="M19" s="464" t="n"/>
    </row>
    <row r="20" ht="42.75" customHeight="1">
      <c r="A20" s="590">
        <f>'Economic instruments'!A27</f>
        <v/>
      </c>
      <c r="B20" s="590">
        <f>'Economic instruments'!D27</f>
        <v/>
      </c>
      <c r="C20" s="590">
        <f>'Economic instruments'!H27</f>
        <v/>
      </c>
      <c r="D20" s="590">
        <f>'Economic instruments'!G27</f>
        <v/>
      </c>
      <c r="E20" s="590">
        <f>'Economic instruments'!U27</f>
        <v/>
      </c>
      <c r="F20" s="590">
        <f>'Economic instruments'!Q27</f>
        <v/>
      </c>
      <c r="G20" s="590">
        <f>'Economic instruments'!R27</f>
        <v/>
      </c>
      <c r="H20" s="590">
        <f>'Economic instruments'!L27</f>
        <v/>
      </c>
      <c r="I20" s="590" t="inlineStr">
        <is>
          <t>Economic instruments</t>
        </is>
      </c>
      <c r="J20" s="590">
        <f>'Economic instruments'!C27</f>
        <v/>
      </c>
      <c r="K20" s="590">
        <f>'Economic instruments'!E27</f>
        <v/>
      </c>
      <c r="L20" s="590">
        <f>'Economic instruments'!F27</f>
        <v/>
      </c>
      <c r="M20" s="464" t="n"/>
    </row>
    <row r="21" ht="42.75" customHeight="1">
      <c r="A21" s="590">
        <f>'Economic instruments'!A28</f>
        <v/>
      </c>
      <c r="B21" s="590">
        <f>'Economic instruments'!D28</f>
        <v/>
      </c>
      <c r="C21" s="590">
        <f>'Economic instruments'!H28</f>
        <v/>
      </c>
      <c r="D21" s="590">
        <f>'Economic instruments'!G28</f>
        <v/>
      </c>
      <c r="E21" s="590">
        <f>'Economic instruments'!U28</f>
        <v/>
      </c>
      <c r="F21" s="590">
        <f>'Economic instruments'!Q28</f>
        <v/>
      </c>
      <c r="G21" s="590">
        <f>'Economic instruments'!R28</f>
        <v/>
      </c>
      <c r="H21" s="590">
        <f>'Economic instruments'!L28</f>
        <v/>
      </c>
      <c r="I21" s="590" t="inlineStr">
        <is>
          <t>Economic instruments</t>
        </is>
      </c>
      <c r="J21" s="590">
        <f>'Economic instruments'!C28</f>
        <v/>
      </c>
      <c r="K21" s="590">
        <f>'Economic instruments'!E28</f>
        <v/>
      </c>
      <c r="L21" s="590">
        <f>'Economic instruments'!F28</f>
        <v/>
      </c>
      <c r="M21" s="464" t="n"/>
    </row>
    <row r="22" ht="42.75" customHeight="1">
      <c r="A22" s="590">
        <f>'Economic instruments'!A29</f>
        <v/>
      </c>
      <c r="B22" s="590">
        <f>'Economic instruments'!D29</f>
        <v/>
      </c>
      <c r="C22" s="590">
        <f>'Economic instruments'!H29</f>
        <v/>
      </c>
      <c r="D22" s="590">
        <f>'Economic instruments'!G29</f>
        <v/>
      </c>
      <c r="E22" s="590">
        <f>'Economic instruments'!U29</f>
        <v/>
      </c>
      <c r="F22" s="590">
        <f>'Economic instruments'!Q29</f>
        <v/>
      </c>
      <c r="G22" s="590">
        <f>'Economic instruments'!R29</f>
        <v/>
      </c>
      <c r="H22" s="590">
        <f>'Economic instruments'!L29</f>
        <v/>
      </c>
      <c r="I22" s="590" t="inlineStr">
        <is>
          <t>Economic instruments</t>
        </is>
      </c>
      <c r="J22" s="590">
        <f>'Economic instruments'!C29</f>
        <v/>
      </c>
      <c r="K22" s="590">
        <f>'Economic instruments'!E29</f>
        <v/>
      </c>
      <c r="L22" s="590">
        <f>'Economic instruments'!F29</f>
        <v/>
      </c>
      <c r="M22" s="464" t="n"/>
    </row>
    <row r="23" ht="42.75" customHeight="1">
      <c r="A23" s="590">
        <f>'Economic instruments'!A30</f>
        <v/>
      </c>
      <c r="B23" s="590">
        <f>'Economic instruments'!D30</f>
        <v/>
      </c>
      <c r="C23" s="590">
        <f>'Economic instruments'!H30</f>
        <v/>
      </c>
      <c r="D23" s="590">
        <f>'Economic instruments'!G30</f>
        <v/>
      </c>
      <c r="E23" s="590">
        <f>'Economic instruments'!U30</f>
        <v/>
      </c>
      <c r="F23" s="590">
        <f>'Economic instruments'!Q30</f>
        <v/>
      </c>
      <c r="G23" s="590">
        <f>'Economic instruments'!R30</f>
        <v/>
      </c>
      <c r="H23" s="590">
        <f>'Economic instruments'!L30</f>
        <v/>
      </c>
      <c r="I23" s="590" t="inlineStr">
        <is>
          <t>Economic instruments</t>
        </is>
      </c>
      <c r="J23" s="590">
        <f>'Economic instruments'!C30</f>
        <v/>
      </c>
      <c r="K23" s="590">
        <f>'Economic instruments'!E30</f>
        <v/>
      </c>
      <c r="L23" s="590">
        <f>'Economic instruments'!F30</f>
        <v/>
      </c>
      <c r="M23" s="464" t="n"/>
    </row>
    <row r="24" ht="42.75" customHeight="1">
      <c r="A24" s="590">
        <f>'Economic instruments'!A31</f>
        <v/>
      </c>
      <c r="B24" s="590">
        <f>'Economic instruments'!D31</f>
        <v/>
      </c>
      <c r="C24" s="590">
        <f>'Economic instruments'!H31</f>
        <v/>
      </c>
      <c r="D24" s="590">
        <f>'Economic instruments'!G31</f>
        <v/>
      </c>
      <c r="E24" s="590">
        <f>'Economic instruments'!U31</f>
        <v/>
      </c>
      <c r="F24" s="590">
        <f>'Economic instruments'!Q31</f>
        <v/>
      </c>
      <c r="G24" s="590">
        <f>'Economic instruments'!R31</f>
        <v/>
      </c>
      <c r="H24" s="590">
        <f>'Economic instruments'!L31</f>
        <v/>
      </c>
      <c r="I24" s="590" t="inlineStr">
        <is>
          <t>Economic instruments</t>
        </is>
      </c>
      <c r="J24" s="590">
        <f>'Economic instruments'!C31</f>
        <v/>
      </c>
      <c r="K24" s="590">
        <f>'Economic instruments'!E31</f>
        <v/>
      </c>
      <c r="L24" s="590">
        <f>'Economic instruments'!F31</f>
        <v/>
      </c>
      <c r="M24" s="464" t="n"/>
    </row>
    <row r="25" ht="42.75" customHeight="1">
      <c r="A25" s="590">
        <f>'Economic instruments'!A34</f>
        <v/>
      </c>
      <c r="B25" s="590">
        <f>'Economic instruments'!D34</f>
        <v/>
      </c>
      <c r="C25" s="590">
        <f>'Economic instruments'!H34</f>
        <v/>
      </c>
      <c r="D25" s="590">
        <f>'Economic instruments'!G34</f>
        <v/>
      </c>
      <c r="E25" s="590">
        <f>'Economic instruments'!U34</f>
        <v/>
      </c>
      <c r="F25" s="590">
        <f>'Economic instruments'!Q34</f>
        <v/>
      </c>
      <c r="G25" s="590">
        <f>'Economic instruments'!R34</f>
        <v/>
      </c>
      <c r="H25" s="590">
        <f>'Economic instruments'!L34</f>
        <v/>
      </c>
      <c r="I25" s="590" t="inlineStr">
        <is>
          <t>Economic instruments</t>
        </is>
      </c>
      <c r="J25" s="590">
        <f>'Economic instruments'!C34</f>
        <v/>
      </c>
      <c r="K25" s="590">
        <f>'Economic instruments'!E34</f>
        <v/>
      </c>
      <c r="L25" s="590">
        <f>'Economic instruments'!F34</f>
        <v/>
      </c>
      <c r="M25" s="464" t="n"/>
    </row>
    <row r="26" ht="42.75" customHeight="1">
      <c r="A26" s="590">
        <f>'Economic instruments'!A35</f>
        <v/>
      </c>
      <c r="B26" s="590">
        <f>'Economic instruments'!D35</f>
        <v/>
      </c>
      <c r="C26" s="590">
        <f>'Economic instruments'!H35</f>
        <v/>
      </c>
      <c r="D26" s="590">
        <f>'Economic instruments'!G35</f>
        <v/>
      </c>
      <c r="E26" s="590">
        <f>'Economic instruments'!U35</f>
        <v/>
      </c>
      <c r="F26" s="590">
        <f>'Economic instruments'!Q35</f>
        <v/>
      </c>
      <c r="G26" s="590">
        <f>'Economic instruments'!R35</f>
        <v/>
      </c>
      <c r="H26" s="590">
        <f>'Economic instruments'!L35</f>
        <v/>
      </c>
      <c r="I26" s="590" t="inlineStr">
        <is>
          <t>Economic instruments</t>
        </is>
      </c>
      <c r="J26" s="590">
        <f>'Economic instruments'!C35</f>
        <v/>
      </c>
      <c r="K26" s="590">
        <f>'Economic instruments'!E35</f>
        <v/>
      </c>
      <c r="L26" s="590">
        <f>'Economic instruments'!F35</f>
        <v/>
      </c>
      <c r="M26" s="464" t="n"/>
    </row>
    <row r="27" ht="42.75" customHeight="1">
      <c r="A27" s="590">
        <f>'Economic instruments'!A36</f>
        <v/>
      </c>
      <c r="B27" s="590">
        <f>'Economic instruments'!D36</f>
        <v/>
      </c>
      <c r="C27" s="590">
        <f>'Economic instruments'!H36</f>
        <v/>
      </c>
      <c r="D27" s="590">
        <f>'Economic instruments'!G36</f>
        <v/>
      </c>
      <c r="E27" s="590">
        <f>'Economic instruments'!U36</f>
        <v/>
      </c>
      <c r="F27" s="590">
        <f>'Economic instruments'!Q36</f>
        <v/>
      </c>
      <c r="G27" s="590">
        <f>'Economic instruments'!R36</f>
        <v/>
      </c>
      <c r="H27" s="590">
        <f>'Economic instruments'!L36</f>
        <v/>
      </c>
      <c r="I27" s="590" t="inlineStr">
        <is>
          <t>Economic instruments</t>
        </is>
      </c>
      <c r="J27" s="590">
        <f>'Economic instruments'!C36</f>
        <v/>
      </c>
      <c r="K27" s="590">
        <f>'Economic instruments'!E36</f>
        <v/>
      </c>
      <c r="L27" s="590">
        <f>'Economic instruments'!F36</f>
        <v/>
      </c>
      <c r="M27" s="464" t="n"/>
    </row>
    <row r="28" ht="42.75" customHeight="1">
      <c r="A28" s="590">
        <f>'Economic instruments'!A37</f>
        <v/>
      </c>
      <c r="B28" s="590">
        <f>'Economic instruments'!D37</f>
        <v/>
      </c>
      <c r="C28" s="590">
        <f>'Economic instruments'!H37</f>
        <v/>
      </c>
      <c r="D28" s="590">
        <f>'Economic instruments'!G37</f>
        <v/>
      </c>
      <c r="E28" s="590">
        <f>'Economic instruments'!U37</f>
        <v/>
      </c>
      <c r="F28" s="590">
        <f>'Economic instruments'!Q37</f>
        <v/>
      </c>
      <c r="G28" s="590">
        <f>'Economic instruments'!R37</f>
        <v/>
      </c>
      <c r="H28" s="590">
        <f>'Economic instruments'!L37</f>
        <v/>
      </c>
      <c r="I28" s="590" t="inlineStr">
        <is>
          <t>Economic instruments</t>
        </is>
      </c>
      <c r="J28" s="590">
        <f>'Economic instruments'!C37</f>
        <v/>
      </c>
      <c r="K28" s="590">
        <f>'Economic instruments'!E37</f>
        <v/>
      </c>
      <c r="L28" s="590">
        <f>'Economic instruments'!F37</f>
        <v/>
      </c>
      <c r="M28" s="464" t="n"/>
    </row>
    <row r="29" ht="42.75" customHeight="1">
      <c r="A29" s="590">
        <f>'Economic instruments'!A38</f>
        <v/>
      </c>
      <c r="B29" s="590">
        <f>'Economic instruments'!D38</f>
        <v/>
      </c>
      <c r="C29" s="590">
        <f>'Economic instruments'!H38</f>
        <v/>
      </c>
      <c r="D29" s="590">
        <f>'Economic instruments'!G38</f>
        <v/>
      </c>
      <c r="E29" s="590">
        <f>'Economic instruments'!U38</f>
        <v/>
      </c>
      <c r="F29" s="590">
        <f>'Economic instruments'!Q38</f>
        <v/>
      </c>
      <c r="G29" s="590">
        <f>'Economic instruments'!R38</f>
        <v/>
      </c>
      <c r="H29" s="590">
        <f>'Economic instruments'!L38</f>
        <v/>
      </c>
      <c r="I29" s="590" t="inlineStr">
        <is>
          <t>Economic instruments</t>
        </is>
      </c>
      <c r="J29" s="590">
        <f>'Economic instruments'!C38</f>
        <v/>
      </c>
      <c r="K29" s="590">
        <f>'Economic instruments'!E38</f>
        <v/>
      </c>
      <c r="L29" s="590">
        <f>'Economic instruments'!F38</f>
        <v/>
      </c>
      <c r="M29" s="464" t="n"/>
    </row>
    <row r="30" ht="42.75" customHeight="1">
      <c r="A30" s="590">
        <f>'Economic instruments'!A39</f>
        <v/>
      </c>
      <c r="B30" s="590">
        <f>'Economic instruments'!D39</f>
        <v/>
      </c>
      <c r="C30" s="590">
        <f>'Economic instruments'!H39</f>
        <v/>
      </c>
      <c r="D30" s="590">
        <f>'Economic instruments'!G39</f>
        <v/>
      </c>
      <c r="E30" s="590">
        <f>'Economic instruments'!U39</f>
        <v/>
      </c>
      <c r="F30" s="590">
        <f>'Economic instruments'!Q39</f>
        <v/>
      </c>
      <c r="G30" s="590">
        <f>'Economic instruments'!R39</f>
        <v/>
      </c>
      <c r="H30" s="590">
        <f>'Economic instruments'!L39</f>
        <v/>
      </c>
      <c r="I30" s="590" t="inlineStr">
        <is>
          <t>Economic instruments</t>
        </is>
      </c>
      <c r="J30" s="590">
        <f>'Economic instruments'!C39</f>
        <v/>
      </c>
      <c r="K30" s="590">
        <f>'Economic instruments'!E39</f>
        <v/>
      </c>
      <c r="L30" s="590">
        <f>'Economic instruments'!F39</f>
        <v/>
      </c>
      <c r="M30" s="464" t="n"/>
    </row>
    <row r="31" ht="42.75" customHeight="1">
      <c r="A31" s="590">
        <f>'Economic instruments'!A40</f>
        <v/>
      </c>
      <c r="B31" s="590">
        <f>'Economic instruments'!D40</f>
        <v/>
      </c>
      <c r="C31" s="590">
        <f>'Economic instruments'!H40</f>
        <v/>
      </c>
      <c r="D31" s="590">
        <f>'Economic instruments'!G40</f>
        <v/>
      </c>
      <c r="E31" s="590">
        <f>'Economic instruments'!U40</f>
        <v/>
      </c>
      <c r="F31" s="590">
        <f>'Economic instruments'!Q40</f>
        <v/>
      </c>
      <c r="G31" s="590">
        <f>'Economic instruments'!R40</f>
        <v/>
      </c>
      <c r="H31" s="590">
        <f>'Economic instruments'!L40</f>
        <v/>
      </c>
      <c r="I31" s="590" t="inlineStr">
        <is>
          <t>Economic instruments</t>
        </is>
      </c>
      <c r="J31" s="590">
        <f>'Economic instruments'!C40</f>
        <v/>
      </c>
      <c r="K31" s="590">
        <f>'Economic instruments'!E40</f>
        <v/>
      </c>
      <c r="L31" s="590">
        <f>'Economic instruments'!F40</f>
        <v/>
      </c>
      <c r="M31" s="464" t="n"/>
    </row>
    <row r="32" ht="42.75" customHeight="1">
      <c r="A32" s="590">
        <f>'Economic instruments'!A41</f>
        <v/>
      </c>
      <c r="B32" s="590">
        <f>'Economic instruments'!D41</f>
        <v/>
      </c>
      <c r="C32" s="590">
        <f>'Economic instruments'!H41</f>
        <v/>
      </c>
      <c r="D32" s="590">
        <f>'Economic instruments'!G41</f>
        <v/>
      </c>
      <c r="E32" s="590">
        <f>'Economic instruments'!U41</f>
        <v/>
      </c>
      <c r="F32" s="590">
        <f>'Economic instruments'!Q41</f>
        <v/>
      </c>
      <c r="G32" s="590">
        <f>'Economic instruments'!R41</f>
        <v/>
      </c>
      <c r="H32" s="590">
        <f>'Economic instruments'!L41</f>
        <v/>
      </c>
      <c r="I32" s="590" t="inlineStr">
        <is>
          <t>Economic instruments</t>
        </is>
      </c>
      <c r="J32" s="590">
        <f>'Economic instruments'!C41</f>
        <v/>
      </c>
      <c r="K32" s="590">
        <f>'Economic instruments'!E41</f>
        <v/>
      </c>
      <c r="L32" s="590">
        <f>'Economic instruments'!F41</f>
        <v/>
      </c>
      <c r="M32" s="464" t="n"/>
    </row>
    <row r="33" ht="57" customHeight="1">
      <c r="A33" s="590">
        <f>'Economic instruments'!A42</f>
        <v/>
      </c>
      <c r="B33" s="590">
        <f>'Economic instruments'!D42</f>
        <v/>
      </c>
      <c r="C33" s="590">
        <f>'Economic instruments'!H42</f>
        <v/>
      </c>
      <c r="D33" s="590">
        <f>'Economic instruments'!G42</f>
        <v/>
      </c>
      <c r="E33" s="590">
        <f>'Economic instruments'!U42</f>
        <v/>
      </c>
      <c r="F33" s="590">
        <f>'Economic instruments'!Q42</f>
        <v/>
      </c>
      <c r="G33" s="590">
        <f>'Economic instruments'!R42</f>
        <v/>
      </c>
      <c r="H33" s="590">
        <f>'Economic instruments'!L42</f>
        <v/>
      </c>
      <c r="I33" s="590" t="inlineStr">
        <is>
          <t>Economic instruments</t>
        </is>
      </c>
      <c r="J33" s="590">
        <f>'Economic instruments'!C42</f>
        <v/>
      </c>
      <c r="K33" s="590">
        <f>'Economic instruments'!E42</f>
        <v/>
      </c>
      <c r="L33" s="590">
        <f>'Economic instruments'!F42</f>
        <v/>
      </c>
      <c r="M33" s="464" t="n"/>
    </row>
    <row r="34" ht="114" customHeight="1">
      <c r="A34" s="590">
        <f>'Economic instruments'!A43</f>
        <v/>
      </c>
      <c r="B34" s="590">
        <f>'Economic instruments'!D43</f>
        <v/>
      </c>
      <c r="C34" s="590">
        <f>'Economic instruments'!H43</f>
        <v/>
      </c>
      <c r="D34" s="590">
        <f>'Economic instruments'!G43</f>
        <v/>
      </c>
      <c r="E34" s="590">
        <f>'Economic instruments'!U43</f>
        <v/>
      </c>
      <c r="F34" s="590">
        <f>'Economic instruments'!Q43</f>
        <v/>
      </c>
      <c r="G34" s="590">
        <f>'Economic instruments'!R43</f>
        <v/>
      </c>
      <c r="H34" s="590">
        <f>'Economic instruments'!L43</f>
        <v/>
      </c>
      <c r="I34" s="590" t="inlineStr">
        <is>
          <t>Economic instruments</t>
        </is>
      </c>
      <c r="J34" s="590">
        <f>'Economic instruments'!C43</f>
        <v/>
      </c>
      <c r="K34" s="590">
        <f>'Economic instruments'!E43</f>
        <v/>
      </c>
      <c r="L34" s="590">
        <f>'Economic instruments'!F43</f>
        <v/>
      </c>
      <c r="M34" s="464" t="n"/>
    </row>
    <row r="35" ht="57" customHeight="1">
      <c r="A35" s="590">
        <f>'Economic instruments'!A44</f>
        <v/>
      </c>
      <c r="B35" s="590">
        <f>'Economic instruments'!D44</f>
        <v/>
      </c>
      <c r="C35" s="590">
        <f>'Economic instruments'!H44</f>
        <v/>
      </c>
      <c r="D35" s="590">
        <f>'Economic instruments'!G44</f>
        <v/>
      </c>
      <c r="E35" s="590">
        <f>'Economic instruments'!U44</f>
        <v/>
      </c>
      <c r="F35" s="590">
        <f>'Economic instruments'!Q44</f>
        <v/>
      </c>
      <c r="G35" s="590">
        <f>'Economic instruments'!R44</f>
        <v/>
      </c>
      <c r="H35" s="590">
        <f>'Economic instruments'!L44</f>
        <v/>
      </c>
      <c r="I35" s="590" t="inlineStr">
        <is>
          <t>Economic instruments</t>
        </is>
      </c>
      <c r="J35" s="590">
        <f>'Economic instruments'!C44</f>
        <v/>
      </c>
      <c r="K35" s="590">
        <f>'Economic instruments'!E44</f>
        <v/>
      </c>
      <c r="L35" s="590">
        <f>'Economic instruments'!F44</f>
        <v/>
      </c>
      <c r="M35" s="464" t="n"/>
    </row>
    <row r="36" ht="71.25" customHeight="1">
      <c r="A36" s="590">
        <f>'Economic instruments'!A45</f>
        <v/>
      </c>
      <c r="B36" s="590">
        <f>'Economic instruments'!D45</f>
        <v/>
      </c>
      <c r="C36" s="590">
        <f>'Economic instruments'!H45</f>
        <v/>
      </c>
      <c r="D36" s="590">
        <f>'Economic instruments'!G45</f>
        <v/>
      </c>
      <c r="E36" s="590">
        <f>'Economic instruments'!U45</f>
        <v/>
      </c>
      <c r="F36" s="590">
        <f>'Economic instruments'!Q45</f>
        <v/>
      </c>
      <c r="G36" s="590">
        <f>'Economic instruments'!R45</f>
        <v/>
      </c>
      <c r="H36" s="590">
        <f>'Economic instruments'!L45</f>
        <v/>
      </c>
      <c r="I36" s="590" t="inlineStr">
        <is>
          <t>Economic instruments</t>
        </is>
      </c>
      <c r="J36" s="590">
        <f>'Economic instruments'!C45</f>
        <v/>
      </c>
      <c r="K36" s="590">
        <f>'Economic instruments'!E45</f>
        <v/>
      </c>
      <c r="L36" s="590">
        <f>'Economic instruments'!F45</f>
        <v/>
      </c>
      <c r="M36" s="464" t="n"/>
    </row>
    <row r="37" ht="57" customHeight="1">
      <c r="A37" s="590">
        <f>'Economic instruments'!A46</f>
        <v/>
      </c>
      <c r="B37" s="590">
        <f>'Economic instruments'!D46</f>
        <v/>
      </c>
      <c r="C37" s="590">
        <f>'Economic instruments'!H46</f>
        <v/>
      </c>
      <c r="D37" s="590">
        <f>'Economic instruments'!G46</f>
        <v/>
      </c>
      <c r="E37" s="590">
        <f>'Economic instruments'!U46</f>
        <v/>
      </c>
      <c r="F37" s="590">
        <f>'Economic instruments'!Q46</f>
        <v/>
      </c>
      <c r="G37" s="590">
        <f>'Economic instruments'!R46</f>
        <v/>
      </c>
      <c r="H37" s="590">
        <f>'Economic instruments'!L46</f>
        <v/>
      </c>
      <c r="I37" s="590" t="inlineStr">
        <is>
          <t>Economic instruments</t>
        </is>
      </c>
      <c r="J37" s="590">
        <f>'Economic instruments'!C46</f>
        <v/>
      </c>
      <c r="K37" s="590">
        <f>'Economic instruments'!E46</f>
        <v/>
      </c>
      <c r="L37" s="590">
        <f>'Economic instruments'!F46</f>
        <v/>
      </c>
      <c r="M37" s="464" t="n"/>
    </row>
    <row r="38" ht="57" customHeight="1">
      <c r="A38" s="590">
        <f>'Economic instruments'!A47</f>
        <v/>
      </c>
      <c r="B38" s="590">
        <f>'Economic instruments'!D47</f>
        <v/>
      </c>
      <c r="C38" s="590">
        <f>'Economic instruments'!H47</f>
        <v/>
      </c>
      <c r="D38" s="590">
        <f>'Economic instruments'!G47</f>
        <v/>
      </c>
      <c r="E38" s="590">
        <f>'Economic instruments'!U47</f>
        <v/>
      </c>
      <c r="F38" s="590">
        <f>'Economic instruments'!Q47</f>
        <v/>
      </c>
      <c r="G38" s="590">
        <f>'Economic instruments'!R47</f>
        <v/>
      </c>
      <c r="H38" s="590">
        <f>'Economic instruments'!L47</f>
        <v/>
      </c>
      <c r="I38" s="590" t="inlineStr">
        <is>
          <t>Economic instruments</t>
        </is>
      </c>
      <c r="J38" s="590">
        <f>'Economic instruments'!C47</f>
        <v/>
      </c>
      <c r="K38" s="590">
        <f>'Economic instruments'!E47</f>
        <v/>
      </c>
      <c r="L38" s="590">
        <f>'Economic instruments'!F47</f>
        <v/>
      </c>
      <c r="M38" s="464" t="n"/>
    </row>
    <row r="39" ht="71.25" customHeight="1">
      <c r="A39" s="590">
        <f>'Economic instruments'!A48</f>
        <v/>
      </c>
      <c r="B39" s="590">
        <f>'Economic instruments'!D48</f>
        <v/>
      </c>
      <c r="C39" s="590">
        <f>'Economic instruments'!H48</f>
        <v/>
      </c>
      <c r="D39" s="590">
        <f>'Economic instruments'!G48</f>
        <v/>
      </c>
      <c r="E39" s="590">
        <f>'Economic instruments'!U48</f>
        <v/>
      </c>
      <c r="F39" s="590">
        <f>'Economic instruments'!Q48</f>
        <v/>
      </c>
      <c r="G39" s="590">
        <f>'Economic instruments'!R48</f>
        <v/>
      </c>
      <c r="H39" s="590">
        <f>'Economic instruments'!L48</f>
        <v/>
      </c>
      <c r="I39" s="590" t="inlineStr">
        <is>
          <t>Economic instruments</t>
        </is>
      </c>
      <c r="J39" s="590">
        <f>'Economic instruments'!C48</f>
        <v/>
      </c>
      <c r="K39" s="590">
        <f>'Economic instruments'!E48</f>
        <v/>
      </c>
      <c r="L39" s="590">
        <f>'Economic instruments'!F48</f>
        <v/>
      </c>
      <c r="M39" s="464" t="n"/>
    </row>
    <row r="40" ht="71.25" customHeight="1">
      <c r="A40" s="590">
        <f>'Economic instruments'!A49</f>
        <v/>
      </c>
      <c r="B40" s="590">
        <f>'Economic instruments'!D49</f>
        <v/>
      </c>
      <c r="C40" s="590">
        <f>'Economic instruments'!H49</f>
        <v/>
      </c>
      <c r="D40" s="590">
        <f>'Economic instruments'!G49</f>
        <v/>
      </c>
      <c r="E40" s="590">
        <f>'Economic instruments'!U49</f>
        <v/>
      </c>
      <c r="F40" s="590">
        <f>'Economic instruments'!Q49</f>
        <v/>
      </c>
      <c r="G40" s="590">
        <f>'Economic instruments'!R49</f>
        <v/>
      </c>
      <c r="H40" s="590">
        <f>'Economic instruments'!L49</f>
        <v/>
      </c>
      <c r="I40" s="590" t="inlineStr">
        <is>
          <t>Economic instruments</t>
        </is>
      </c>
      <c r="J40" s="590">
        <f>'Economic instruments'!C49</f>
        <v/>
      </c>
      <c r="K40" s="590">
        <f>'Economic instruments'!E49</f>
        <v/>
      </c>
      <c r="L40" s="590">
        <f>'Economic instruments'!F49</f>
        <v/>
      </c>
      <c r="M40" s="464" t="n"/>
    </row>
    <row r="41" ht="57" customHeight="1">
      <c r="A41" s="590">
        <f>'Economic instruments'!A50</f>
        <v/>
      </c>
      <c r="B41" s="590">
        <f>'Economic instruments'!D50</f>
        <v/>
      </c>
      <c r="C41" s="590">
        <f>'Economic instruments'!H50</f>
        <v/>
      </c>
      <c r="D41" s="590">
        <f>'Economic instruments'!G50</f>
        <v/>
      </c>
      <c r="E41" s="590">
        <f>'Economic instruments'!U50</f>
        <v/>
      </c>
      <c r="F41" s="590">
        <f>'Economic instruments'!Q50</f>
        <v/>
      </c>
      <c r="G41" s="590">
        <f>'Economic instruments'!R50</f>
        <v/>
      </c>
      <c r="H41" s="590">
        <f>'Economic instruments'!L50</f>
        <v/>
      </c>
      <c r="I41" s="590" t="inlineStr">
        <is>
          <t>Economic instruments</t>
        </is>
      </c>
      <c r="J41" s="590">
        <f>'Economic instruments'!C50</f>
        <v/>
      </c>
      <c r="K41" s="590">
        <f>'Economic instruments'!E50</f>
        <v/>
      </c>
      <c r="L41" s="590">
        <f>'Economic instruments'!F50</f>
        <v/>
      </c>
      <c r="M41" s="464" t="n"/>
    </row>
    <row r="42" ht="85.5" customHeight="1">
      <c r="A42" s="590">
        <f>'Economic instruments'!A51</f>
        <v/>
      </c>
      <c r="B42" s="590">
        <f>'Economic instruments'!D51</f>
        <v/>
      </c>
      <c r="C42" s="590">
        <f>'Economic instruments'!H51</f>
        <v/>
      </c>
      <c r="D42" s="590">
        <f>'Economic instruments'!G51</f>
        <v/>
      </c>
      <c r="E42" s="590">
        <f>'Economic instruments'!U51</f>
        <v/>
      </c>
      <c r="F42" s="590">
        <f>'Economic instruments'!Q51</f>
        <v/>
      </c>
      <c r="G42" s="590">
        <f>'Economic instruments'!R51</f>
        <v/>
      </c>
      <c r="H42" s="590">
        <f>'Economic instruments'!L51</f>
        <v/>
      </c>
      <c r="I42" s="590" t="inlineStr">
        <is>
          <t>Economic instruments</t>
        </is>
      </c>
      <c r="J42" s="590">
        <f>'Economic instruments'!C51</f>
        <v/>
      </c>
      <c r="K42" s="590">
        <f>'Economic instruments'!E51</f>
        <v/>
      </c>
      <c r="L42" s="590">
        <f>'Economic instruments'!F51</f>
        <v/>
      </c>
      <c r="M42" s="464" t="n"/>
    </row>
    <row r="43" ht="114" customHeight="1">
      <c r="A43" s="590">
        <f>'Economic instruments'!A52</f>
        <v/>
      </c>
      <c r="B43" s="590">
        <f>'Economic instruments'!D52</f>
        <v/>
      </c>
      <c r="C43" s="590">
        <f>'Economic instruments'!H52</f>
        <v/>
      </c>
      <c r="D43" s="590">
        <f>'Economic instruments'!G52</f>
        <v/>
      </c>
      <c r="E43" s="590">
        <f>'Economic instruments'!U52</f>
        <v/>
      </c>
      <c r="F43" s="590">
        <f>'Economic instruments'!Q52</f>
        <v/>
      </c>
      <c r="G43" s="590">
        <f>'Economic instruments'!R52</f>
        <v/>
      </c>
      <c r="H43" s="590">
        <f>'Economic instruments'!L52</f>
        <v/>
      </c>
      <c r="I43" s="590" t="inlineStr">
        <is>
          <t>Economic instruments</t>
        </is>
      </c>
      <c r="J43" s="590">
        <f>'Economic instruments'!C52</f>
        <v/>
      </c>
      <c r="K43" s="590">
        <f>'Economic instruments'!E52</f>
        <v/>
      </c>
      <c r="L43" s="590">
        <f>'Economic instruments'!F52</f>
        <v/>
      </c>
      <c r="M43" s="464" t="n"/>
    </row>
    <row r="44" ht="85.5" customHeight="1">
      <c r="A44" s="590">
        <f>'Economic instruments'!A53</f>
        <v/>
      </c>
      <c r="B44" s="590">
        <f>'Economic instruments'!D53</f>
        <v/>
      </c>
      <c r="C44" s="590">
        <f>'Economic instruments'!H53</f>
        <v/>
      </c>
      <c r="D44" s="590">
        <f>'Economic instruments'!G53</f>
        <v/>
      </c>
      <c r="E44" s="590">
        <f>'Economic instruments'!U53</f>
        <v/>
      </c>
      <c r="F44" s="590">
        <f>'Economic instruments'!Q53</f>
        <v/>
      </c>
      <c r="G44" s="590">
        <f>'Economic instruments'!R53</f>
        <v/>
      </c>
      <c r="H44" s="590">
        <f>'Economic instruments'!L53</f>
        <v/>
      </c>
      <c r="I44" s="590" t="inlineStr">
        <is>
          <t>Economic instruments</t>
        </is>
      </c>
      <c r="J44" s="590">
        <f>'Economic instruments'!C53</f>
        <v/>
      </c>
      <c r="K44" s="590">
        <f>'Economic instruments'!E53</f>
        <v/>
      </c>
      <c r="L44" s="590">
        <f>'Economic instruments'!F53</f>
        <v/>
      </c>
      <c r="M44" s="464" t="n"/>
    </row>
    <row r="45" ht="85.5" customHeight="1">
      <c r="A45" s="590">
        <f>'Economic instruments'!A56</f>
        <v/>
      </c>
      <c r="B45" s="590">
        <f>'Economic instruments'!D56</f>
        <v/>
      </c>
      <c r="C45" s="590">
        <f>'Economic instruments'!H56</f>
        <v/>
      </c>
      <c r="D45" s="590">
        <f>'Economic instruments'!G56</f>
        <v/>
      </c>
      <c r="E45" s="590">
        <f>'Economic instruments'!U56</f>
        <v/>
      </c>
      <c r="F45" s="590">
        <f>'Economic instruments'!Q56</f>
        <v/>
      </c>
      <c r="G45" s="590">
        <f>'Economic instruments'!R56</f>
        <v/>
      </c>
      <c r="H45" s="590">
        <f>'Economic instruments'!L56</f>
        <v/>
      </c>
      <c r="I45" s="590" t="inlineStr">
        <is>
          <t>Economic instruments</t>
        </is>
      </c>
      <c r="J45" s="590">
        <f>'Economic instruments'!C56</f>
        <v/>
      </c>
      <c r="K45" s="590">
        <f>'Economic instruments'!E56</f>
        <v/>
      </c>
      <c r="L45" s="590">
        <f>'Economic instruments'!F56</f>
        <v/>
      </c>
      <c r="M45" s="464" t="n"/>
    </row>
    <row r="46" ht="57" customHeight="1">
      <c r="A46" s="590">
        <f>'Economic instruments'!A57</f>
        <v/>
      </c>
      <c r="B46" s="590">
        <f>'Economic instruments'!D57</f>
        <v/>
      </c>
      <c r="C46" s="590">
        <f>'Economic instruments'!H57</f>
        <v/>
      </c>
      <c r="D46" s="590">
        <f>'Economic instruments'!G57</f>
        <v/>
      </c>
      <c r="E46" s="590">
        <f>'Economic instruments'!U57</f>
        <v/>
      </c>
      <c r="F46" s="590">
        <f>'Economic instruments'!Q57</f>
        <v/>
      </c>
      <c r="G46" s="590">
        <f>'Economic instruments'!R57</f>
        <v/>
      </c>
      <c r="H46" s="590">
        <f>'Economic instruments'!L57</f>
        <v/>
      </c>
      <c r="I46" s="590" t="inlineStr">
        <is>
          <t>Economic instruments</t>
        </is>
      </c>
      <c r="J46" s="590">
        <f>'Economic instruments'!C57</f>
        <v/>
      </c>
      <c r="K46" s="590">
        <f>'Economic instruments'!E57</f>
        <v/>
      </c>
      <c r="L46" s="590">
        <f>'Economic instruments'!F57</f>
        <v/>
      </c>
      <c r="M46" s="464" t="n"/>
    </row>
    <row r="47" ht="71.25" customHeight="1">
      <c r="A47" s="590">
        <f>'Economic instruments'!A62</f>
        <v/>
      </c>
      <c r="B47" s="590">
        <f>'Economic instruments'!D62</f>
        <v/>
      </c>
      <c r="C47" s="590">
        <f>'Economic instruments'!H62</f>
        <v/>
      </c>
      <c r="D47" s="590">
        <f>'Economic instruments'!G62</f>
        <v/>
      </c>
      <c r="E47" s="590">
        <f>'Economic instruments'!U62</f>
        <v/>
      </c>
      <c r="F47" s="590">
        <f>'Economic instruments'!Q62</f>
        <v/>
      </c>
      <c r="G47" s="590">
        <f>'Economic instruments'!R62</f>
        <v/>
      </c>
      <c r="H47" s="590">
        <f>'Economic instruments'!L62</f>
        <v/>
      </c>
      <c r="I47" s="590" t="inlineStr">
        <is>
          <t>Economic instruments</t>
        </is>
      </c>
      <c r="J47" s="590">
        <f>'Economic instruments'!C62</f>
        <v/>
      </c>
      <c r="K47" s="590">
        <f>'Economic instruments'!E62</f>
        <v/>
      </c>
      <c r="L47" s="590">
        <f>'Economic instruments'!F62</f>
        <v/>
      </c>
      <c r="M47" s="464" t="n"/>
    </row>
    <row r="48" ht="156.75" customHeight="1">
      <c r="A48" s="590">
        <f>'Economic instruments'!A63</f>
        <v/>
      </c>
      <c r="B48" s="590">
        <f>'Economic instruments'!D63</f>
        <v/>
      </c>
      <c r="C48" s="590">
        <f>'Economic instruments'!H63</f>
        <v/>
      </c>
      <c r="D48" s="590">
        <f>'Economic instruments'!G63</f>
        <v/>
      </c>
      <c r="E48" s="590">
        <f>'Economic instruments'!U63</f>
        <v/>
      </c>
      <c r="F48" s="590">
        <f>'Economic instruments'!Q63</f>
        <v/>
      </c>
      <c r="G48" s="590">
        <f>'Economic instruments'!R63</f>
        <v/>
      </c>
      <c r="H48" s="590">
        <f>'Economic instruments'!L63</f>
        <v/>
      </c>
      <c r="I48" s="590" t="inlineStr">
        <is>
          <t>Economic instruments</t>
        </is>
      </c>
      <c r="J48" s="590">
        <f>'Economic instruments'!C63</f>
        <v/>
      </c>
      <c r="K48" s="590">
        <f>'Economic instruments'!E63</f>
        <v/>
      </c>
      <c r="L48" s="590">
        <f>'Economic instruments'!F63</f>
        <v/>
      </c>
      <c r="M48" s="464" t="n"/>
    </row>
    <row r="49" ht="85.5" customHeight="1">
      <c r="A49" s="590">
        <f>'Regulatory instruments'!A3</f>
        <v/>
      </c>
      <c r="B49" s="590">
        <f>'Regulatory instruments'!D3</f>
        <v/>
      </c>
      <c r="C49" s="590">
        <f>'Regulatory instruments'!H3</f>
        <v/>
      </c>
      <c r="D49" s="590">
        <f>'Regulatory instruments'!G3</f>
        <v/>
      </c>
      <c r="E49" s="590">
        <f>'Regulatory instruments'!U3</f>
        <v/>
      </c>
      <c r="F49" s="590">
        <f>'Regulatory instruments'!Q3</f>
        <v/>
      </c>
      <c r="G49" s="590">
        <f>'Regulatory instruments'!R3</f>
        <v/>
      </c>
      <c r="H49" s="590">
        <f>'Regulatory instruments'!L3</f>
        <v/>
      </c>
      <c r="I49" s="590" t="inlineStr">
        <is>
          <t>Regulatory instruments</t>
        </is>
      </c>
      <c r="J49" s="590">
        <f>'Regulatory instruments'!C3</f>
        <v/>
      </c>
      <c r="K49" s="590">
        <f>'Regulatory instruments'!E3</f>
        <v/>
      </c>
      <c r="L49" s="590">
        <f>'Regulatory instruments'!F3</f>
        <v/>
      </c>
      <c r="M49" s="464" t="n"/>
    </row>
    <row r="50" ht="142.5" customHeight="1">
      <c r="A50" s="590">
        <f>'Regulatory instruments'!A4</f>
        <v/>
      </c>
      <c r="B50" s="590">
        <f>'Regulatory instruments'!D4</f>
        <v/>
      </c>
      <c r="C50" s="590">
        <f>'Regulatory instruments'!H4</f>
        <v/>
      </c>
      <c r="D50" s="590">
        <f>'Regulatory instruments'!G4</f>
        <v/>
      </c>
      <c r="E50" s="590">
        <f>'Regulatory instruments'!U4</f>
        <v/>
      </c>
      <c r="F50" s="590">
        <f>'Regulatory instruments'!Q4</f>
        <v/>
      </c>
      <c r="G50" s="590">
        <f>'Regulatory instruments'!R4</f>
        <v/>
      </c>
      <c r="H50" s="590">
        <f>'Regulatory instruments'!L4</f>
        <v/>
      </c>
      <c r="I50" s="590" t="inlineStr">
        <is>
          <t>Regulatory instruments</t>
        </is>
      </c>
      <c r="J50" s="590">
        <f>'Regulatory instruments'!C4</f>
        <v/>
      </c>
      <c r="K50" s="590">
        <f>'Regulatory instruments'!E4</f>
        <v/>
      </c>
      <c r="L50" s="590">
        <f>'Regulatory instruments'!F4</f>
        <v/>
      </c>
      <c r="M50" s="464" t="n"/>
    </row>
    <row r="51" ht="114" customHeight="1">
      <c r="A51" s="590">
        <f>'Regulatory instruments'!A5</f>
        <v/>
      </c>
      <c r="B51" s="590">
        <f>'Regulatory instruments'!D5</f>
        <v/>
      </c>
      <c r="C51" s="590">
        <f>'Regulatory instruments'!H5</f>
        <v/>
      </c>
      <c r="D51" s="590">
        <f>'Regulatory instruments'!G5</f>
        <v/>
      </c>
      <c r="E51" s="590">
        <f>'Regulatory instruments'!U5</f>
        <v/>
      </c>
      <c r="F51" s="590">
        <f>'Regulatory instruments'!Q5</f>
        <v/>
      </c>
      <c r="G51" s="590">
        <f>'Regulatory instruments'!R5</f>
        <v/>
      </c>
      <c r="H51" s="590">
        <f>'Regulatory instruments'!L5</f>
        <v/>
      </c>
      <c r="I51" s="590" t="inlineStr">
        <is>
          <t>Regulatory instruments</t>
        </is>
      </c>
      <c r="J51" s="590">
        <f>'Regulatory instruments'!C5</f>
        <v/>
      </c>
      <c r="K51" s="590">
        <f>'Regulatory instruments'!E5</f>
        <v/>
      </c>
      <c r="L51" s="590">
        <f>'Regulatory instruments'!F5</f>
        <v/>
      </c>
      <c r="M51" s="464" t="n"/>
    </row>
    <row r="52" ht="156.75" customHeight="1">
      <c r="A52" s="590">
        <f>'Regulatory instruments'!A6</f>
        <v/>
      </c>
      <c r="B52" s="590">
        <f>'Regulatory instruments'!D6</f>
        <v/>
      </c>
      <c r="C52" s="590">
        <f>'Regulatory instruments'!H6</f>
        <v/>
      </c>
      <c r="D52" s="590">
        <f>'Regulatory instruments'!G6</f>
        <v/>
      </c>
      <c r="E52" s="590">
        <f>'Regulatory instruments'!U6</f>
        <v/>
      </c>
      <c r="F52" s="590">
        <f>'Regulatory instruments'!Q6</f>
        <v/>
      </c>
      <c r="G52" s="590">
        <f>'Regulatory instruments'!R6</f>
        <v/>
      </c>
      <c r="H52" s="590">
        <f>'Regulatory instruments'!L6</f>
        <v/>
      </c>
      <c r="I52" s="590" t="inlineStr">
        <is>
          <t>Regulatory instruments</t>
        </is>
      </c>
      <c r="J52" s="590">
        <f>'Regulatory instruments'!C6</f>
        <v/>
      </c>
      <c r="K52" s="590">
        <f>'Regulatory instruments'!E6</f>
        <v/>
      </c>
      <c r="L52" s="590">
        <f>'Regulatory instruments'!F6</f>
        <v/>
      </c>
      <c r="M52" s="464" t="n"/>
    </row>
    <row r="53" ht="114" customHeight="1">
      <c r="A53" s="590">
        <f>'Regulatory instruments'!A7</f>
        <v/>
      </c>
      <c r="B53" s="590">
        <f>'Regulatory instruments'!D7</f>
        <v/>
      </c>
      <c r="C53" s="590">
        <f>'Regulatory instruments'!H7</f>
        <v/>
      </c>
      <c r="D53" s="590">
        <f>'Regulatory instruments'!G7</f>
        <v/>
      </c>
      <c r="E53" s="590">
        <f>'Regulatory instruments'!U7</f>
        <v/>
      </c>
      <c r="F53" s="590">
        <f>'Regulatory instruments'!Q7</f>
        <v/>
      </c>
      <c r="G53" s="590">
        <f>'Regulatory instruments'!R7</f>
        <v/>
      </c>
      <c r="H53" s="590">
        <f>'Regulatory instruments'!L7</f>
        <v/>
      </c>
      <c r="I53" s="590" t="inlineStr">
        <is>
          <t>Regulatory instruments</t>
        </is>
      </c>
      <c r="J53" s="590">
        <f>'Regulatory instruments'!C7</f>
        <v/>
      </c>
      <c r="K53" s="590">
        <f>'Regulatory instruments'!E7</f>
        <v/>
      </c>
      <c r="L53" s="590">
        <f>'Regulatory instruments'!F7</f>
        <v/>
      </c>
      <c r="M53" s="464" t="n"/>
    </row>
    <row r="54" ht="114" customHeight="1">
      <c r="A54" s="590">
        <f>'Regulatory instruments'!A8</f>
        <v/>
      </c>
      <c r="B54" s="590">
        <f>'Regulatory instruments'!D8</f>
        <v/>
      </c>
      <c r="C54" s="590">
        <f>'Regulatory instruments'!H8</f>
        <v/>
      </c>
      <c r="D54" s="590">
        <f>'Regulatory instruments'!G8</f>
        <v/>
      </c>
      <c r="E54" s="590">
        <f>'Regulatory instruments'!U8</f>
        <v/>
      </c>
      <c r="F54" s="590">
        <f>'Regulatory instruments'!Q8</f>
        <v/>
      </c>
      <c r="G54" s="590">
        <f>'Regulatory instruments'!R8</f>
        <v/>
      </c>
      <c r="H54" s="590">
        <f>'Regulatory instruments'!L8</f>
        <v/>
      </c>
      <c r="I54" s="590" t="inlineStr">
        <is>
          <t>Regulatory instruments</t>
        </is>
      </c>
      <c r="J54" s="590">
        <f>'Regulatory instruments'!C8</f>
        <v/>
      </c>
      <c r="K54" s="590">
        <f>'Regulatory instruments'!E8</f>
        <v/>
      </c>
      <c r="L54" s="590">
        <f>'Regulatory instruments'!F8</f>
        <v/>
      </c>
      <c r="M54" s="464" t="n"/>
    </row>
    <row r="55" ht="114" customHeight="1">
      <c r="A55" s="590">
        <f>'Regulatory instruments'!A9</f>
        <v/>
      </c>
      <c r="B55" s="590">
        <f>'Regulatory instruments'!D9</f>
        <v/>
      </c>
      <c r="C55" s="590">
        <f>'Regulatory instruments'!H9</f>
        <v/>
      </c>
      <c r="D55" s="590">
        <f>'Regulatory instruments'!G9</f>
        <v/>
      </c>
      <c r="E55" s="590">
        <f>'Regulatory instruments'!U9</f>
        <v/>
      </c>
      <c r="F55" s="590">
        <f>'Regulatory instruments'!Q9</f>
        <v/>
      </c>
      <c r="G55" s="590">
        <f>'Regulatory instruments'!R9</f>
        <v/>
      </c>
      <c r="H55" s="590">
        <f>'Regulatory instruments'!L9</f>
        <v/>
      </c>
      <c r="I55" s="590" t="inlineStr">
        <is>
          <t>Regulatory instruments</t>
        </is>
      </c>
      <c r="J55" s="590">
        <f>'Regulatory instruments'!C9</f>
        <v/>
      </c>
      <c r="K55" s="590">
        <f>'Regulatory instruments'!E9</f>
        <v/>
      </c>
      <c r="L55" s="590">
        <f>'Regulatory instruments'!F9</f>
        <v/>
      </c>
      <c r="M55" s="464" t="n"/>
    </row>
    <row r="56" ht="71.25" customHeight="1">
      <c r="A56" s="590">
        <f>'Regulatory instruments'!A10</f>
        <v/>
      </c>
      <c r="B56" s="590">
        <f>'Regulatory instruments'!D10</f>
        <v/>
      </c>
      <c r="C56" s="590">
        <f>'Regulatory instruments'!H10</f>
        <v/>
      </c>
      <c r="D56" s="590">
        <f>'Regulatory instruments'!G10</f>
        <v/>
      </c>
      <c r="E56" s="590">
        <f>'Regulatory instruments'!U10</f>
        <v/>
      </c>
      <c r="F56" s="590">
        <f>'Regulatory instruments'!Q10</f>
        <v/>
      </c>
      <c r="G56" s="590">
        <f>'Regulatory instruments'!R10</f>
        <v/>
      </c>
      <c r="H56" s="590">
        <f>'Regulatory instruments'!L10</f>
        <v/>
      </c>
      <c r="I56" s="590" t="inlineStr">
        <is>
          <t>Regulatory instruments</t>
        </is>
      </c>
      <c r="J56" s="590">
        <f>'Regulatory instruments'!C10</f>
        <v/>
      </c>
      <c r="K56" s="590">
        <f>'Regulatory instruments'!E10</f>
        <v/>
      </c>
      <c r="L56" s="590">
        <f>'Regulatory instruments'!F10</f>
        <v/>
      </c>
      <c r="M56" s="464" t="n"/>
    </row>
    <row r="57" ht="57" customHeight="1">
      <c r="A57" s="590">
        <f>'Regulatory instruments'!A11</f>
        <v/>
      </c>
      <c r="B57" s="590">
        <f>'Regulatory instruments'!D11</f>
        <v/>
      </c>
      <c r="C57" s="590">
        <f>'Regulatory instruments'!H11</f>
        <v/>
      </c>
      <c r="D57" s="590">
        <f>'Regulatory instruments'!G11</f>
        <v/>
      </c>
      <c r="E57" s="590">
        <f>'Regulatory instruments'!U11</f>
        <v/>
      </c>
      <c r="F57" s="590">
        <f>'Regulatory instruments'!Q11</f>
        <v/>
      </c>
      <c r="G57" s="590">
        <f>'Regulatory instruments'!R11</f>
        <v/>
      </c>
      <c r="H57" s="590">
        <f>'Regulatory instruments'!L11</f>
        <v/>
      </c>
      <c r="I57" s="590" t="inlineStr">
        <is>
          <t>Regulatory instruments</t>
        </is>
      </c>
      <c r="J57" s="590">
        <f>'Regulatory instruments'!C11</f>
        <v/>
      </c>
      <c r="K57" s="590">
        <f>'Regulatory instruments'!E11</f>
        <v/>
      </c>
      <c r="L57" s="590">
        <f>'Regulatory instruments'!F11</f>
        <v/>
      </c>
      <c r="M57" s="464" t="n"/>
    </row>
    <row r="58" ht="57" customHeight="1">
      <c r="A58" s="590">
        <f>'Regulatory instruments'!A12</f>
        <v/>
      </c>
      <c r="B58" s="590">
        <f>'Regulatory instruments'!D12</f>
        <v/>
      </c>
      <c r="C58" s="590">
        <f>'Regulatory instruments'!H12</f>
        <v/>
      </c>
      <c r="D58" s="590">
        <f>'Regulatory instruments'!G12</f>
        <v/>
      </c>
      <c r="E58" s="590">
        <f>'Regulatory instruments'!U12</f>
        <v/>
      </c>
      <c r="F58" s="590">
        <f>'Regulatory instruments'!Q12</f>
        <v/>
      </c>
      <c r="G58" s="590">
        <f>'Regulatory instruments'!R12</f>
        <v/>
      </c>
      <c r="H58" s="590">
        <f>'Regulatory instruments'!L12</f>
        <v/>
      </c>
      <c r="I58" s="590" t="inlineStr">
        <is>
          <t>Regulatory instruments</t>
        </is>
      </c>
      <c r="J58" s="590">
        <f>'Regulatory instruments'!C12</f>
        <v/>
      </c>
      <c r="K58" s="590">
        <f>'Regulatory instruments'!E12</f>
        <v/>
      </c>
      <c r="L58" s="590">
        <f>'Regulatory instruments'!F12</f>
        <v/>
      </c>
      <c r="M58" s="464" t="n"/>
    </row>
    <row r="59" ht="57" customHeight="1">
      <c r="A59" s="590">
        <f>'Regulatory instruments'!A13</f>
        <v/>
      </c>
      <c r="B59" s="590">
        <f>'Regulatory instruments'!D13</f>
        <v/>
      </c>
      <c r="C59" s="590">
        <f>'Regulatory instruments'!H13</f>
        <v/>
      </c>
      <c r="D59" s="590">
        <f>'Regulatory instruments'!G13</f>
        <v/>
      </c>
      <c r="E59" s="590">
        <f>'Regulatory instruments'!U13</f>
        <v/>
      </c>
      <c r="F59" s="590">
        <f>'Regulatory instruments'!Q13</f>
        <v/>
      </c>
      <c r="G59" s="590">
        <f>'Regulatory instruments'!R13</f>
        <v/>
      </c>
      <c r="H59" s="590">
        <f>'Regulatory instruments'!L13</f>
        <v/>
      </c>
      <c r="I59" s="590" t="inlineStr">
        <is>
          <t>Regulatory instruments</t>
        </is>
      </c>
      <c r="J59" s="590">
        <f>'Regulatory instruments'!C13</f>
        <v/>
      </c>
      <c r="K59" s="590">
        <f>'Regulatory instruments'!E13</f>
        <v/>
      </c>
      <c r="L59" s="590">
        <f>'Regulatory instruments'!F13</f>
        <v/>
      </c>
      <c r="M59" s="464" t="n"/>
    </row>
    <row r="60" ht="57" customHeight="1">
      <c r="A60" s="590">
        <f>'Regulatory instruments'!A14</f>
        <v/>
      </c>
      <c r="B60" s="590">
        <f>'Regulatory instruments'!D14</f>
        <v/>
      </c>
      <c r="C60" s="590">
        <f>'Regulatory instruments'!H14</f>
        <v/>
      </c>
      <c r="D60" s="590">
        <f>'Regulatory instruments'!G14</f>
        <v/>
      </c>
      <c r="E60" s="590">
        <f>'Regulatory instruments'!U14</f>
        <v/>
      </c>
      <c r="F60" s="590">
        <f>'Regulatory instruments'!Q14</f>
        <v/>
      </c>
      <c r="G60" s="590">
        <f>'Regulatory instruments'!R14</f>
        <v/>
      </c>
      <c r="H60" s="590">
        <f>'Regulatory instruments'!L14</f>
        <v/>
      </c>
      <c r="I60" s="590" t="inlineStr">
        <is>
          <t>Regulatory instruments</t>
        </is>
      </c>
      <c r="J60" s="590">
        <f>'Regulatory instruments'!C14</f>
        <v/>
      </c>
      <c r="K60" s="590">
        <f>'Regulatory instruments'!E14</f>
        <v/>
      </c>
      <c r="L60" s="590">
        <f>'Regulatory instruments'!F14</f>
        <v/>
      </c>
      <c r="M60" s="464" t="n"/>
    </row>
    <row r="61" ht="71.25" customHeight="1">
      <c r="A61" s="590">
        <f>'Regulatory instruments'!A15</f>
        <v/>
      </c>
      <c r="B61" s="590">
        <f>'Regulatory instruments'!D15</f>
        <v/>
      </c>
      <c r="C61" s="590">
        <f>'Regulatory instruments'!H15</f>
        <v/>
      </c>
      <c r="D61" s="590">
        <f>'Regulatory instruments'!G15</f>
        <v/>
      </c>
      <c r="E61" s="590">
        <f>'Regulatory instruments'!U15</f>
        <v/>
      </c>
      <c r="F61" s="590">
        <f>'Regulatory instruments'!Q15</f>
        <v/>
      </c>
      <c r="G61" s="590">
        <f>'Regulatory instruments'!R15</f>
        <v/>
      </c>
      <c r="H61" s="590">
        <f>'Regulatory instruments'!L15</f>
        <v/>
      </c>
      <c r="I61" s="590" t="inlineStr">
        <is>
          <t>Regulatory instruments</t>
        </is>
      </c>
      <c r="J61" s="590">
        <f>'Regulatory instruments'!C15</f>
        <v/>
      </c>
      <c r="K61" s="590">
        <f>'Regulatory instruments'!E15</f>
        <v/>
      </c>
      <c r="L61" s="590">
        <f>'Regulatory instruments'!F15</f>
        <v/>
      </c>
      <c r="M61" s="464" t="n"/>
    </row>
    <row r="62" ht="142.5" customHeight="1">
      <c r="A62" s="590">
        <f>'Regulatory instruments'!A16</f>
        <v/>
      </c>
      <c r="B62" s="590">
        <f>'Regulatory instruments'!D16</f>
        <v/>
      </c>
      <c r="C62" s="590">
        <f>'Regulatory instruments'!H16</f>
        <v/>
      </c>
      <c r="D62" s="590">
        <f>'Regulatory instruments'!G16</f>
        <v/>
      </c>
      <c r="E62" s="590">
        <f>'Regulatory instruments'!U16</f>
        <v/>
      </c>
      <c r="F62" s="590">
        <f>'Regulatory instruments'!Q16</f>
        <v/>
      </c>
      <c r="G62" s="590">
        <f>'Regulatory instruments'!R16</f>
        <v/>
      </c>
      <c r="H62" s="590">
        <f>'Regulatory instruments'!L16</f>
        <v/>
      </c>
      <c r="I62" s="590" t="inlineStr">
        <is>
          <t>Regulatory instruments</t>
        </is>
      </c>
      <c r="J62" s="590">
        <f>'Regulatory instruments'!C16</f>
        <v/>
      </c>
      <c r="K62" s="590">
        <f>'Regulatory instruments'!E16</f>
        <v/>
      </c>
      <c r="L62" s="590">
        <f>'Regulatory instruments'!F16</f>
        <v/>
      </c>
      <c r="M62" s="464" t="n"/>
    </row>
    <row r="63" ht="57" customHeight="1">
      <c r="A63" s="590">
        <f>'Regulatory instruments'!A17</f>
        <v/>
      </c>
      <c r="B63" s="590">
        <f>'Regulatory instruments'!D17</f>
        <v/>
      </c>
      <c r="C63" s="590">
        <f>'Regulatory instruments'!H17</f>
        <v/>
      </c>
      <c r="D63" s="590">
        <f>'Regulatory instruments'!G17</f>
        <v/>
      </c>
      <c r="E63" s="590">
        <f>'Regulatory instruments'!U17</f>
        <v/>
      </c>
      <c r="F63" s="590">
        <f>'Regulatory instruments'!Q17</f>
        <v/>
      </c>
      <c r="G63" s="590">
        <f>'Regulatory instruments'!R17</f>
        <v/>
      </c>
      <c r="H63" s="590">
        <f>'Regulatory instruments'!L17</f>
        <v/>
      </c>
      <c r="I63" s="590" t="inlineStr">
        <is>
          <t>Regulatory instruments</t>
        </is>
      </c>
      <c r="J63" s="590">
        <f>'Regulatory instruments'!C17</f>
        <v/>
      </c>
      <c r="K63" s="590">
        <f>'Regulatory instruments'!E17</f>
        <v/>
      </c>
      <c r="L63" s="590">
        <f>'Regulatory instruments'!F17</f>
        <v/>
      </c>
      <c r="M63" s="464" t="n"/>
    </row>
    <row r="64" ht="57" customHeight="1">
      <c r="A64" s="590">
        <f>'Regulatory instruments'!A18</f>
        <v/>
      </c>
      <c r="B64" s="590">
        <f>'Regulatory instruments'!D18</f>
        <v/>
      </c>
      <c r="C64" s="590">
        <f>'Regulatory instruments'!H18</f>
        <v/>
      </c>
      <c r="D64" s="590">
        <f>'Regulatory instruments'!G18</f>
        <v/>
      </c>
      <c r="E64" s="590">
        <f>'Regulatory instruments'!U18</f>
        <v/>
      </c>
      <c r="F64" s="590">
        <f>'Regulatory instruments'!Q18</f>
        <v/>
      </c>
      <c r="G64" s="590">
        <f>'Regulatory instruments'!R18</f>
        <v/>
      </c>
      <c r="H64" s="590">
        <f>'Regulatory instruments'!L18</f>
        <v/>
      </c>
      <c r="I64" s="590" t="inlineStr">
        <is>
          <t>Regulatory instruments</t>
        </is>
      </c>
      <c r="J64" s="590">
        <f>'Regulatory instruments'!C18</f>
        <v/>
      </c>
      <c r="K64" s="590">
        <f>'Regulatory instruments'!E18</f>
        <v/>
      </c>
      <c r="L64" s="590">
        <f>'Regulatory instruments'!F18</f>
        <v/>
      </c>
      <c r="M64" s="464" t="n"/>
    </row>
    <row r="65" ht="142.5" customHeight="1">
      <c r="A65" s="590">
        <f>'Regulatory instruments'!A19</f>
        <v/>
      </c>
      <c r="B65" s="590">
        <f>'Regulatory instruments'!D19</f>
        <v/>
      </c>
      <c r="C65" s="590">
        <f>'Regulatory instruments'!H19</f>
        <v/>
      </c>
      <c r="D65" s="590">
        <f>'Regulatory instruments'!G19</f>
        <v/>
      </c>
      <c r="E65" s="590">
        <f>'Regulatory instruments'!U19</f>
        <v/>
      </c>
      <c r="F65" s="590">
        <f>'Regulatory instruments'!Q19</f>
        <v/>
      </c>
      <c r="G65" s="590">
        <f>'Regulatory instruments'!R19</f>
        <v/>
      </c>
      <c r="H65" s="590">
        <f>'Regulatory instruments'!L19</f>
        <v/>
      </c>
      <c r="I65" s="590" t="inlineStr">
        <is>
          <t>Regulatory instruments</t>
        </is>
      </c>
      <c r="J65" s="590">
        <f>'Regulatory instruments'!C19</f>
        <v/>
      </c>
      <c r="K65" s="590">
        <f>'Regulatory instruments'!E19</f>
        <v/>
      </c>
      <c r="L65" s="590">
        <f>'Regulatory instruments'!F19</f>
        <v/>
      </c>
      <c r="M65" s="464" t="n"/>
    </row>
    <row r="66" ht="57" customHeight="1">
      <c r="A66" s="590">
        <f>'Regulatory instruments'!A20</f>
        <v/>
      </c>
      <c r="B66" s="590">
        <f>'Regulatory instruments'!D20</f>
        <v/>
      </c>
      <c r="C66" s="590">
        <f>'Regulatory instruments'!H20</f>
        <v/>
      </c>
      <c r="D66" s="590">
        <f>'Regulatory instruments'!G20</f>
        <v/>
      </c>
      <c r="E66" s="590">
        <f>'Regulatory instruments'!U20</f>
        <v/>
      </c>
      <c r="F66" s="590">
        <f>'Regulatory instruments'!Q20</f>
        <v/>
      </c>
      <c r="G66" s="590">
        <f>'Regulatory instruments'!R20</f>
        <v/>
      </c>
      <c r="H66" s="590">
        <f>'Regulatory instruments'!L20</f>
        <v/>
      </c>
      <c r="I66" s="590" t="inlineStr">
        <is>
          <t>Regulatory instruments</t>
        </is>
      </c>
      <c r="J66" s="590">
        <f>'Regulatory instruments'!C20</f>
        <v/>
      </c>
      <c r="K66" s="590">
        <f>'Regulatory instruments'!E20</f>
        <v/>
      </c>
      <c r="L66" s="590">
        <f>'Regulatory instruments'!F20</f>
        <v/>
      </c>
      <c r="M66" s="464" t="n"/>
    </row>
    <row r="67" ht="57" customHeight="1">
      <c r="A67" s="590">
        <f>'Regulatory instruments'!A21</f>
        <v/>
      </c>
      <c r="B67" s="590">
        <f>'Regulatory instruments'!D21</f>
        <v/>
      </c>
      <c r="C67" s="590">
        <f>'Regulatory instruments'!H21</f>
        <v/>
      </c>
      <c r="D67" s="590">
        <f>'Regulatory instruments'!G21</f>
        <v/>
      </c>
      <c r="E67" s="590">
        <f>'Regulatory instruments'!U21</f>
        <v/>
      </c>
      <c r="F67" s="590">
        <f>'Regulatory instruments'!Q21</f>
        <v/>
      </c>
      <c r="G67" s="590">
        <f>'Regulatory instruments'!R21</f>
        <v/>
      </c>
      <c r="H67" s="590">
        <f>'Regulatory instruments'!L21</f>
        <v/>
      </c>
      <c r="I67" s="590" t="inlineStr">
        <is>
          <t>Regulatory instruments</t>
        </is>
      </c>
      <c r="J67" s="590">
        <f>'Regulatory instruments'!C21</f>
        <v/>
      </c>
      <c r="K67" s="590">
        <f>'Regulatory instruments'!E21</f>
        <v/>
      </c>
      <c r="L67" s="590">
        <f>'Regulatory instruments'!F21</f>
        <v/>
      </c>
      <c r="M67" s="464" t="n"/>
    </row>
    <row r="68" ht="71.25" customHeight="1">
      <c r="A68" s="590">
        <f>'Regulatory instruments'!A22</f>
        <v/>
      </c>
      <c r="B68" s="590">
        <f>'Regulatory instruments'!D22</f>
        <v/>
      </c>
      <c r="C68" s="590">
        <f>'Regulatory instruments'!H22</f>
        <v/>
      </c>
      <c r="D68" s="590">
        <f>'Regulatory instruments'!G22</f>
        <v/>
      </c>
      <c r="E68" s="590">
        <f>'Regulatory instruments'!U22</f>
        <v/>
      </c>
      <c r="F68" s="590">
        <f>'Regulatory instruments'!Q22</f>
        <v/>
      </c>
      <c r="G68" s="590">
        <f>'Regulatory instruments'!R22</f>
        <v/>
      </c>
      <c r="H68" s="590">
        <f>'Regulatory instruments'!L22</f>
        <v/>
      </c>
      <c r="I68" s="590" t="inlineStr">
        <is>
          <t>Regulatory instruments</t>
        </is>
      </c>
      <c r="J68" s="590">
        <f>'Regulatory instruments'!C22</f>
        <v/>
      </c>
      <c r="K68" s="590">
        <f>'Regulatory instruments'!E22</f>
        <v/>
      </c>
      <c r="L68" s="590">
        <f>'Regulatory instruments'!F22</f>
        <v/>
      </c>
      <c r="M68" s="464" t="n"/>
    </row>
    <row r="69" ht="85.5" customHeight="1">
      <c r="A69" s="590">
        <f>'Regulatory instruments'!A23</f>
        <v/>
      </c>
      <c r="B69" s="590">
        <f>'Regulatory instruments'!D23</f>
        <v/>
      </c>
      <c r="C69" s="590">
        <f>'Regulatory instruments'!H23</f>
        <v/>
      </c>
      <c r="D69" s="590">
        <f>'Regulatory instruments'!G23</f>
        <v/>
      </c>
      <c r="E69" s="590">
        <f>'Regulatory instruments'!U23</f>
        <v/>
      </c>
      <c r="F69" s="590">
        <f>'Regulatory instruments'!Q23</f>
        <v/>
      </c>
      <c r="G69" s="590">
        <f>'Regulatory instruments'!R23</f>
        <v/>
      </c>
      <c r="H69" s="590">
        <f>'Regulatory instruments'!L23</f>
        <v/>
      </c>
      <c r="I69" s="590" t="inlineStr">
        <is>
          <t>Regulatory instruments</t>
        </is>
      </c>
      <c r="J69" s="590">
        <f>'Regulatory instruments'!C23</f>
        <v/>
      </c>
      <c r="K69" s="590">
        <f>'Regulatory instruments'!E23</f>
        <v/>
      </c>
      <c r="L69" s="590">
        <f>'Regulatory instruments'!F23</f>
        <v/>
      </c>
      <c r="M69" s="464" t="n"/>
    </row>
    <row r="70" ht="57" customHeight="1">
      <c r="A70" s="590">
        <f>'Regulatory instruments'!A24</f>
        <v/>
      </c>
      <c r="B70" s="590">
        <f>'Regulatory instruments'!D24</f>
        <v/>
      </c>
      <c r="C70" s="590">
        <f>'Regulatory instruments'!H24</f>
        <v/>
      </c>
      <c r="D70" s="590">
        <f>'Regulatory instruments'!G24</f>
        <v/>
      </c>
      <c r="E70" s="590">
        <f>'Regulatory instruments'!U24</f>
        <v/>
      </c>
      <c r="F70" s="590">
        <f>'Regulatory instruments'!Q24</f>
        <v/>
      </c>
      <c r="G70" s="590">
        <f>'Regulatory instruments'!R24</f>
        <v/>
      </c>
      <c r="H70" s="590">
        <f>'Regulatory instruments'!L24</f>
        <v/>
      </c>
      <c r="I70" s="590" t="inlineStr">
        <is>
          <t>Regulatory instruments</t>
        </is>
      </c>
      <c r="J70" s="590">
        <f>'Regulatory instruments'!C24</f>
        <v/>
      </c>
      <c r="K70" s="590">
        <f>'Regulatory instruments'!E24</f>
        <v/>
      </c>
      <c r="L70" s="590">
        <f>'Regulatory instruments'!F24</f>
        <v/>
      </c>
      <c r="M70" s="464" t="n"/>
    </row>
    <row r="71" ht="57" customHeight="1">
      <c r="A71" s="590">
        <f>'Regulatory instruments'!A25</f>
        <v/>
      </c>
      <c r="B71" s="590">
        <f>'Regulatory instruments'!D25</f>
        <v/>
      </c>
      <c r="C71" s="590">
        <f>'Regulatory instruments'!H25</f>
        <v/>
      </c>
      <c r="D71" s="590">
        <f>'Regulatory instruments'!G25</f>
        <v/>
      </c>
      <c r="E71" s="590">
        <f>'Regulatory instruments'!U25</f>
        <v/>
      </c>
      <c r="F71" s="590">
        <f>'Regulatory instruments'!Q25</f>
        <v/>
      </c>
      <c r="G71" s="590">
        <f>'Regulatory instruments'!R25</f>
        <v/>
      </c>
      <c r="H71" s="590">
        <f>'Regulatory instruments'!L25</f>
        <v/>
      </c>
      <c r="I71" s="590" t="inlineStr">
        <is>
          <t>Regulatory instruments</t>
        </is>
      </c>
      <c r="J71" s="590">
        <f>'Regulatory instruments'!C25</f>
        <v/>
      </c>
      <c r="K71" s="590">
        <f>'Regulatory instruments'!E25</f>
        <v/>
      </c>
      <c r="L71" s="590">
        <f>'Regulatory instruments'!F25</f>
        <v/>
      </c>
      <c r="M71" s="464" t="n"/>
    </row>
    <row r="72" ht="57" customHeight="1">
      <c r="A72" s="590">
        <f>'Regulatory instruments'!A26</f>
        <v/>
      </c>
      <c r="B72" s="590">
        <f>'Regulatory instruments'!D26</f>
        <v/>
      </c>
      <c r="C72" s="590">
        <f>'Regulatory instruments'!H26</f>
        <v/>
      </c>
      <c r="D72" s="590">
        <f>'Regulatory instruments'!G26</f>
        <v/>
      </c>
      <c r="E72" s="590">
        <f>'Regulatory instruments'!U26</f>
        <v/>
      </c>
      <c r="F72" s="590">
        <f>'Regulatory instruments'!Q26</f>
        <v/>
      </c>
      <c r="G72" s="590">
        <f>'Regulatory instruments'!R26</f>
        <v/>
      </c>
      <c r="H72" s="590">
        <f>'Regulatory instruments'!L26</f>
        <v/>
      </c>
      <c r="I72" s="590" t="inlineStr">
        <is>
          <t>Regulatory instruments</t>
        </is>
      </c>
      <c r="J72" s="590">
        <f>'Regulatory instruments'!C26</f>
        <v/>
      </c>
      <c r="K72" s="590">
        <f>'Regulatory instruments'!E26</f>
        <v/>
      </c>
      <c r="L72" s="590">
        <f>'Regulatory instruments'!F26</f>
        <v/>
      </c>
      <c r="M72" s="464" t="n"/>
    </row>
    <row r="73" ht="57" customHeight="1">
      <c r="A73" s="590">
        <f>'Regulatory instruments'!A27</f>
        <v/>
      </c>
      <c r="B73" s="590">
        <f>'Regulatory instruments'!D27</f>
        <v/>
      </c>
      <c r="C73" s="590">
        <f>'Regulatory instruments'!H27</f>
        <v/>
      </c>
      <c r="D73" s="590">
        <f>'Regulatory instruments'!G27</f>
        <v/>
      </c>
      <c r="E73" s="590">
        <f>'Regulatory instruments'!U27</f>
        <v/>
      </c>
      <c r="F73" s="590">
        <f>'Regulatory instruments'!Q27</f>
        <v/>
      </c>
      <c r="G73" s="590">
        <f>'Regulatory instruments'!R27</f>
        <v/>
      </c>
      <c r="H73" s="590">
        <f>'Regulatory instruments'!L27</f>
        <v/>
      </c>
      <c r="I73" s="590" t="inlineStr">
        <is>
          <t>Regulatory instruments</t>
        </is>
      </c>
      <c r="J73" s="590">
        <f>'Regulatory instruments'!C27</f>
        <v/>
      </c>
      <c r="K73" s="590">
        <f>'Regulatory instruments'!E27</f>
        <v/>
      </c>
      <c r="L73" s="590">
        <f>'Regulatory instruments'!F27</f>
        <v/>
      </c>
      <c r="M73" s="464" t="n"/>
    </row>
    <row r="74" ht="57" customHeight="1">
      <c r="A74" s="590">
        <f>'Regulatory instruments'!A28</f>
        <v/>
      </c>
      <c r="B74" s="590">
        <f>'Regulatory instruments'!D28</f>
        <v/>
      </c>
      <c r="C74" s="590">
        <f>'Regulatory instruments'!H28</f>
        <v/>
      </c>
      <c r="D74" s="590">
        <f>'Regulatory instruments'!G28</f>
        <v/>
      </c>
      <c r="E74" s="590">
        <f>'Regulatory instruments'!U28</f>
        <v/>
      </c>
      <c r="F74" s="590">
        <f>'Regulatory instruments'!Q28</f>
        <v/>
      </c>
      <c r="G74" s="590">
        <f>'Regulatory instruments'!R28</f>
        <v/>
      </c>
      <c r="H74" s="590">
        <f>'Regulatory instruments'!L28</f>
        <v/>
      </c>
      <c r="I74" s="590" t="inlineStr">
        <is>
          <t>Regulatory instruments</t>
        </is>
      </c>
      <c r="J74" s="590">
        <f>'Regulatory instruments'!C28</f>
        <v/>
      </c>
      <c r="K74" s="590">
        <f>'Regulatory instruments'!E28</f>
        <v/>
      </c>
      <c r="L74" s="590">
        <f>'Regulatory instruments'!F28</f>
        <v/>
      </c>
      <c r="M74" s="464" t="n"/>
    </row>
    <row r="75" ht="57" customHeight="1">
      <c r="A75" s="590">
        <f>'Regulatory instruments'!A29</f>
        <v/>
      </c>
      <c r="B75" s="590">
        <f>'Regulatory instruments'!D29</f>
        <v/>
      </c>
      <c r="C75" s="590">
        <f>'Regulatory instruments'!H29</f>
        <v/>
      </c>
      <c r="D75" s="590">
        <f>'Regulatory instruments'!G29</f>
        <v/>
      </c>
      <c r="E75" s="590">
        <f>'Regulatory instruments'!U29</f>
        <v/>
      </c>
      <c r="F75" s="590">
        <f>'Regulatory instruments'!Q29</f>
        <v/>
      </c>
      <c r="G75" s="590">
        <f>'Regulatory instruments'!R29</f>
        <v/>
      </c>
      <c r="H75" s="590">
        <f>'Regulatory instruments'!L29</f>
        <v/>
      </c>
      <c r="I75" s="590" t="inlineStr">
        <is>
          <t>Regulatory instruments</t>
        </is>
      </c>
      <c r="J75" s="590">
        <f>'Regulatory instruments'!C29</f>
        <v/>
      </c>
      <c r="K75" s="590">
        <f>'Regulatory instruments'!E29</f>
        <v/>
      </c>
      <c r="L75" s="590">
        <f>'Regulatory instruments'!F29</f>
        <v/>
      </c>
      <c r="M75" s="464" t="n"/>
    </row>
    <row r="76" ht="57" customHeight="1">
      <c r="A76" s="590">
        <f>'Regulatory instruments'!A30</f>
        <v/>
      </c>
      <c r="B76" s="590">
        <f>'Regulatory instruments'!D30</f>
        <v/>
      </c>
      <c r="C76" s="590">
        <f>'Regulatory instruments'!H30</f>
        <v/>
      </c>
      <c r="D76" s="590">
        <f>'Regulatory instruments'!G30</f>
        <v/>
      </c>
      <c r="E76" s="590">
        <f>'Regulatory instruments'!U30</f>
        <v/>
      </c>
      <c r="F76" s="590">
        <f>'Regulatory instruments'!Q30</f>
        <v/>
      </c>
      <c r="G76" s="590">
        <f>'Regulatory instruments'!R30</f>
        <v/>
      </c>
      <c r="H76" s="590">
        <f>'Regulatory instruments'!L30</f>
        <v/>
      </c>
      <c r="I76" s="590" t="inlineStr">
        <is>
          <t>Regulatory instruments</t>
        </is>
      </c>
      <c r="J76" s="590">
        <f>'Regulatory instruments'!C30</f>
        <v/>
      </c>
      <c r="K76" s="590">
        <f>'Regulatory instruments'!E30</f>
        <v/>
      </c>
      <c r="L76" s="590">
        <f>'Regulatory instruments'!F30</f>
        <v/>
      </c>
      <c r="M76" s="464" t="n"/>
    </row>
    <row r="77" ht="57" customHeight="1">
      <c r="A77" s="590">
        <f>'Regulatory instruments'!A31</f>
        <v/>
      </c>
      <c r="B77" s="590">
        <f>'Regulatory instruments'!D31</f>
        <v/>
      </c>
      <c r="C77" s="590">
        <f>'Regulatory instruments'!H31</f>
        <v/>
      </c>
      <c r="D77" s="590">
        <f>'Regulatory instruments'!G31</f>
        <v/>
      </c>
      <c r="E77" s="590">
        <f>'Regulatory instruments'!U31</f>
        <v/>
      </c>
      <c r="F77" s="590">
        <f>'Regulatory instruments'!Q31</f>
        <v/>
      </c>
      <c r="G77" s="590">
        <f>'Regulatory instruments'!R31</f>
        <v/>
      </c>
      <c r="H77" s="590">
        <f>'Regulatory instruments'!L31</f>
        <v/>
      </c>
      <c r="I77" s="590" t="inlineStr">
        <is>
          <t>Regulatory instruments</t>
        </is>
      </c>
      <c r="J77" s="590">
        <f>'Regulatory instruments'!C31</f>
        <v/>
      </c>
      <c r="K77" s="590">
        <f>'Regulatory instruments'!E31</f>
        <v/>
      </c>
      <c r="L77" s="590">
        <f>'Regulatory instruments'!F31</f>
        <v/>
      </c>
      <c r="M77" s="464" t="n"/>
    </row>
    <row r="78" ht="57" customHeight="1">
      <c r="A78" s="590">
        <f>'Regulatory instruments'!A32</f>
        <v/>
      </c>
      <c r="B78" s="590">
        <f>'Regulatory instruments'!D32</f>
        <v/>
      </c>
      <c r="C78" s="590">
        <f>'Regulatory instruments'!H32</f>
        <v/>
      </c>
      <c r="D78" s="590">
        <f>'Regulatory instruments'!G32</f>
        <v/>
      </c>
      <c r="E78" s="590">
        <f>'Regulatory instruments'!U32</f>
        <v/>
      </c>
      <c r="F78" s="590">
        <f>'Regulatory instruments'!Q32</f>
        <v/>
      </c>
      <c r="G78" s="590">
        <f>'Regulatory instruments'!R32</f>
        <v/>
      </c>
      <c r="H78" s="590">
        <f>'Regulatory instruments'!L32</f>
        <v/>
      </c>
      <c r="I78" s="590" t="inlineStr">
        <is>
          <t>Regulatory instruments</t>
        </is>
      </c>
      <c r="J78" s="590">
        <f>'Regulatory instruments'!C32</f>
        <v/>
      </c>
      <c r="K78" s="590">
        <f>'Regulatory instruments'!E32</f>
        <v/>
      </c>
      <c r="L78" s="590">
        <f>'Regulatory instruments'!F32</f>
        <v/>
      </c>
      <c r="M78" s="464" t="n"/>
    </row>
    <row r="79" ht="71.25" customHeight="1">
      <c r="A79" s="590">
        <f>'Regulatory instruments'!A33</f>
        <v/>
      </c>
      <c r="B79" s="590">
        <f>'Regulatory instruments'!D33</f>
        <v/>
      </c>
      <c r="C79" s="590">
        <f>'Regulatory instruments'!H33</f>
        <v/>
      </c>
      <c r="D79" s="590">
        <f>'Regulatory instruments'!G33</f>
        <v/>
      </c>
      <c r="E79" s="590">
        <f>'Regulatory instruments'!U33</f>
        <v/>
      </c>
      <c r="F79" s="590">
        <f>'Regulatory instruments'!Q33</f>
        <v/>
      </c>
      <c r="G79" s="590">
        <f>'Regulatory instruments'!R33</f>
        <v/>
      </c>
      <c r="H79" s="590">
        <f>'Regulatory instruments'!L33</f>
        <v/>
      </c>
      <c r="I79" s="590" t="inlineStr">
        <is>
          <t>Regulatory instruments</t>
        </is>
      </c>
      <c r="J79" s="590">
        <f>'Regulatory instruments'!C33</f>
        <v/>
      </c>
      <c r="K79" s="590">
        <f>'Regulatory instruments'!E33</f>
        <v/>
      </c>
      <c r="L79" s="590">
        <f>'Regulatory instruments'!F33</f>
        <v/>
      </c>
      <c r="M79" s="464" t="n"/>
    </row>
    <row r="80" ht="114" customHeight="1">
      <c r="A80" s="590">
        <f>'Regulatory instruments'!A34</f>
        <v/>
      </c>
      <c r="B80" s="590">
        <f>'Regulatory instruments'!D34</f>
        <v/>
      </c>
      <c r="C80" s="590">
        <f>'Regulatory instruments'!H34</f>
        <v/>
      </c>
      <c r="D80" s="590">
        <f>'Regulatory instruments'!G34</f>
        <v/>
      </c>
      <c r="E80" s="590">
        <f>'Regulatory instruments'!U34</f>
        <v/>
      </c>
      <c r="F80" s="590">
        <f>'Regulatory instruments'!Q34</f>
        <v/>
      </c>
      <c r="G80" s="590">
        <f>'Regulatory instruments'!R34</f>
        <v/>
      </c>
      <c r="H80" s="590">
        <f>'Regulatory instruments'!L34</f>
        <v/>
      </c>
      <c r="I80" s="590" t="inlineStr">
        <is>
          <t>Regulatory instruments</t>
        </is>
      </c>
      <c r="J80" s="590">
        <f>'Regulatory instruments'!C34</f>
        <v/>
      </c>
      <c r="K80" s="590">
        <f>'Regulatory instruments'!E34</f>
        <v/>
      </c>
      <c r="L80" s="590">
        <f>'Regulatory instruments'!F34</f>
        <v/>
      </c>
      <c r="M80" s="464" t="n"/>
    </row>
    <row r="81" ht="114" customHeight="1">
      <c r="A81" s="590">
        <f>'Regulatory instruments'!A35</f>
        <v/>
      </c>
      <c r="B81" s="590">
        <f>'Regulatory instruments'!D35</f>
        <v/>
      </c>
      <c r="C81" s="590">
        <f>'Regulatory instruments'!H35</f>
        <v/>
      </c>
      <c r="D81" s="590">
        <f>'Regulatory instruments'!G35</f>
        <v/>
      </c>
      <c r="E81" s="590">
        <f>'Regulatory instruments'!U35</f>
        <v/>
      </c>
      <c r="F81" s="590">
        <f>'Regulatory instruments'!Q35</f>
        <v/>
      </c>
      <c r="G81" s="590">
        <f>'Regulatory instruments'!R35</f>
        <v/>
      </c>
      <c r="H81" s="590">
        <f>'Regulatory instruments'!L35</f>
        <v/>
      </c>
      <c r="I81" s="590" t="inlineStr">
        <is>
          <t>Regulatory instruments</t>
        </is>
      </c>
      <c r="J81" s="590">
        <f>'Regulatory instruments'!C35</f>
        <v/>
      </c>
      <c r="K81" s="590">
        <f>'Regulatory instruments'!E35</f>
        <v/>
      </c>
      <c r="L81" s="590">
        <f>'Regulatory instruments'!F35</f>
        <v/>
      </c>
      <c r="M81" s="464" t="n"/>
    </row>
    <row r="82" ht="114" customHeight="1">
      <c r="A82" s="590">
        <f>'Regulatory instruments'!A36</f>
        <v/>
      </c>
      <c r="B82" s="590">
        <f>'Regulatory instruments'!D36</f>
        <v/>
      </c>
      <c r="C82" s="590">
        <f>'Regulatory instruments'!H36</f>
        <v/>
      </c>
      <c r="D82" s="590">
        <f>'Regulatory instruments'!G36</f>
        <v/>
      </c>
      <c r="E82" s="590">
        <f>'Regulatory instruments'!U36</f>
        <v/>
      </c>
      <c r="F82" s="590">
        <f>'Regulatory instruments'!Q36</f>
        <v/>
      </c>
      <c r="G82" s="590">
        <f>'Regulatory instruments'!R36</f>
        <v/>
      </c>
      <c r="H82" s="590">
        <f>'Regulatory instruments'!L36</f>
        <v/>
      </c>
      <c r="I82" s="590" t="inlineStr">
        <is>
          <t>Regulatory instruments</t>
        </is>
      </c>
      <c r="J82" s="590">
        <f>'Regulatory instruments'!C36</f>
        <v/>
      </c>
      <c r="K82" s="590">
        <f>'Regulatory instruments'!E36</f>
        <v/>
      </c>
      <c r="L82" s="590">
        <f>'Regulatory instruments'!F36</f>
        <v/>
      </c>
      <c r="M82" s="464" t="n"/>
    </row>
    <row r="83" ht="114" customHeight="1">
      <c r="A83" s="590">
        <f>'Regulatory instruments'!A37</f>
        <v/>
      </c>
      <c r="B83" s="590">
        <f>'Regulatory instruments'!D37</f>
        <v/>
      </c>
      <c r="C83" s="590">
        <f>'Regulatory instruments'!H37</f>
        <v/>
      </c>
      <c r="D83" s="590">
        <f>'Regulatory instruments'!G37</f>
        <v/>
      </c>
      <c r="E83" s="590">
        <f>'Regulatory instruments'!U37</f>
        <v/>
      </c>
      <c r="F83" s="590">
        <f>'Regulatory instruments'!Q37</f>
        <v/>
      </c>
      <c r="G83" s="590">
        <f>'Regulatory instruments'!R37</f>
        <v/>
      </c>
      <c r="H83" s="590">
        <f>'Regulatory instruments'!L37</f>
        <v/>
      </c>
      <c r="I83" s="590" t="inlineStr">
        <is>
          <t>Regulatory instruments</t>
        </is>
      </c>
      <c r="J83" s="590">
        <f>'Regulatory instruments'!C37</f>
        <v/>
      </c>
      <c r="K83" s="590">
        <f>'Regulatory instruments'!E37</f>
        <v/>
      </c>
      <c r="L83" s="590">
        <f>'Regulatory instruments'!F37</f>
        <v/>
      </c>
      <c r="M83" s="464" t="n"/>
    </row>
    <row r="84" ht="114" customHeight="1">
      <c r="A84" s="590">
        <f>'Regulatory instruments'!A38</f>
        <v/>
      </c>
      <c r="B84" s="590">
        <f>'Regulatory instruments'!D38</f>
        <v/>
      </c>
      <c r="C84" s="590">
        <f>'Regulatory instruments'!H38</f>
        <v/>
      </c>
      <c r="D84" s="590">
        <f>'Regulatory instruments'!G38</f>
        <v/>
      </c>
      <c r="E84" s="590">
        <f>'Regulatory instruments'!U38</f>
        <v/>
      </c>
      <c r="F84" s="590">
        <f>'Regulatory instruments'!Q38</f>
        <v/>
      </c>
      <c r="G84" s="590">
        <f>'Regulatory instruments'!R38</f>
        <v/>
      </c>
      <c r="H84" s="590">
        <f>'Regulatory instruments'!L38</f>
        <v/>
      </c>
      <c r="I84" s="590" t="inlineStr">
        <is>
          <t>Regulatory instruments</t>
        </is>
      </c>
      <c r="J84" s="590">
        <f>'Regulatory instruments'!C38</f>
        <v/>
      </c>
      <c r="K84" s="590">
        <f>'Regulatory instruments'!E38</f>
        <v/>
      </c>
      <c r="L84" s="590">
        <f>'Regulatory instruments'!F38</f>
        <v/>
      </c>
      <c r="M84" s="464" t="n"/>
    </row>
    <row r="85" ht="114" customHeight="1">
      <c r="A85" s="590">
        <f>'Regulatory instruments'!A39</f>
        <v/>
      </c>
      <c r="B85" s="590">
        <f>'Regulatory instruments'!D39</f>
        <v/>
      </c>
      <c r="C85" s="590">
        <f>'Regulatory instruments'!H39</f>
        <v/>
      </c>
      <c r="D85" s="590">
        <f>'Regulatory instruments'!G39</f>
        <v/>
      </c>
      <c r="E85" s="590">
        <f>'Regulatory instruments'!U39</f>
        <v/>
      </c>
      <c r="F85" s="590">
        <f>'Regulatory instruments'!Q39</f>
        <v/>
      </c>
      <c r="G85" s="590">
        <f>'Regulatory instruments'!R39</f>
        <v/>
      </c>
      <c r="H85" s="590">
        <f>'Regulatory instruments'!L39</f>
        <v/>
      </c>
      <c r="I85" s="590" t="inlineStr">
        <is>
          <t>Regulatory instruments</t>
        </is>
      </c>
      <c r="J85" s="590">
        <f>'Regulatory instruments'!C39</f>
        <v/>
      </c>
      <c r="K85" s="590">
        <f>'Regulatory instruments'!E39</f>
        <v/>
      </c>
      <c r="L85" s="590">
        <f>'Regulatory instruments'!F39</f>
        <v/>
      </c>
      <c r="M85" s="464" t="n"/>
    </row>
    <row r="86" ht="114" customHeight="1">
      <c r="A86" s="590">
        <f>'Regulatory instruments'!A40</f>
        <v/>
      </c>
      <c r="B86" s="590">
        <f>'Regulatory instruments'!D40</f>
        <v/>
      </c>
      <c r="C86" s="590">
        <f>'Regulatory instruments'!H40</f>
        <v/>
      </c>
      <c r="D86" s="590">
        <f>'Regulatory instruments'!G40</f>
        <v/>
      </c>
      <c r="E86" s="590">
        <f>'Regulatory instruments'!U40</f>
        <v/>
      </c>
      <c r="F86" s="590">
        <f>'Regulatory instruments'!Q40</f>
        <v/>
      </c>
      <c r="G86" s="590">
        <f>'Regulatory instruments'!R40</f>
        <v/>
      </c>
      <c r="H86" s="590">
        <f>'Regulatory instruments'!L40</f>
        <v/>
      </c>
      <c r="I86" s="590" t="inlineStr">
        <is>
          <t>Regulatory instruments</t>
        </is>
      </c>
      <c r="J86" s="590">
        <f>'Regulatory instruments'!C40</f>
        <v/>
      </c>
      <c r="K86" s="590">
        <f>'Regulatory instruments'!E40</f>
        <v/>
      </c>
      <c r="L86" s="590">
        <f>'Regulatory instruments'!F40</f>
        <v/>
      </c>
      <c r="M86" s="464" t="n"/>
    </row>
    <row r="87" ht="114" customHeight="1">
      <c r="A87" s="590">
        <f>'Regulatory instruments'!A41</f>
        <v/>
      </c>
      <c r="B87" s="590">
        <f>'Regulatory instruments'!D41</f>
        <v/>
      </c>
      <c r="C87" s="590">
        <f>'Regulatory instruments'!H41</f>
        <v/>
      </c>
      <c r="D87" s="590">
        <f>'Regulatory instruments'!G41</f>
        <v/>
      </c>
      <c r="E87" s="590">
        <f>'Regulatory instruments'!U41</f>
        <v/>
      </c>
      <c r="F87" s="590">
        <f>'Regulatory instruments'!Q41</f>
        <v/>
      </c>
      <c r="G87" s="590">
        <f>'Regulatory instruments'!R41</f>
        <v/>
      </c>
      <c r="H87" s="590">
        <f>'Regulatory instruments'!L41</f>
        <v/>
      </c>
      <c r="I87" s="590" t="inlineStr">
        <is>
          <t>Regulatory instruments</t>
        </is>
      </c>
      <c r="J87" s="590">
        <f>'Regulatory instruments'!C41</f>
        <v/>
      </c>
      <c r="K87" s="590">
        <f>'Regulatory instruments'!E41</f>
        <v/>
      </c>
      <c r="L87" s="590">
        <f>'Regulatory instruments'!F41</f>
        <v/>
      </c>
      <c r="M87" s="464" t="n"/>
    </row>
    <row r="88" ht="114" customHeight="1">
      <c r="A88" s="590">
        <f>'Regulatory instruments'!A42</f>
        <v/>
      </c>
      <c r="B88" s="590">
        <f>'Regulatory instruments'!D42</f>
        <v/>
      </c>
      <c r="C88" s="590">
        <f>'Regulatory instruments'!H42</f>
        <v/>
      </c>
      <c r="D88" s="590">
        <f>'Regulatory instruments'!G42</f>
        <v/>
      </c>
      <c r="E88" s="590">
        <f>'Regulatory instruments'!U42</f>
        <v/>
      </c>
      <c r="F88" s="590">
        <f>'Regulatory instruments'!Q42</f>
        <v/>
      </c>
      <c r="G88" s="590">
        <f>'Regulatory instruments'!R42</f>
        <v/>
      </c>
      <c r="H88" s="590">
        <f>'Regulatory instruments'!L42</f>
        <v/>
      </c>
      <c r="I88" s="590" t="inlineStr">
        <is>
          <t>Regulatory instruments</t>
        </is>
      </c>
      <c r="J88" s="590">
        <f>'Regulatory instruments'!C42</f>
        <v/>
      </c>
      <c r="K88" s="590">
        <f>'Regulatory instruments'!E42</f>
        <v/>
      </c>
      <c r="L88" s="590">
        <f>'Regulatory instruments'!F42</f>
        <v/>
      </c>
      <c r="M88" s="464" t="n"/>
    </row>
    <row r="89" ht="114" customHeight="1">
      <c r="A89" s="590">
        <f>'Regulatory instruments'!A43</f>
        <v/>
      </c>
      <c r="B89" s="590">
        <f>'Regulatory instruments'!D43</f>
        <v/>
      </c>
      <c r="C89" s="590">
        <f>'Regulatory instruments'!H43</f>
        <v/>
      </c>
      <c r="D89" s="590">
        <f>'Regulatory instruments'!G43</f>
        <v/>
      </c>
      <c r="E89" s="590">
        <f>'Regulatory instruments'!U43</f>
        <v/>
      </c>
      <c r="F89" s="590">
        <f>'Regulatory instruments'!Q43</f>
        <v/>
      </c>
      <c r="G89" s="590">
        <f>'Regulatory instruments'!R43</f>
        <v/>
      </c>
      <c r="H89" s="590">
        <f>'Regulatory instruments'!L43</f>
        <v/>
      </c>
      <c r="I89" s="590" t="inlineStr">
        <is>
          <t>Regulatory instruments</t>
        </is>
      </c>
      <c r="J89" s="590">
        <f>'Regulatory instruments'!C43</f>
        <v/>
      </c>
      <c r="K89" s="590">
        <f>'Regulatory instruments'!E43</f>
        <v/>
      </c>
      <c r="L89" s="590">
        <f>'Regulatory instruments'!F43</f>
        <v/>
      </c>
      <c r="M89" s="464" t="n"/>
    </row>
    <row r="90" ht="114" customHeight="1">
      <c r="A90" s="590">
        <f>'Regulatory instruments'!A44</f>
        <v/>
      </c>
      <c r="B90" s="590">
        <f>'Regulatory instruments'!D44</f>
        <v/>
      </c>
      <c r="C90" s="590">
        <f>'Regulatory instruments'!H44</f>
        <v/>
      </c>
      <c r="D90" s="590">
        <f>'Regulatory instruments'!G44</f>
        <v/>
      </c>
      <c r="E90" s="590">
        <f>'Regulatory instruments'!U44</f>
        <v/>
      </c>
      <c r="F90" s="590">
        <f>'Regulatory instruments'!Q44</f>
        <v/>
      </c>
      <c r="G90" s="590">
        <f>'Regulatory instruments'!R44</f>
        <v/>
      </c>
      <c r="H90" s="590">
        <f>'Regulatory instruments'!L44</f>
        <v/>
      </c>
      <c r="I90" s="590" t="inlineStr">
        <is>
          <t>Regulatory instruments</t>
        </is>
      </c>
      <c r="J90" s="590">
        <f>'Regulatory instruments'!C44</f>
        <v/>
      </c>
      <c r="K90" s="590">
        <f>'Regulatory instruments'!E44</f>
        <v/>
      </c>
      <c r="L90" s="590">
        <f>'Regulatory instruments'!F44</f>
        <v/>
      </c>
      <c r="M90" s="464" t="n"/>
    </row>
    <row r="91" ht="114" customHeight="1">
      <c r="A91" s="590">
        <f>'Regulatory instruments'!A45</f>
        <v/>
      </c>
      <c r="B91" s="590">
        <f>'Regulatory instruments'!D45</f>
        <v/>
      </c>
      <c r="C91" s="590">
        <f>'Regulatory instruments'!H45</f>
        <v/>
      </c>
      <c r="D91" s="590">
        <f>'Regulatory instruments'!G45</f>
        <v/>
      </c>
      <c r="E91" s="590">
        <f>'Regulatory instruments'!U45</f>
        <v/>
      </c>
      <c r="F91" s="590">
        <f>'Regulatory instruments'!Q45</f>
        <v/>
      </c>
      <c r="G91" s="590">
        <f>'Regulatory instruments'!R45</f>
        <v/>
      </c>
      <c r="H91" s="590">
        <f>'Regulatory instruments'!L45</f>
        <v/>
      </c>
      <c r="I91" s="590" t="inlineStr">
        <is>
          <t>Regulatory instruments</t>
        </is>
      </c>
      <c r="J91" s="590">
        <f>'Regulatory instruments'!C45</f>
        <v/>
      </c>
      <c r="K91" s="590">
        <f>'Regulatory instruments'!E45</f>
        <v/>
      </c>
      <c r="L91" s="590">
        <f>'Regulatory instruments'!F45</f>
        <v/>
      </c>
      <c r="M91" s="464" t="n"/>
    </row>
    <row r="92" ht="114" customHeight="1">
      <c r="A92" s="590">
        <f>'Regulatory instruments'!A46</f>
        <v/>
      </c>
      <c r="B92" s="590">
        <f>'Regulatory instruments'!D46</f>
        <v/>
      </c>
      <c r="C92" s="590">
        <f>'Regulatory instruments'!H46</f>
        <v/>
      </c>
      <c r="D92" s="590">
        <f>'Regulatory instruments'!G46</f>
        <v/>
      </c>
      <c r="E92" s="590">
        <f>'Regulatory instruments'!U46</f>
        <v/>
      </c>
      <c r="F92" s="590">
        <f>'Regulatory instruments'!Q46</f>
        <v/>
      </c>
      <c r="G92" s="590">
        <f>'Regulatory instruments'!R46</f>
        <v/>
      </c>
      <c r="H92" s="590">
        <f>'Regulatory instruments'!L46</f>
        <v/>
      </c>
      <c r="I92" s="590" t="inlineStr">
        <is>
          <t>Regulatory instruments</t>
        </is>
      </c>
      <c r="J92" s="590">
        <f>'Regulatory instruments'!C46</f>
        <v/>
      </c>
      <c r="K92" s="590">
        <f>'Regulatory instruments'!E46</f>
        <v/>
      </c>
      <c r="L92" s="590">
        <f>'Regulatory instruments'!F46</f>
        <v/>
      </c>
      <c r="M92" s="464" t="n"/>
    </row>
    <row r="93" ht="114" customHeight="1">
      <c r="A93" s="590">
        <f>'Regulatory instruments'!A47</f>
        <v/>
      </c>
      <c r="B93" s="590">
        <f>'Regulatory instruments'!D47</f>
        <v/>
      </c>
      <c r="C93" s="590">
        <f>'Regulatory instruments'!H47</f>
        <v/>
      </c>
      <c r="D93" s="590">
        <f>'Regulatory instruments'!G47</f>
        <v/>
      </c>
      <c r="E93" s="590">
        <f>'Regulatory instruments'!U47</f>
        <v/>
      </c>
      <c r="F93" s="590">
        <f>'Regulatory instruments'!Q47</f>
        <v/>
      </c>
      <c r="G93" s="590">
        <f>'Regulatory instruments'!R47</f>
        <v/>
      </c>
      <c r="H93" s="590">
        <f>'Regulatory instruments'!L47</f>
        <v/>
      </c>
      <c r="I93" s="590" t="inlineStr">
        <is>
          <t>Regulatory instruments</t>
        </is>
      </c>
      <c r="J93" s="590">
        <f>'Regulatory instruments'!C47</f>
        <v/>
      </c>
      <c r="K93" s="590">
        <f>'Regulatory instruments'!E47</f>
        <v/>
      </c>
      <c r="L93" s="590">
        <f>'Regulatory instruments'!F47</f>
        <v/>
      </c>
      <c r="M93" s="464" t="n"/>
    </row>
    <row r="94" ht="114" customHeight="1">
      <c r="A94" s="590">
        <f>'Regulatory instruments'!A48</f>
        <v/>
      </c>
      <c r="B94" s="590">
        <f>'Regulatory instruments'!D48</f>
        <v/>
      </c>
      <c r="C94" s="590">
        <f>'Regulatory instruments'!H48</f>
        <v/>
      </c>
      <c r="D94" s="590">
        <f>'Regulatory instruments'!G48</f>
        <v/>
      </c>
      <c r="E94" s="590">
        <f>'Regulatory instruments'!U48</f>
        <v/>
      </c>
      <c r="F94" s="590">
        <f>'Regulatory instruments'!Q48</f>
        <v/>
      </c>
      <c r="G94" s="590">
        <f>'Regulatory instruments'!R48</f>
        <v/>
      </c>
      <c r="H94" s="590">
        <f>'Regulatory instruments'!L48</f>
        <v/>
      </c>
      <c r="I94" s="590" t="inlineStr">
        <is>
          <t>Regulatory instruments</t>
        </is>
      </c>
      <c r="J94" s="590">
        <f>'Regulatory instruments'!C48</f>
        <v/>
      </c>
      <c r="K94" s="590">
        <f>'Regulatory instruments'!E48</f>
        <v/>
      </c>
      <c r="L94" s="590">
        <f>'Regulatory instruments'!F48</f>
        <v/>
      </c>
      <c r="M94" s="464" t="n"/>
    </row>
    <row r="95" ht="114" customHeight="1">
      <c r="A95" s="590">
        <f>'Regulatory instruments'!A49</f>
        <v/>
      </c>
      <c r="B95" s="590">
        <f>'Regulatory instruments'!D49</f>
        <v/>
      </c>
      <c r="C95" s="590">
        <f>'Regulatory instruments'!H49</f>
        <v/>
      </c>
      <c r="D95" s="590">
        <f>'Regulatory instruments'!G49</f>
        <v/>
      </c>
      <c r="E95" s="590">
        <f>'Regulatory instruments'!U49</f>
        <v/>
      </c>
      <c r="F95" s="590">
        <f>'Regulatory instruments'!Q49</f>
        <v/>
      </c>
      <c r="G95" s="590">
        <f>'Regulatory instruments'!R49</f>
        <v/>
      </c>
      <c r="H95" s="590">
        <f>'Regulatory instruments'!L49</f>
        <v/>
      </c>
      <c r="I95" s="590" t="inlineStr">
        <is>
          <t>Regulatory instruments</t>
        </is>
      </c>
      <c r="J95" s="590">
        <f>'Regulatory instruments'!C49</f>
        <v/>
      </c>
      <c r="K95" s="590">
        <f>'Regulatory instruments'!E49</f>
        <v/>
      </c>
      <c r="L95" s="590">
        <f>'Regulatory instruments'!F49</f>
        <v/>
      </c>
      <c r="M95" s="464" t="n"/>
    </row>
    <row r="96" ht="114" customHeight="1">
      <c r="A96" s="590">
        <f>'Regulatory instruments'!A50</f>
        <v/>
      </c>
      <c r="B96" s="590">
        <f>'Regulatory instruments'!D50</f>
        <v/>
      </c>
      <c r="C96" s="590">
        <f>'Regulatory instruments'!H50</f>
        <v/>
      </c>
      <c r="D96" s="590">
        <f>'Regulatory instruments'!G50</f>
        <v/>
      </c>
      <c r="E96" s="590">
        <f>'Regulatory instruments'!U50</f>
        <v/>
      </c>
      <c r="F96" s="590">
        <f>'Regulatory instruments'!Q50</f>
        <v/>
      </c>
      <c r="G96" s="590">
        <f>'Regulatory instruments'!R50</f>
        <v/>
      </c>
      <c r="H96" s="590">
        <f>'Regulatory instruments'!L50</f>
        <v/>
      </c>
      <c r="I96" s="590" t="inlineStr">
        <is>
          <t>Regulatory instruments</t>
        </is>
      </c>
      <c r="J96" s="590">
        <f>'Regulatory instruments'!C50</f>
        <v/>
      </c>
      <c r="K96" s="590">
        <f>'Regulatory instruments'!E50</f>
        <v/>
      </c>
      <c r="L96" s="590">
        <f>'Regulatory instruments'!F50</f>
        <v/>
      </c>
      <c r="M96" s="464" t="n"/>
    </row>
    <row r="97" ht="114" customHeight="1">
      <c r="A97" s="590">
        <f>'Regulatory instruments'!A51</f>
        <v/>
      </c>
      <c r="B97" s="590">
        <f>'Regulatory instruments'!D51</f>
        <v/>
      </c>
      <c r="C97" s="590">
        <f>'Regulatory instruments'!H51</f>
        <v/>
      </c>
      <c r="D97" s="590">
        <f>'Regulatory instruments'!G51</f>
        <v/>
      </c>
      <c r="E97" s="590">
        <f>'Regulatory instruments'!U51</f>
        <v/>
      </c>
      <c r="F97" s="590">
        <f>'Regulatory instruments'!Q51</f>
        <v/>
      </c>
      <c r="G97" s="590">
        <f>'Regulatory instruments'!R51</f>
        <v/>
      </c>
      <c r="H97" s="590">
        <f>'Regulatory instruments'!L51</f>
        <v/>
      </c>
      <c r="I97" s="590" t="inlineStr">
        <is>
          <t>Regulatory instruments</t>
        </is>
      </c>
      <c r="J97" s="590">
        <f>'Regulatory instruments'!C51</f>
        <v/>
      </c>
      <c r="K97" s="590">
        <f>'Regulatory instruments'!E51</f>
        <v/>
      </c>
      <c r="L97" s="590">
        <f>'Regulatory instruments'!F51</f>
        <v/>
      </c>
      <c r="M97" s="464" t="n"/>
    </row>
    <row r="98" ht="114" customHeight="1">
      <c r="A98" s="590">
        <f>'Regulatory instruments'!A52</f>
        <v/>
      </c>
      <c r="B98" s="590">
        <f>'Regulatory instruments'!D52</f>
        <v/>
      </c>
      <c r="C98" s="590">
        <f>'Regulatory instruments'!H52</f>
        <v/>
      </c>
      <c r="D98" s="590">
        <f>'Regulatory instruments'!G52</f>
        <v/>
      </c>
      <c r="E98" s="590">
        <f>'Regulatory instruments'!U52</f>
        <v/>
      </c>
      <c r="F98" s="590">
        <f>'Regulatory instruments'!Q52</f>
        <v/>
      </c>
      <c r="G98" s="590">
        <f>'Regulatory instruments'!R52</f>
        <v/>
      </c>
      <c r="H98" s="590">
        <f>'Regulatory instruments'!L52</f>
        <v/>
      </c>
      <c r="I98" s="590" t="inlineStr">
        <is>
          <t>Regulatory instruments</t>
        </is>
      </c>
      <c r="J98" s="590">
        <f>'Regulatory instruments'!C52</f>
        <v/>
      </c>
      <c r="K98" s="590">
        <f>'Regulatory instruments'!E52</f>
        <v/>
      </c>
      <c r="L98" s="590">
        <f>'Regulatory instruments'!F52</f>
        <v/>
      </c>
      <c r="M98" s="464" t="n"/>
    </row>
    <row r="99" ht="114" customHeight="1">
      <c r="A99" s="590">
        <f>'Regulatory instruments'!A53</f>
        <v/>
      </c>
      <c r="B99" s="590">
        <f>'Regulatory instruments'!D53</f>
        <v/>
      </c>
      <c r="C99" s="590">
        <f>'Regulatory instruments'!H53</f>
        <v/>
      </c>
      <c r="D99" s="590">
        <f>'Regulatory instruments'!G53</f>
        <v/>
      </c>
      <c r="E99" s="590">
        <f>'Regulatory instruments'!U53</f>
        <v/>
      </c>
      <c r="F99" s="590">
        <f>'Regulatory instruments'!Q53</f>
        <v/>
      </c>
      <c r="G99" s="590">
        <f>'Regulatory instruments'!R53</f>
        <v/>
      </c>
      <c r="H99" s="590">
        <f>'Regulatory instruments'!L53</f>
        <v/>
      </c>
      <c r="I99" s="590" t="inlineStr">
        <is>
          <t>Regulatory instruments</t>
        </is>
      </c>
      <c r="J99" s="590">
        <f>'Regulatory instruments'!C53</f>
        <v/>
      </c>
      <c r="K99" s="590">
        <f>'Regulatory instruments'!E53</f>
        <v/>
      </c>
      <c r="L99" s="590">
        <f>'Regulatory instruments'!F53</f>
        <v/>
      </c>
      <c r="M99" s="464" t="n"/>
    </row>
    <row r="100" ht="114" customHeight="1">
      <c r="A100" s="590">
        <f>'Regulatory instruments'!A54</f>
        <v/>
      </c>
      <c r="B100" s="590">
        <f>'Regulatory instruments'!D54</f>
        <v/>
      </c>
      <c r="C100" s="590">
        <f>'Regulatory instruments'!H54</f>
        <v/>
      </c>
      <c r="D100" s="590">
        <f>'Regulatory instruments'!G54</f>
        <v/>
      </c>
      <c r="E100" s="590">
        <f>'Regulatory instruments'!U54</f>
        <v/>
      </c>
      <c r="F100" s="590">
        <f>'Regulatory instruments'!Q54</f>
        <v/>
      </c>
      <c r="G100" s="590">
        <f>'Regulatory instruments'!R54</f>
        <v/>
      </c>
      <c r="H100" s="590">
        <f>'Regulatory instruments'!L54</f>
        <v/>
      </c>
      <c r="I100" s="590" t="inlineStr">
        <is>
          <t>Regulatory instruments</t>
        </is>
      </c>
      <c r="J100" s="590">
        <f>'Regulatory instruments'!C54</f>
        <v/>
      </c>
      <c r="K100" s="590">
        <f>'Regulatory instruments'!E54</f>
        <v/>
      </c>
      <c r="L100" s="590">
        <f>'Regulatory instruments'!F54</f>
        <v/>
      </c>
      <c r="M100" s="464" t="n"/>
    </row>
    <row r="101" ht="114" customHeight="1">
      <c r="A101" s="590">
        <f>'Regulatory instruments'!A55</f>
        <v/>
      </c>
      <c r="B101" s="590">
        <f>'Regulatory instruments'!D55</f>
        <v/>
      </c>
      <c r="C101" s="590">
        <f>'Regulatory instruments'!H55</f>
        <v/>
      </c>
      <c r="D101" s="590">
        <f>'Regulatory instruments'!G55</f>
        <v/>
      </c>
      <c r="E101" s="590">
        <f>'Regulatory instruments'!U55</f>
        <v/>
      </c>
      <c r="F101" s="590">
        <f>'Regulatory instruments'!Q55</f>
        <v/>
      </c>
      <c r="G101" s="590">
        <f>'Regulatory instruments'!R55</f>
        <v/>
      </c>
      <c r="H101" s="590">
        <f>'Regulatory instruments'!L55</f>
        <v/>
      </c>
      <c r="I101" s="590" t="inlineStr">
        <is>
          <t>Regulatory instruments</t>
        </is>
      </c>
      <c r="J101" s="590">
        <f>'Regulatory instruments'!C55</f>
        <v/>
      </c>
      <c r="K101" s="590">
        <f>'Regulatory instruments'!E55</f>
        <v/>
      </c>
      <c r="L101" s="590">
        <f>'Regulatory instruments'!F55</f>
        <v/>
      </c>
      <c r="M101" s="464" t="n"/>
    </row>
    <row r="102" ht="114" customHeight="1">
      <c r="A102" s="590">
        <f>'Regulatory instruments'!A56</f>
        <v/>
      </c>
      <c r="B102" s="590">
        <f>'Regulatory instruments'!D56</f>
        <v/>
      </c>
      <c r="C102" s="590">
        <f>'Regulatory instruments'!H56</f>
        <v/>
      </c>
      <c r="D102" s="590">
        <f>'Regulatory instruments'!G56</f>
        <v/>
      </c>
      <c r="E102" s="590">
        <f>'Regulatory instruments'!U56</f>
        <v/>
      </c>
      <c r="F102" s="590">
        <f>'Regulatory instruments'!Q56</f>
        <v/>
      </c>
      <c r="G102" s="590">
        <f>'Regulatory instruments'!R56</f>
        <v/>
      </c>
      <c r="H102" s="590">
        <f>'Regulatory instruments'!L56</f>
        <v/>
      </c>
      <c r="I102" s="590" t="inlineStr">
        <is>
          <t>Regulatory instruments</t>
        </is>
      </c>
      <c r="J102" s="590">
        <f>'Regulatory instruments'!C56</f>
        <v/>
      </c>
      <c r="K102" s="590">
        <f>'Regulatory instruments'!E56</f>
        <v/>
      </c>
      <c r="L102" s="590">
        <f>'Regulatory instruments'!F56</f>
        <v/>
      </c>
      <c r="M102" s="464" t="n"/>
    </row>
    <row r="103" ht="114" customHeight="1">
      <c r="A103" s="590">
        <f>'Regulatory instruments'!A57</f>
        <v/>
      </c>
      <c r="B103" s="590">
        <f>'Regulatory instruments'!D57</f>
        <v/>
      </c>
      <c r="C103" s="590">
        <f>'Regulatory instruments'!H57</f>
        <v/>
      </c>
      <c r="D103" s="590">
        <f>'Regulatory instruments'!G57</f>
        <v/>
      </c>
      <c r="E103" s="590">
        <f>'Regulatory instruments'!U57</f>
        <v/>
      </c>
      <c r="F103" s="590">
        <f>'Regulatory instruments'!Q57</f>
        <v/>
      </c>
      <c r="G103" s="590">
        <f>'Regulatory instruments'!R57</f>
        <v/>
      </c>
      <c r="H103" s="590">
        <f>'Regulatory instruments'!L57</f>
        <v/>
      </c>
      <c r="I103" s="590" t="inlineStr">
        <is>
          <t>Regulatory instruments</t>
        </is>
      </c>
      <c r="J103" s="590">
        <f>'Regulatory instruments'!C57</f>
        <v/>
      </c>
      <c r="K103" s="590">
        <f>'Regulatory instruments'!E57</f>
        <v/>
      </c>
      <c r="L103" s="590">
        <f>'Regulatory instruments'!F57</f>
        <v/>
      </c>
      <c r="M103" s="464" t="n"/>
    </row>
    <row r="104" ht="114" customHeight="1">
      <c r="A104" s="590">
        <f>'Regulatory instruments'!A58</f>
        <v/>
      </c>
      <c r="B104" s="590">
        <f>'Regulatory instruments'!D58</f>
        <v/>
      </c>
      <c r="C104" s="590">
        <f>'Regulatory instruments'!H58</f>
        <v/>
      </c>
      <c r="D104" s="590">
        <f>'Regulatory instruments'!G58</f>
        <v/>
      </c>
      <c r="E104" s="590">
        <f>'Regulatory instruments'!U58</f>
        <v/>
      </c>
      <c r="F104" s="590">
        <f>'Regulatory instruments'!Q58</f>
        <v/>
      </c>
      <c r="G104" s="590">
        <f>'Regulatory instruments'!R58</f>
        <v/>
      </c>
      <c r="H104" s="590">
        <f>'Regulatory instruments'!L58</f>
        <v/>
      </c>
      <c r="I104" s="590" t="inlineStr">
        <is>
          <t>Regulatory instruments</t>
        </is>
      </c>
      <c r="J104" s="590">
        <f>'Regulatory instruments'!C58</f>
        <v/>
      </c>
      <c r="K104" s="590">
        <f>'Regulatory instruments'!E58</f>
        <v/>
      </c>
      <c r="L104" s="590">
        <f>'Regulatory instruments'!F58</f>
        <v/>
      </c>
      <c r="M104" s="464" t="n"/>
    </row>
    <row r="105" ht="114" customHeight="1">
      <c r="A105" s="590">
        <f>'Regulatory instruments'!A59</f>
        <v/>
      </c>
      <c r="B105" s="590">
        <f>'Regulatory instruments'!D59</f>
        <v/>
      </c>
      <c r="C105" s="590">
        <f>'Regulatory instruments'!H59</f>
        <v/>
      </c>
      <c r="D105" s="590">
        <f>'Regulatory instruments'!G59</f>
        <v/>
      </c>
      <c r="E105" s="590">
        <f>'Regulatory instruments'!U59</f>
        <v/>
      </c>
      <c r="F105" s="590">
        <f>'Regulatory instruments'!Q59</f>
        <v/>
      </c>
      <c r="G105" s="590">
        <f>'Regulatory instruments'!R59</f>
        <v/>
      </c>
      <c r="H105" s="590">
        <f>'Regulatory instruments'!L59</f>
        <v/>
      </c>
      <c r="I105" s="590" t="inlineStr">
        <is>
          <t>Regulatory instruments</t>
        </is>
      </c>
      <c r="J105" s="590">
        <f>'Regulatory instruments'!C59</f>
        <v/>
      </c>
      <c r="K105" s="590">
        <f>'Regulatory instruments'!E59</f>
        <v/>
      </c>
      <c r="L105" s="590">
        <f>'Regulatory instruments'!F59</f>
        <v/>
      </c>
      <c r="M105" s="464" t="n"/>
    </row>
    <row r="106" ht="114" customHeight="1">
      <c r="A106" s="590">
        <f>'Regulatory instruments'!A60</f>
        <v/>
      </c>
      <c r="B106" s="590">
        <f>'Regulatory instruments'!D60</f>
        <v/>
      </c>
      <c r="C106" s="590">
        <f>'Regulatory instruments'!H60</f>
        <v/>
      </c>
      <c r="D106" s="590">
        <f>'Regulatory instruments'!G60</f>
        <v/>
      </c>
      <c r="E106" s="590">
        <f>'Regulatory instruments'!U60</f>
        <v/>
      </c>
      <c r="F106" s="590">
        <f>'Regulatory instruments'!Q60</f>
        <v/>
      </c>
      <c r="G106" s="590">
        <f>'Regulatory instruments'!R60</f>
        <v/>
      </c>
      <c r="H106" s="590">
        <f>'Regulatory instruments'!L60</f>
        <v/>
      </c>
      <c r="I106" s="590" t="inlineStr">
        <is>
          <t>Regulatory instruments</t>
        </is>
      </c>
      <c r="J106" s="590">
        <f>'Regulatory instruments'!C60</f>
        <v/>
      </c>
      <c r="K106" s="590">
        <f>'Regulatory instruments'!E60</f>
        <v/>
      </c>
      <c r="L106" s="590">
        <f>'Regulatory instruments'!F60</f>
        <v/>
      </c>
      <c r="M106" s="464" t="n"/>
    </row>
    <row r="107" ht="114" customHeight="1">
      <c r="A107" s="590">
        <f>'Regulatory instruments'!A61</f>
        <v/>
      </c>
      <c r="B107" s="590">
        <f>'Regulatory instruments'!D61</f>
        <v/>
      </c>
      <c r="C107" s="590">
        <f>'Regulatory instruments'!H61</f>
        <v/>
      </c>
      <c r="D107" s="590">
        <f>'Regulatory instruments'!G61</f>
        <v/>
      </c>
      <c r="E107" s="590">
        <f>'Regulatory instruments'!U61</f>
        <v/>
      </c>
      <c r="F107" s="590">
        <f>'Regulatory instruments'!Q61</f>
        <v/>
      </c>
      <c r="G107" s="590">
        <f>'Regulatory instruments'!R61</f>
        <v/>
      </c>
      <c r="H107" s="590">
        <f>'Regulatory instruments'!L61</f>
        <v/>
      </c>
      <c r="I107" s="590" t="inlineStr">
        <is>
          <t>Regulatory instruments</t>
        </is>
      </c>
      <c r="J107" s="590">
        <f>'Regulatory instruments'!C61</f>
        <v/>
      </c>
      <c r="K107" s="590">
        <f>'Regulatory instruments'!E61</f>
        <v/>
      </c>
      <c r="L107" s="590">
        <f>'Regulatory instruments'!F61</f>
        <v/>
      </c>
      <c r="M107" s="464" t="n"/>
    </row>
    <row r="108" ht="114" customHeight="1">
      <c r="A108" s="590">
        <f>'Regulatory instruments'!A62</f>
        <v/>
      </c>
      <c r="B108" s="590">
        <f>'Regulatory instruments'!D62</f>
        <v/>
      </c>
      <c r="C108" s="590">
        <f>'Regulatory instruments'!H62</f>
        <v/>
      </c>
      <c r="D108" s="590">
        <f>'Regulatory instruments'!G62</f>
        <v/>
      </c>
      <c r="E108" s="590">
        <f>'Regulatory instruments'!U62</f>
        <v/>
      </c>
      <c r="F108" s="590">
        <f>'Regulatory instruments'!Q62</f>
        <v/>
      </c>
      <c r="G108" s="590">
        <f>'Regulatory instruments'!R62</f>
        <v/>
      </c>
      <c r="H108" s="590">
        <f>'Regulatory instruments'!L62</f>
        <v/>
      </c>
      <c r="I108" s="590" t="inlineStr">
        <is>
          <t>Regulatory instruments</t>
        </is>
      </c>
      <c r="J108" s="590">
        <f>'Regulatory instruments'!C62</f>
        <v/>
      </c>
      <c r="K108" s="590">
        <f>'Regulatory instruments'!E62</f>
        <v/>
      </c>
      <c r="L108" s="590">
        <f>'Regulatory instruments'!F62</f>
        <v/>
      </c>
      <c r="M108" s="464" t="n"/>
    </row>
    <row r="109" ht="114" customHeight="1">
      <c r="A109" s="590">
        <f>'Regulatory instruments'!A63</f>
        <v/>
      </c>
      <c r="B109" s="590">
        <f>'Regulatory instruments'!D63</f>
        <v/>
      </c>
      <c r="C109" s="590">
        <f>'Regulatory instruments'!H63</f>
        <v/>
      </c>
      <c r="D109" s="590">
        <f>'Regulatory instruments'!G63</f>
        <v/>
      </c>
      <c r="E109" s="590">
        <f>'Regulatory instruments'!U63</f>
        <v/>
      </c>
      <c r="F109" s="590">
        <f>'Regulatory instruments'!Q63</f>
        <v/>
      </c>
      <c r="G109" s="590">
        <f>'Regulatory instruments'!R63</f>
        <v/>
      </c>
      <c r="H109" s="590">
        <f>'Regulatory instruments'!L63</f>
        <v/>
      </c>
      <c r="I109" s="590" t="inlineStr">
        <is>
          <t>Regulatory instruments</t>
        </is>
      </c>
      <c r="J109" s="590">
        <f>'Regulatory instruments'!C63</f>
        <v/>
      </c>
      <c r="K109" s="590">
        <f>'Regulatory instruments'!E63</f>
        <v/>
      </c>
      <c r="L109" s="590">
        <f>'Regulatory instruments'!F63</f>
        <v/>
      </c>
      <c r="M109" s="464" t="n"/>
    </row>
    <row r="110" ht="142.5" customHeight="1">
      <c r="A110" s="590">
        <f>'Regulatory instruments'!A64</f>
        <v/>
      </c>
      <c r="B110" s="590">
        <f>'Regulatory instruments'!D64</f>
        <v/>
      </c>
      <c r="C110" s="590">
        <f>'Regulatory instruments'!H64</f>
        <v/>
      </c>
      <c r="D110" s="590">
        <f>'Regulatory instruments'!G64</f>
        <v/>
      </c>
      <c r="E110" s="590">
        <f>'Regulatory instruments'!U64</f>
        <v/>
      </c>
      <c r="F110" s="590">
        <f>'Regulatory instruments'!Q64</f>
        <v/>
      </c>
      <c r="G110" s="590">
        <f>'Regulatory instruments'!R64</f>
        <v/>
      </c>
      <c r="H110" s="590">
        <f>'Regulatory instruments'!L64</f>
        <v/>
      </c>
      <c r="I110" s="590" t="inlineStr">
        <is>
          <t>Regulatory instruments</t>
        </is>
      </c>
      <c r="J110" s="590">
        <f>'Regulatory instruments'!C64</f>
        <v/>
      </c>
      <c r="K110" s="590">
        <f>'Regulatory instruments'!E64</f>
        <v/>
      </c>
      <c r="L110" s="590">
        <f>'Regulatory instruments'!F64</f>
        <v/>
      </c>
      <c r="M110" s="464" t="n"/>
    </row>
    <row r="111" ht="142.5" customHeight="1">
      <c r="A111" s="590">
        <f>'Regulatory instruments'!A65</f>
        <v/>
      </c>
      <c r="B111" s="590">
        <f>'Regulatory instruments'!D65</f>
        <v/>
      </c>
      <c r="C111" s="590">
        <f>'Regulatory instruments'!H65</f>
        <v/>
      </c>
      <c r="D111" s="590">
        <f>'Regulatory instruments'!G65</f>
        <v/>
      </c>
      <c r="E111" s="590">
        <f>'Regulatory instruments'!U65</f>
        <v/>
      </c>
      <c r="F111" s="590">
        <f>'Regulatory instruments'!Q65</f>
        <v/>
      </c>
      <c r="G111" s="590">
        <f>'Regulatory instruments'!R65</f>
        <v/>
      </c>
      <c r="H111" s="590">
        <f>'Regulatory instruments'!L65</f>
        <v/>
      </c>
      <c r="I111" s="590" t="inlineStr">
        <is>
          <t>Regulatory instruments</t>
        </is>
      </c>
      <c r="J111" s="590">
        <f>'Regulatory instruments'!C65</f>
        <v/>
      </c>
      <c r="K111" s="590">
        <f>'Regulatory instruments'!E65</f>
        <v/>
      </c>
      <c r="L111" s="590">
        <f>'Regulatory instruments'!F65</f>
        <v/>
      </c>
      <c r="M111" s="464" t="n"/>
    </row>
    <row r="112" ht="409.5" customHeight="1">
      <c r="A112" s="590">
        <f>'Regulatory instruments'!A66</f>
        <v/>
      </c>
      <c r="B112" s="590">
        <f>'Regulatory instruments'!D66</f>
        <v/>
      </c>
      <c r="C112" s="590">
        <f>'Regulatory instruments'!H66</f>
        <v/>
      </c>
      <c r="D112" s="590">
        <f>'Regulatory instruments'!G66</f>
        <v/>
      </c>
      <c r="E112" s="590">
        <f>'Regulatory instruments'!U66</f>
        <v/>
      </c>
      <c r="F112" s="590">
        <f>'Regulatory instruments'!Q66</f>
        <v/>
      </c>
      <c r="G112" s="590">
        <f>'Regulatory instruments'!R66</f>
        <v/>
      </c>
      <c r="H112" s="590">
        <f>'Regulatory instruments'!L66</f>
        <v/>
      </c>
      <c r="I112" s="590" t="inlineStr">
        <is>
          <t>Regulatory instruments</t>
        </is>
      </c>
      <c r="J112" s="590">
        <f>'Regulatory instruments'!C66</f>
        <v/>
      </c>
      <c r="K112" s="590">
        <f>'Regulatory instruments'!E66</f>
        <v/>
      </c>
      <c r="L112" s="590">
        <f>'Regulatory instruments'!F66</f>
        <v/>
      </c>
      <c r="M112" s="464" t="n"/>
    </row>
    <row r="113" ht="85.5" customHeight="1">
      <c r="A113" s="590">
        <f>'Regulatory instruments'!A67</f>
        <v/>
      </c>
      <c r="B113" s="590">
        <f>'Regulatory instruments'!D67</f>
        <v/>
      </c>
      <c r="C113" s="590">
        <f>'Regulatory instruments'!H67</f>
        <v/>
      </c>
      <c r="D113" s="590">
        <f>'Regulatory instruments'!G67</f>
        <v/>
      </c>
      <c r="E113" s="590">
        <f>'Regulatory instruments'!U67</f>
        <v/>
      </c>
      <c r="F113" s="590">
        <f>'Regulatory instruments'!Q67</f>
        <v/>
      </c>
      <c r="G113" s="590">
        <f>'Regulatory instruments'!R67</f>
        <v/>
      </c>
      <c r="H113" s="590">
        <f>'Regulatory instruments'!L67</f>
        <v/>
      </c>
      <c r="I113" s="590" t="inlineStr">
        <is>
          <t>Regulatory instruments</t>
        </is>
      </c>
      <c r="J113" s="590">
        <f>'Regulatory instruments'!C67</f>
        <v/>
      </c>
      <c r="K113" s="590">
        <f>'Regulatory instruments'!E67</f>
        <v/>
      </c>
      <c r="L113" s="590">
        <f>'Regulatory instruments'!F67</f>
        <v/>
      </c>
      <c r="M113" s="464" t="n"/>
    </row>
    <row r="114" ht="85.5" customHeight="1">
      <c r="A114" s="590">
        <f>'Regulatory instruments'!A68</f>
        <v/>
      </c>
      <c r="B114" s="590">
        <f>'Regulatory instruments'!D68</f>
        <v/>
      </c>
      <c r="C114" s="590">
        <f>'Regulatory instruments'!H68</f>
        <v/>
      </c>
      <c r="D114" s="590">
        <f>'Regulatory instruments'!G68</f>
        <v/>
      </c>
      <c r="E114" s="590">
        <f>'Regulatory instruments'!U68</f>
        <v/>
      </c>
      <c r="F114" s="590">
        <f>'Regulatory instruments'!Q68</f>
        <v/>
      </c>
      <c r="G114" s="590">
        <f>'Regulatory instruments'!R68</f>
        <v/>
      </c>
      <c r="H114" s="590">
        <f>'Regulatory instruments'!L68</f>
        <v/>
      </c>
      <c r="I114" s="590" t="inlineStr">
        <is>
          <t>Regulatory instruments</t>
        </is>
      </c>
      <c r="J114" s="590">
        <f>'Regulatory instruments'!C68</f>
        <v/>
      </c>
      <c r="K114" s="590">
        <f>'Regulatory instruments'!E68</f>
        <v/>
      </c>
      <c r="L114" s="590">
        <f>'Regulatory instruments'!F68</f>
        <v/>
      </c>
      <c r="M114" s="464" t="n"/>
    </row>
    <row r="115" ht="85.5" customHeight="1">
      <c r="A115" s="590">
        <f>'Regulatory instruments'!A69</f>
        <v/>
      </c>
      <c r="B115" s="590">
        <f>'Regulatory instruments'!D69</f>
        <v/>
      </c>
      <c r="C115" s="590">
        <f>'Regulatory instruments'!H69</f>
        <v/>
      </c>
      <c r="D115" s="590">
        <f>'Regulatory instruments'!G69</f>
        <v/>
      </c>
      <c r="E115" s="590">
        <f>'Regulatory instruments'!U69</f>
        <v/>
      </c>
      <c r="F115" s="590">
        <f>'Regulatory instruments'!Q69</f>
        <v/>
      </c>
      <c r="G115" s="590">
        <f>'Regulatory instruments'!R69</f>
        <v/>
      </c>
      <c r="H115" s="590">
        <f>'Regulatory instruments'!L69</f>
        <v/>
      </c>
      <c r="I115" s="590" t="inlineStr">
        <is>
          <t>Regulatory instruments</t>
        </is>
      </c>
      <c r="J115" s="590">
        <f>'Regulatory instruments'!C69</f>
        <v/>
      </c>
      <c r="K115" s="590">
        <f>'Regulatory instruments'!E69</f>
        <v/>
      </c>
      <c r="L115" s="590">
        <f>'Regulatory instruments'!F69</f>
        <v/>
      </c>
      <c r="M115" s="464" t="n"/>
    </row>
    <row r="116" ht="85.5" customHeight="1">
      <c r="A116" s="590">
        <f>'Regulatory instruments'!A70</f>
        <v/>
      </c>
      <c r="B116" s="590">
        <f>'Regulatory instruments'!D70</f>
        <v/>
      </c>
      <c r="C116" s="590">
        <f>'Regulatory instruments'!H70</f>
        <v/>
      </c>
      <c r="D116" s="590">
        <f>'Regulatory instruments'!G70</f>
        <v/>
      </c>
      <c r="E116" s="590">
        <f>'Regulatory instruments'!U70</f>
        <v/>
      </c>
      <c r="F116" s="590">
        <f>'Regulatory instruments'!Q70</f>
        <v/>
      </c>
      <c r="G116" s="590">
        <f>'Regulatory instruments'!R70</f>
        <v/>
      </c>
      <c r="H116" s="590">
        <f>'Regulatory instruments'!L70</f>
        <v/>
      </c>
      <c r="I116" s="590" t="inlineStr">
        <is>
          <t>Regulatory instruments</t>
        </is>
      </c>
      <c r="J116" s="590">
        <f>'Regulatory instruments'!C70</f>
        <v/>
      </c>
      <c r="K116" s="590">
        <f>'Regulatory instruments'!E70</f>
        <v/>
      </c>
      <c r="L116" s="590">
        <f>'Regulatory instruments'!F70</f>
        <v/>
      </c>
      <c r="M116" s="464" t="n"/>
    </row>
    <row r="117" ht="85.5" customHeight="1">
      <c r="A117" s="590">
        <f>'Regulatory instruments'!A71</f>
        <v/>
      </c>
      <c r="B117" s="590">
        <f>'Regulatory instruments'!D71</f>
        <v/>
      </c>
      <c r="C117" s="590">
        <f>'Regulatory instruments'!H71</f>
        <v/>
      </c>
      <c r="D117" s="590">
        <f>'Regulatory instruments'!G71</f>
        <v/>
      </c>
      <c r="E117" s="590">
        <f>'Regulatory instruments'!U71</f>
        <v/>
      </c>
      <c r="F117" s="590">
        <f>'Regulatory instruments'!Q71</f>
        <v/>
      </c>
      <c r="G117" s="590">
        <f>'Regulatory instruments'!R71</f>
        <v/>
      </c>
      <c r="H117" s="590">
        <f>'Regulatory instruments'!L71</f>
        <v/>
      </c>
      <c r="I117" s="590" t="inlineStr">
        <is>
          <t>Regulatory instruments</t>
        </is>
      </c>
      <c r="J117" s="590">
        <f>'Regulatory instruments'!C71</f>
        <v/>
      </c>
      <c r="K117" s="590">
        <f>'Regulatory instruments'!E71</f>
        <v/>
      </c>
      <c r="L117" s="590">
        <f>'Regulatory instruments'!F71</f>
        <v/>
      </c>
      <c r="M117" s="464" t="n"/>
    </row>
    <row r="118" ht="85.5" customHeight="1">
      <c r="A118" s="590">
        <f>'Regulatory instruments'!A72</f>
        <v/>
      </c>
      <c r="B118" s="590">
        <f>'Regulatory instruments'!D72</f>
        <v/>
      </c>
      <c r="C118" s="590">
        <f>'Regulatory instruments'!H72</f>
        <v/>
      </c>
      <c r="D118" s="590">
        <f>'Regulatory instruments'!G72</f>
        <v/>
      </c>
      <c r="E118" s="590">
        <f>'Regulatory instruments'!U72</f>
        <v/>
      </c>
      <c r="F118" s="590">
        <f>'Regulatory instruments'!Q72</f>
        <v/>
      </c>
      <c r="G118" s="590">
        <f>'Regulatory instruments'!R72</f>
        <v/>
      </c>
      <c r="H118" s="590">
        <f>'Regulatory instruments'!L72</f>
        <v/>
      </c>
      <c r="I118" s="590" t="inlineStr">
        <is>
          <t>Regulatory instruments</t>
        </is>
      </c>
      <c r="J118" s="590">
        <f>'Regulatory instruments'!C72</f>
        <v/>
      </c>
      <c r="K118" s="590">
        <f>'Regulatory instruments'!E72</f>
        <v/>
      </c>
      <c r="L118" s="590">
        <f>'Regulatory instruments'!F72</f>
        <v/>
      </c>
      <c r="M118" s="464" t="n"/>
    </row>
    <row r="119" ht="85.5" customHeight="1">
      <c r="A119" s="590">
        <f>'Regulatory instruments'!A73</f>
        <v/>
      </c>
      <c r="B119" s="590">
        <f>'Regulatory instruments'!D73</f>
        <v/>
      </c>
      <c r="C119" s="590">
        <f>'Regulatory instruments'!H73</f>
        <v/>
      </c>
      <c r="D119" s="590">
        <f>'Regulatory instruments'!G73</f>
        <v/>
      </c>
      <c r="E119" s="590">
        <f>'Regulatory instruments'!U73</f>
        <v/>
      </c>
      <c r="F119" s="590">
        <f>'Regulatory instruments'!Q73</f>
        <v/>
      </c>
      <c r="G119" s="590">
        <f>'Regulatory instruments'!R73</f>
        <v/>
      </c>
      <c r="H119" s="590">
        <f>'Regulatory instruments'!L73</f>
        <v/>
      </c>
      <c r="I119" s="590" t="inlineStr">
        <is>
          <t>Regulatory instruments</t>
        </is>
      </c>
      <c r="J119" s="590">
        <f>'Regulatory instruments'!C73</f>
        <v/>
      </c>
      <c r="K119" s="590">
        <f>'Regulatory instruments'!E73</f>
        <v/>
      </c>
      <c r="L119" s="590">
        <f>'Regulatory instruments'!F73</f>
        <v/>
      </c>
      <c r="M119" s="464" t="n"/>
    </row>
    <row r="120" ht="85.5" customHeight="1">
      <c r="A120" s="590">
        <f>'Regulatory instruments'!A74</f>
        <v/>
      </c>
      <c r="B120" s="590">
        <f>'Regulatory instruments'!D74</f>
        <v/>
      </c>
      <c r="C120" s="590">
        <f>'Regulatory instruments'!H74</f>
        <v/>
      </c>
      <c r="D120" s="590">
        <f>'Regulatory instruments'!G74</f>
        <v/>
      </c>
      <c r="E120" s="590">
        <f>'Regulatory instruments'!U74</f>
        <v/>
      </c>
      <c r="F120" s="590">
        <f>'Regulatory instruments'!Q74</f>
        <v/>
      </c>
      <c r="G120" s="590">
        <f>'Regulatory instruments'!R74</f>
        <v/>
      </c>
      <c r="H120" s="590">
        <f>'Regulatory instruments'!L74</f>
        <v/>
      </c>
      <c r="I120" s="590" t="inlineStr">
        <is>
          <t>Regulatory instruments</t>
        </is>
      </c>
      <c r="J120" s="590">
        <f>'Regulatory instruments'!C74</f>
        <v/>
      </c>
      <c r="K120" s="590">
        <f>'Regulatory instruments'!E74</f>
        <v/>
      </c>
      <c r="L120" s="590">
        <f>'Regulatory instruments'!F74</f>
        <v/>
      </c>
      <c r="M120" s="464" t="n"/>
    </row>
    <row r="121" ht="85.5" customHeight="1">
      <c r="A121" s="590">
        <f>'Regulatory instruments'!A75</f>
        <v/>
      </c>
      <c r="B121" s="590">
        <f>'Regulatory instruments'!D75</f>
        <v/>
      </c>
      <c r="C121" s="590">
        <f>'Regulatory instruments'!H75</f>
        <v/>
      </c>
      <c r="D121" s="590">
        <f>'Regulatory instruments'!G75</f>
        <v/>
      </c>
      <c r="E121" s="590">
        <f>'Regulatory instruments'!U75</f>
        <v/>
      </c>
      <c r="F121" s="590">
        <f>'Regulatory instruments'!Q75</f>
        <v/>
      </c>
      <c r="G121" s="590">
        <f>'Regulatory instruments'!R75</f>
        <v/>
      </c>
      <c r="H121" s="590">
        <f>'Regulatory instruments'!L75</f>
        <v/>
      </c>
      <c r="I121" s="590" t="inlineStr">
        <is>
          <t>Regulatory instruments</t>
        </is>
      </c>
      <c r="J121" s="590">
        <f>'Regulatory instruments'!C75</f>
        <v/>
      </c>
      <c r="K121" s="590">
        <f>'Regulatory instruments'!E75</f>
        <v/>
      </c>
      <c r="L121" s="590">
        <f>'Regulatory instruments'!F75</f>
        <v/>
      </c>
      <c r="M121" s="464" t="n"/>
    </row>
    <row r="122" ht="85.5" customHeight="1">
      <c r="A122" s="590">
        <f>'Regulatory instruments'!A76</f>
        <v/>
      </c>
      <c r="B122" s="590">
        <f>'Regulatory instruments'!D76</f>
        <v/>
      </c>
      <c r="C122" s="590">
        <f>'Regulatory instruments'!H76</f>
        <v/>
      </c>
      <c r="D122" s="590">
        <f>'Regulatory instruments'!G76</f>
        <v/>
      </c>
      <c r="E122" s="590">
        <f>'Regulatory instruments'!U76</f>
        <v/>
      </c>
      <c r="F122" s="590">
        <f>'Regulatory instruments'!Q76</f>
        <v/>
      </c>
      <c r="G122" s="590">
        <f>'Regulatory instruments'!R76</f>
        <v/>
      </c>
      <c r="H122" s="590">
        <f>'Regulatory instruments'!L76</f>
        <v/>
      </c>
      <c r="I122" s="590" t="inlineStr">
        <is>
          <t>Regulatory instruments</t>
        </is>
      </c>
      <c r="J122" s="590">
        <f>'Regulatory instruments'!C76</f>
        <v/>
      </c>
      <c r="K122" s="590">
        <f>'Regulatory instruments'!E76</f>
        <v/>
      </c>
      <c r="L122" s="590">
        <f>'Regulatory instruments'!F76</f>
        <v/>
      </c>
      <c r="M122" s="464" t="n"/>
    </row>
    <row r="123" ht="85.5" customHeight="1">
      <c r="A123" s="590">
        <f>'Regulatory instruments'!A77</f>
        <v/>
      </c>
      <c r="B123" s="590">
        <f>'Regulatory instruments'!D77</f>
        <v/>
      </c>
      <c r="C123" s="590">
        <f>'Regulatory instruments'!H77</f>
        <v/>
      </c>
      <c r="D123" s="590">
        <f>'Regulatory instruments'!G77</f>
        <v/>
      </c>
      <c r="E123" s="590">
        <f>'Regulatory instruments'!U77</f>
        <v/>
      </c>
      <c r="F123" s="590">
        <f>'Regulatory instruments'!Q77</f>
        <v/>
      </c>
      <c r="G123" s="590">
        <f>'Regulatory instruments'!R77</f>
        <v/>
      </c>
      <c r="H123" s="590">
        <f>'Regulatory instruments'!L77</f>
        <v/>
      </c>
      <c r="I123" s="590" t="inlineStr">
        <is>
          <t>Regulatory instruments</t>
        </is>
      </c>
      <c r="J123" s="590">
        <f>'Regulatory instruments'!C77</f>
        <v/>
      </c>
      <c r="K123" s="590">
        <f>'Regulatory instruments'!E77</f>
        <v/>
      </c>
      <c r="L123" s="590">
        <f>'Regulatory instruments'!F77</f>
        <v/>
      </c>
      <c r="M123" s="464" t="n"/>
    </row>
    <row r="124" ht="85.5" customHeight="1">
      <c r="A124" s="590">
        <f>'Regulatory instruments'!A78</f>
        <v/>
      </c>
      <c r="B124" s="590">
        <f>'Regulatory instruments'!D78</f>
        <v/>
      </c>
      <c r="C124" s="590">
        <f>'Regulatory instruments'!H78</f>
        <v/>
      </c>
      <c r="D124" s="590">
        <f>'Regulatory instruments'!G78</f>
        <v/>
      </c>
      <c r="E124" s="590">
        <f>'Regulatory instruments'!U78</f>
        <v/>
      </c>
      <c r="F124" s="590">
        <f>'Regulatory instruments'!Q78</f>
        <v/>
      </c>
      <c r="G124" s="590">
        <f>'Regulatory instruments'!R78</f>
        <v/>
      </c>
      <c r="H124" s="590">
        <f>'Regulatory instruments'!L78</f>
        <v/>
      </c>
      <c r="I124" s="590" t="inlineStr">
        <is>
          <t>Regulatory instruments</t>
        </is>
      </c>
      <c r="J124" s="590">
        <f>'Regulatory instruments'!C78</f>
        <v/>
      </c>
      <c r="K124" s="590">
        <f>'Regulatory instruments'!E78</f>
        <v/>
      </c>
      <c r="L124" s="590">
        <f>'Regulatory instruments'!F78</f>
        <v/>
      </c>
      <c r="M124" s="464" t="n"/>
    </row>
    <row r="125" ht="85.5" customHeight="1">
      <c r="A125" s="590">
        <f>'Regulatory instruments'!A79</f>
        <v/>
      </c>
      <c r="B125" s="590">
        <f>'Regulatory instruments'!D79</f>
        <v/>
      </c>
      <c r="C125" s="590">
        <f>'Regulatory instruments'!H79</f>
        <v/>
      </c>
      <c r="D125" s="590">
        <f>'Regulatory instruments'!G79</f>
        <v/>
      </c>
      <c r="E125" s="590">
        <f>'Regulatory instruments'!U79</f>
        <v/>
      </c>
      <c r="F125" s="590">
        <f>'Regulatory instruments'!Q79</f>
        <v/>
      </c>
      <c r="G125" s="590">
        <f>'Regulatory instruments'!R79</f>
        <v/>
      </c>
      <c r="H125" s="590">
        <f>'Regulatory instruments'!L79</f>
        <v/>
      </c>
      <c r="I125" s="590" t="inlineStr">
        <is>
          <t>Regulatory instruments</t>
        </is>
      </c>
      <c r="J125" s="590">
        <f>'Regulatory instruments'!C79</f>
        <v/>
      </c>
      <c r="K125" s="590">
        <f>'Regulatory instruments'!E79</f>
        <v/>
      </c>
      <c r="L125" s="590">
        <f>'Regulatory instruments'!F79</f>
        <v/>
      </c>
      <c r="M125" s="464" t="n"/>
    </row>
    <row r="126" ht="85.5" customHeight="1">
      <c r="A126" s="590">
        <f>'Regulatory instruments'!A80</f>
        <v/>
      </c>
      <c r="B126" s="590">
        <f>'Regulatory instruments'!D80</f>
        <v/>
      </c>
      <c r="C126" s="590">
        <f>'Regulatory instruments'!H80</f>
        <v/>
      </c>
      <c r="D126" s="590">
        <f>'Regulatory instruments'!G80</f>
        <v/>
      </c>
      <c r="E126" s="590">
        <f>'Regulatory instruments'!U80</f>
        <v/>
      </c>
      <c r="F126" s="590">
        <f>'Regulatory instruments'!Q80</f>
        <v/>
      </c>
      <c r="G126" s="590">
        <f>'Regulatory instruments'!R80</f>
        <v/>
      </c>
      <c r="H126" s="590">
        <f>'Regulatory instruments'!L80</f>
        <v/>
      </c>
      <c r="I126" s="590" t="inlineStr">
        <is>
          <t>Regulatory instruments</t>
        </is>
      </c>
      <c r="J126" s="590">
        <f>'Regulatory instruments'!C80</f>
        <v/>
      </c>
      <c r="K126" s="590">
        <f>'Regulatory instruments'!E80</f>
        <v/>
      </c>
      <c r="L126" s="590">
        <f>'Regulatory instruments'!F80</f>
        <v/>
      </c>
      <c r="M126" s="464" t="n"/>
    </row>
    <row r="127" ht="85.5" customHeight="1">
      <c r="A127" s="590">
        <f>'Regulatory instruments'!A81</f>
        <v/>
      </c>
      <c r="B127" s="590">
        <f>'Regulatory instruments'!D81</f>
        <v/>
      </c>
      <c r="C127" s="590">
        <f>'Regulatory instruments'!H81</f>
        <v/>
      </c>
      <c r="D127" s="590">
        <f>'Regulatory instruments'!G81</f>
        <v/>
      </c>
      <c r="E127" s="590">
        <f>'Regulatory instruments'!U81</f>
        <v/>
      </c>
      <c r="F127" s="590">
        <f>'Regulatory instruments'!Q81</f>
        <v/>
      </c>
      <c r="G127" s="590">
        <f>'Regulatory instruments'!R81</f>
        <v/>
      </c>
      <c r="H127" s="590">
        <f>'Regulatory instruments'!L81</f>
        <v/>
      </c>
      <c r="I127" s="590" t="inlineStr">
        <is>
          <t>Regulatory instruments</t>
        </is>
      </c>
      <c r="J127" s="590">
        <f>'Regulatory instruments'!C81</f>
        <v/>
      </c>
      <c r="K127" s="590">
        <f>'Regulatory instruments'!E81</f>
        <v/>
      </c>
      <c r="L127" s="590">
        <f>'Regulatory instruments'!F81</f>
        <v/>
      </c>
      <c r="M127" s="464" t="n"/>
    </row>
    <row r="128" ht="85.5" customHeight="1">
      <c r="A128" s="590">
        <f>'Regulatory instruments'!A82</f>
        <v/>
      </c>
      <c r="B128" s="590">
        <f>'Regulatory instruments'!D82</f>
        <v/>
      </c>
      <c r="C128" s="590">
        <f>'Regulatory instruments'!H82</f>
        <v/>
      </c>
      <c r="D128" s="590">
        <f>'Regulatory instruments'!G82</f>
        <v/>
      </c>
      <c r="E128" s="590">
        <f>'Regulatory instruments'!U82</f>
        <v/>
      </c>
      <c r="F128" s="590">
        <f>'Regulatory instruments'!Q82</f>
        <v/>
      </c>
      <c r="G128" s="590">
        <f>'Regulatory instruments'!R82</f>
        <v/>
      </c>
      <c r="H128" s="590">
        <f>'Regulatory instruments'!L82</f>
        <v/>
      </c>
      <c r="I128" s="590" t="inlineStr">
        <is>
          <t>Regulatory instruments</t>
        </is>
      </c>
      <c r="J128" s="590">
        <f>'Regulatory instruments'!C82</f>
        <v/>
      </c>
      <c r="K128" s="590">
        <f>'Regulatory instruments'!E82</f>
        <v/>
      </c>
      <c r="L128" s="590">
        <f>'Regulatory instruments'!F82</f>
        <v/>
      </c>
      <c r="M128" s="464" t="n"/>
    </row>
    <row r="129" ht="85.5" customHeight="1">
      <c r="A129" s="590">
        <f>'Regulatory instruments'!A83</f>
        <v/>
      </c>
      <c r="B129" s="590">
        <f>'Regulatory instruments'!D83</f>
        <v/>
      </c>
      <c r="C129" s="590">
        <f>'Regulatory instruments'!H83</f>
        <v/>
      </c>
      <c r="D129" s="590">
        <f>'Regulatory instruments'!G83</f>
        <v/>
      </c>
      <c r="E129" s="590">
        <f>'Regulatory instruments'!U83</f>
        <v/>
      </c>
      <c r="F129" s="590">
        <f>'Regulatory instruments'!Q83</f>
        <v/>
      </c>
      <c r="G129" s="590">
        <f>'Regulatory instruments'!R83</f>
        <v/>
      </c>
      <c r="H129" s="590">
        <f>'Regulatory instruments'!L83</f>
        <v/>
      </c>
      <c r="I129" s="590" t="inlineStr">
        <is>
          <t>Regulatory instruments</t>
        </is>
      </c>
      <c r="J129" s="590">
        <f>'Regulatory instruments'!C83</f>
        <v/>
      </c>
      <c r="K129" s="590">
        <f>'Regulatory instruments'!E83</f>
        <v/>
      </c>
      <c r="L129" s="590">
        <f>'Regulatory instruments'!F83</f>
        <v/>
      </c>
      <c r="M129" s="464" t="n"/>
    </row>
    <row r="130" ht="85.5" customHeight="1">
      <c r="A130" s="590">
        <f>'Regulatory instruments'!A84</f>
        <v/>
      </c>
      <c r="B130" s="590">
        <f>'Regulatory instruments'!D84</f>
        <v/>
      </c>
      <c r="C130" s="590">
        <f>'Regulatory instruments'!H84</f>
        <v/>
      </c>
      <c r="D130" s="590">
        <f>'Regulatory instruments'!G84</f>
        <v/>
      </c>
      <c r="E130" s="590">
        <f>'Regulatory instruments'!U84</f>
        <v/>
      </c>
      <c r="F130" s="590">
        <f>'Regulatory instruments'!Q84</f>
        <v/>
      </c>
      <c r="G130" s="590">
        <f>'Regulatory instruments'!R84</f>
        <v/>
      </c>
      <c r="H130" s="590">
        <f>'Regulatory instruments'!L84</f>
        <v/>
      </c>
      <c r="I130" s="590" t="inlineStr">
        <is>
          <t>Regulatory instruments</t>
        </is>
      </c>
      <c r="J130" s="590">
        <f>'Regulatory instruments'!C84</f>
        <v/>
      </c>
      <c r="K130" s="590">
        <f>'Regulatory instruments'!E84</f>
        <v/>
      </c>
      <c r="L130" s="590">
        <f>'Regulatory instruments'!F84</f>
        <v/>
      </c>
      <c r="M130" s="464" t="n"/>
    </row>
    <row r="131" ht="85.5" customHeight="1">
      <c r="A131" s="590">
        <f>'Regulatory instruments'!A85</f>
        <v/>
      </c>
      <c r="B131" s="590">
        <f>'Regulatory instruments'!D85</f>
        <v/>
      </c>
      <c r="C131" s="590">
        <f>'Regulatory instruments'!H85</f>
        <v/>
      </c>
      <c r="D131" s="590">
        <f>'Regulatory instruments'!G85</f>
        <v/>
      </c>
      <c r="E131" s="590">
        <f>'Regulatory instruments'!U85</f>
        <v/>
      </c>
      <c r="F131" s="590">
        <f>'Regulatory instruments'!Q85</f>
        <v/>
      </c>
      <c r="G131" s="590">
        <f>'Regulatory instruments'!R85</f>
        <v/>
      </c>
      <c r="H131" s="590">
        <f>'Regulatory instruments'!L85</f>
        <v/>
      </c>
      <c r="I131" s="590" t="inlineStr">
        <is>
          <t>Regulatory instruments</t>
        </is>
      </c>
      <c r="J131" s="590">
        <f>'Regulatory instruments'!C85</f>
        <v/>
      </c>
      <c r="K131" s="590">
        <f>'Regulatory instruments'!E85</f>
        <v/>
      </c>
      <c r="L131" s="590">
        <f>'Regulatory instruments'!F85</f>
        <v/>
      </c>
      <c r="M131" s="464" t="n"/>
    </row>
    <row r="132" ht="85.5" customHeight="1">
      <c r="A132" s="590">
        <f>'Regulatory instruments'!A86</f>
        <v/>
      </c>
      <c r="B132" s="590">
        <f>'Regulatory instruments'!D86</f>
        <v/>
      </c>
      <c r="C132" s="590">
        <f>'Regulatory instruments'!H86</f>
        <v/>
      </c>
      <c r="D132" s="590">
        <f>'Regulatory instruments'!G86</f>
        <v/>
      </c>
      <c r="E132" s="590">
        <f>'Regulatory instruments'!U86</f>
        <v/>
      </c>
      <c r="F132" s="590">
        <f>'Regulatory instruments'!Q86</f>
        <v/>
      </c>
      <c r="G132" s="590">
        <f>'Regulatory instruments'!R86</f>
        <v/>
      </c>
      <c r="H132" s="590">
        <f>'Regulatory instruments'!L86</f>
        <v/>
      </c>
      <c r="I132" s="590" t="inlineStr">
        <is>
          <t>Regulatory instruments</t>
        </is>
      </c>
      <c r="J132" s="590">
        <f>'Regulatory instruments'!C86</f>
        <v/>
      </c>
      <c r="K132" s="590">
        <f>'Regulatory instruments'!E86</f>
        <v/>
      </c>
      <c r="L132" s="590">
        <f>'Regulatory instruments'!F86</f>
        <v/>
      </c>
      <c r="M132" s="464" t="n"/>
    </row>
    <row r="133" ht="85.5" customHeight="1">
      <c r="A133" s="590">
        <f>'Regulatory instruments'!A87</f>
        <v/>
      </c>
      <c r="B133" s="590">
        <f>'Regulatory instruments'!D87</f>
        <v/>
      </c>
      <c r="C133" s="590">
        <f>'Regulatory instruments'!H87</f>
        <v/>
      </c>
      <c r="D133" s="590">
        <f>'Regulatory instruments'!G87</f>
        <v/>
      </c>
      <c r="E133" s="590">
        <f>'Regulatory instruments'!U87</f>
        <v/>
      </c>
      <c r="F133" s="590">
        <f>'Regulatory instruments'!Q87</f>
        <v/>
      </c>
      <c r="G133" s="590">
        <f>'Regulatory instruments'!R87</f>
        <v/>
      </c>
      <c r="H133" s="590">
        <f>'Regulatory instruments'!L87</f>
        <v/>
      </c>
      <c r="I133" s="590" t="inlineStr">
        <is>
          <t>Regulatory instruments</t>
        </is>
      </c>
      <c r="J133" s="590">
        <f>'Regulatory instruments'!C87</f>
        <v/>
      </c>
      <c r="K133" s="590">
        <f>'Regulatory instruments'!E87</f>
        <v/>
      </c>
      <c r="L133" s="590">
        <f>'Regulatory instruments'!F87</f>
        <v/>
      </c>
      <c r="M133" s="464" t="n"/>
    </row>
    <row r="134" ht="85.5" customHeight="1">
      <c r="A134" s="590">
        <f>'Regulatory instruments'!A88</f>
        <v/>
      </c>
      <c r="B134" s="590">
        <f>'Regulatory instruments'!D88</f>
        <v/>
      </c>
      <c r="C134" s="590">
        <f>'Regulatory instruments'!H88</f>
        <v/>
      </c>
      <c r="D134" s="590">
        <f>'Regulatory instruments'!G88</f>
        <v/>
      </c>
      <c r="E134" s="590">
        <f>'Regulatory instruments'!U88</f>
        <v/>
      </c>
      <c r="F134" s="590">
        <f>'Regulatory instruments'!Q88</f>
        <v/>
      </c>
      <c r="G134" s="590">
        <f>'Regulatory instruments'!R88</f>
        <v/>
      </c>
      <c r="H134" s="590">
        <f>'Regulatory instruments'!L88</f>
        <v/>
      </c>
      <c r="I134" s="590" t="inlineStr">
        <is>
          <t>Regulatory instruments</t>
        </is>
      </c>
      <c r="J134" s="590">
        <f>'Regulatory instruments'!C88</f>
        <v/>
      </c>
      <c r="K134" s="590">
        <f>'Regulatory instruments'!E88</f>
        <v/>
      </c>
      <c r="L134" s="590">
        <f>'Regulatory instruments'!F88</f>
        <v/>
      </c>
      <c r="M134" s="464" t="n"/>
    </row>
    <row r="135" ht="85.5" customHeight="1">
      <c r="A135" s="590">
        <f>'Regulatory instruments'!A89</f>
        <v/>
      </c>
      <c r="B135" s="590">
        <f>'Regulatory instruments'!D89</f>
        <v/>
      </c>
      <c r="C135" s="590">
        <f>'Regulatory instruments'!H89</f>
        <v/>
      </c>
      <c r="D135" s="590">
        <f>'Regulatory instruments'!G89</f>
        <v/>
      </c>
      <c r="E135" s="590">
        <f>'Regulatory instruments'!U89</f>
        <v/>
      </c>
      <c r="F135" s="590">
        <f>'Regulatory instruments'!Q89</f>
        <v/>
      </c>
      <c r="G135" s="590">
        <f>'Regulatory instruments'!R89</f>
        <v/>
      </c>
      <c r="H135" s="590">
        <f>'Regulatory instruments'!L89</f>
        <v/>
      </c>
      <c r="I135" s="590" t="inlineStr">
        <is>
          <t>Regulatory instruments</t>
        </is>
      </c>
      <c r="J135" s="590">
        <f>'Regulatory instruments'!C89</f>
        <v/>
      </c>
      <c r="K135" s="590">
        <f>'Regulatory instruments'!E89</f>
        <v/>
      </c>
      <c r="L135" s="590">
        <f>'Regulatory instruments'!F89</f>
        <v/>
      </c>
      <c r="M135" s="464" t="n"/>
    </row>
    <row r="136" ht="85.5" customHeight="1">
      <c r="A136" s="590">
        <f>'Regulatory instruments'!A90</f>
        <v/>
      </c>
      <c r="B136" s="590">
        <f>'Regulatory instruments'!D90</f>
        <v/>
      </c>
      <c r="C136" s="590">
        <f>'Regulatory instruments'!H90</f>
        <v/>
      </c>
      <c r="D136" s="590">
        <f>'Regulatory instruments'!G90</f>
        <v/>
      </c>
      <c r="E136" s="590">
        <f>'Regulatory instruments'!U90</f>
        <v/>
      </c>
      <c r="F136" s="590">
        <f>'Regulatory instruments'!Q90</f>
        <v/>
      </c>
      <c r="G136" s="590">
        <f>'Regulatory instruments'!R90</f>
        <v/>
      </c>
      <c r="H136" s="590">
        <f>'Regulatory instruments'!L90</f>
        <v/>
      </c>
      <c r="I136" s="590" t="inlineStr">
        <is>
          <t>Regulatory instruments</t>
        </is>
      </c>
      <c r="J136" s="590">
        <f>'Regulatory instruments'!C90</f>
        <v/>
      </c>
      <c r="K136" s="590">
        <f>'Regulatory instruments'!E90</f>
        <v/>
      </c>
      <c r="L136" s="590">
        <f>'Regulatory instruments'!F90</f>
        <v/>
      </c>
      <c r="M136" s="464" t="n"/>
    </row>
    <row r="137" ht="85.5" customHeight="1">
      <c r="A137" s="590">
        <f>'Regulatory instruments'!A91</f>
        <v/>
      </c>
      <c r="B137" s="590">
        <f>'Regulatory instruments'!D91</f>
        <v/>
      </c>
      <c r="C137" s="590">
        <f>'Regulatory instruments'!H91</f>
        <v/>
      </c>
      <c r="D137" s="590">
        <f>'Regulatory instruments'!G91</f>
        <v/>
      </c>
      <c r="E137" s="590">
        <f>'Regulatory instruments'!U91</f>
        <v/>
      </c>
      <c r="F137" s="590">
        <f>'Regulatory instruments'!Q91</f>
        <v/>
      </c>
      <c r="G137" s="590">
        <f>'Regulatory instruments'!R91</f>
        <v/>
      </c>
      <c r="H137" s="590">
        <f>'Regulatory instruments'!L91</f>
        <v/>
      </c>
      <c r="I137" s="590" t="inlineStr">
        <is>
          <t>Regulatory instruments</t>
        </is>
      </c>
      <c r="J137" s="590">
        <f>'Regulatory instruments'!C91</f>
        <v/>
      </c>
      <c r="K137" s="590">
        <f>'Regulatory instruments'!E91</f>
        <v/>
      </c>
      <c r="L137" s="590">
        <f>'Regulatory instruments'!F91</f>
        <v/>
      </c>
      <c r="M137" s="464" t="n"/>
    </row>
    <row r="138" ht="99.75" customHeight="1">
      <c r="A138" s="590">
        <f>'Regulatory instruments'!A92</f>
        <v/>
      </c>
      <c r="B138" s="590">
        <f>'Regulatory instruments'!D92</f>
        <v/>
      </c>
      <c r="C138" s="590">
        <f>'Regulatory instruments'!H92</f>
        <v/>
      </c>
      <c r="D138" s="590">
        <f>'Regulatory instruments'!G92</f>
        <v/>
      </c>
      <c r="E138" s="590">
        <f>'Regulatory instruments'!U92</f>
        <v/>
      </c>
      <c r="F138" s="590">
        <f>'Regulatory instruments'!Q92</f>
        <v/>
      </c>
      <c r="G138" s="590">
        <f>'Regulatory instruments'!R92</f>
        <v/>
      </c>
      <c r="H138" s="590">
        <f>'Regulatory instruments'!L92</f>
        <v/>
      </c>
      <c r="I138" s="590" t="inlineStr">
        <is>
          <t>Regulatory instruments</t>
        </is>
      </c>
      <c r="J138" s="590">
        <f>'Regulatory instruments'!C92</f>
        <v/>
      </c>
      <c r="K138" s="590">
        <f>'Regulatory instruments'!E92</f>
        <v/>
      </c>
      <c r="L138" s="590">
        <f>'Regulatory instruments'!F92</f>
        <v/>
      </c>
      <c r="M138" s="464" t="n"/>
    </row>
    <row r="139" ht="85.5" customHeight="1">
      <c r="A139" s="590">
        <f>'Regulatory instruments'!A93</f>
        <v/>
      </c>
      <c r="B139" s="590">
        <f>'Regulatory instruments'!D93</f>
        <v/>
      </c>
      <c r="C139" s="590">
        <f>'Regulatory instruments'!H93</f>
        <v/>
      </c>
      <c r="D139" s="590">
        <f>'Regulatory instruments'!G93</f>
        <v/>
      </c>
      <c r="E139" s="590">
        <f>'Regulatory instruments'!U93</f>
        <v/>
      </c>
      <c r="F139" s="590">
        <f>'Regulatory instruments'!Q93</f>
        <v/>
      </c>
      <c r="G139" s="590">
        <f>'Regulatory instruments'!R93</f>
        <v/>
      </c>
      <c r="H139" s="590">
        <f>'Regulatory instruments'!L93</f>
        <v/>
      </c>
      <c r="I139" s="590" t="inlineStr">
        <is>
          <t>Regulatory instruments</t>
        </is>
      </c>
      <c r="J139" s="590">
        <f>'Regulatory instruments'!C93</f>
        <v/>
      </c>
      <c r="K139" s="590">
        <f>'Regulatory instruments'!E93</f>
        <v/>
      </c>
      <c r="L139" s="590">
        <f>'Regulatory instruments'!F93</f>
        <v/>
      </c>
      <c r="M139" s="464" t="n"/>
    </row>
    <row r="140" ht="99.75" customHeight="1">
      <c r="A140" s="590">
        <f>'Regulatory instruments'!A94</f>
        <v/>
      </c>
      <c r="B140" s="590">
        <f>'Regulatory instruments'!D94</f>
        <v/>
      </c>
      <c r="C140" s="590">
        <f>'Regulatory instruments'!H94</f>
        <v/>
      </c>
      <c r="D140" s="590">
        <f>'Regulatory instruments'!G94</f>
        <v/>
      </c>
      <c r="E140" s="590">
        <f>'Regulatory instruments'!U94</f>
        <v/>
      </c>
      <c r="F140" s="590">
        <f>'Regulatory instruments'!Q94</f>
        <v/>
      </c>
      <c r="G140" s="590">
        <f>'Regulatory instruments'!R94</f>
        <v/>
      </c>
      <c r="H140" s="590">
        <f>'Regulatory instruments'!L94</f>
        <v/>
      </c>
      <c r="I140" s="590" t="inlineStr">
        <is>
          <t>Regulatory instruments</t>
        </is>
      </c>
      <c r="J140" s="590">
        <f>'Regulatory instruments'!C94</f>
        <v/>
      </c>
      <c r="K140" s="590">
        <f>'Regulatory instruments'!E94</f>
        <v/>
      </c>
      <c r="L140" s="590">
        <f>'Regulatory instruments'!F94</f>
        <v/>
      </c>
      <c r="M140" s="464" t="n"/>
    </row>
    <row r="141" ht="85.5" customHeight="1">
      <c r="A141" s="590">
        <f>'Regulatory instruments'!A95</f>
        <v/>
      </c>
      <c r="B141" s="590">
        <f>'Regulatory instruments'!D95</f>
        <v/>
      </c>
      <c r="C141" s="590">
        <f>'Regulatory instruments'!H95</f>
        <v/>
      </c>
      <c r="D141" s="590">
        <f>'Regulatory instruments'!G95</f>
        <v/>
      </c>
      <c r="E141" s="590">
        <f>'Regulatory instruments'!U95</f>
        <v/>
      </c>
      <c r="F141" s="590">
        <f>'Regulatory instruments'!Q95</f>
        <v/>
      </c>
      <c r="G141" s="590">
        <f>'Regulatory instruments'!R95</f>
        <v/>
      </c>
      <c r="H141" s="590">
        <f>'Regulatory instruments'!L95</f>
        <v/>
      </c>
      <c r="I141" s="590" t="inlineStr">
        <is>
          <t>Regulatory instruments</t>
        </is>
      </c>
      <c r="J141" s="590">
        <f>'Regulatory instruments'!C95</f>
        <v/>
      </c>
      <c r="K141" s="590">
        <f>'Regulatory instruments'!E95</f>
        <v/>
      </c>
      <c r="L141" s="590">
        <f>'Regulatory instruments'!F95</f>
        <v/>
      </c>
      <c r="M141" s="464" t="n"/>
    </row>
    <row r="142" ht="85.5" customHeight="1">
      <c r="A142" s="590">
        <f>'Regulatory instruments'!A96</f>
        <v/>
      </c>
      <c r="B142" s="590">
        <f>'Regulatory instruments'!D96</f>
        <v/>
      </c>
      <c r="C142" s="590">
        <f>'Regulatory instruments'!H96</f>
        <v/>
      </c>
      <c r="D142" s="590">
        <f>'Regulatory instruments'!G96</f>
        <v/>
      </c>
      <c r="E142" s="590">
        <f>'Regulatory instruments'!U96</f>
        <v/>
      </c>
      <c r="F142" s="590">
        <f>'Regulatory instruments'!Q96</f>
        <v/>
      </c>
      <c r="G142" s="590">
        <f>'Regulatory instruments'!R96</f>
        <v/>
      </c>
      <c r="H142" s="590">
        <f>'Regulatory instruments'!L96</f>
        <v/>
      </c>
      <c r="I142" s="590" t="inlineStr">
        <is>
          <t>Regulatory instruments</t>
        </is>
      </c>
      <c r="J142" s="590">
        <f>'Regulatory instruments'!C96</f>
        <v/>
      </c>
      <c r="K142" s="590">
        <f>'Regulatory instruments'!E96</f>
        <v/>
      </c>
      <c r="L142" s="590">
        <f>'Regulatory instruments'!F96</f>
        <v/>
      </c>
      <c r="M142" s="464" t="n"/>
    </row>
    <row r="143" ht="85.5" customHeight="1">
      <c r="A143" s="590">
        <f>'Regulatory instruments'!A97</f>
        <v/>
      </c>
      <c r="B143" s="590">
        <f>'Regulatory instruments'!D97</f>
        <v/>
      </c>
      <c r="C143" s="590">
        <f>'Regulatory instruments'!H97</f>
        <v/>
      </c>
      <c r="D143" s="590">
        <f>'Regulatory instruments'!G97</f>
        <v/>
      </c>
      <c r="E143" s="590">
        <f>'Regulatory instruments'!U97</f>
        <v/>
      </c>
      <c r="F143" s="590">
        <f>'Regulatory instruments'!Q97</f>
        <v/>
      </c>
      <c r="G143" s="590">
        <f>'Regulatory instruments'!R97</f>
        <v/>
      </c>
      <c r="H143" s="590">
        <f>'Regulatory instruments'!L97</f>
        <v/>
      </c>
      <c r="I143" s="590" t="inlineStr">
        <is>
          <t>Regulatory instruments</t>
        </is>
      </c>
      <c r="J143" s="590">
        <f>'Regulatory instruments'!C97</f>
        <v/>
      </c>
      <c r="K143" s="590">
        <f>'Regulatory instruments'!E97</f>
        <v/>
      </c>
      <c r="L143" s="590">
        <f>'Regulatory instruments'!F97</f>
        <v/>
      </c>
      <c r="M143" s="464" t="n"/>
    </row>
    <row r="144" ht="85.5" customHeight="1">
      <c r="A144" s="590">
        <f>'Regulatory instruments'!A98</f>
        <v/>
      </c>
      <c r="B144" s="590">
        <f>'Regulatory instruments'!D98</f>
        <v/>
      </c>
      <c r="C144" s="590">
        <f>'Regulatory instruments'!H98</f>
        <v/>
      </c>
      <c r="D144" s="590">
        <f>'Regulatory instruments'!G98</f>
        <v/>
      </c>
      <c r="E144" s="590">
        <f>'Regulatory instruments'!U98</f>
        <v/>
      </c>
      <c r="F144" s="590">
        <f>'Regulatory instruments'!Q98</f>
        <v/>
      </c>
      <c r="G144" s="590">
        <f>'Regulatory instruments'!R98</f>
        <v/>
      </c>
      <c r="H144" s="590">
        <f>'Regulatory instruments'!L98</f>
        <v/>
      </c>
      <c r="I144" s="590" t="inlineStr">
        <is>
          <t>Regulatory instruments</t>
        </is>
      </c>
      <c r="J144" s="590">
        <f>'Regulatory instruments'!C98</f>
        <v/>
      </c>
      <c r="K144" s="590">
        <f>'Regulatory instruments'!E98</f>
        <v/>
      </c>
      <c r="L144" s="590">
        <f>'Regulatory instruments'!F98</f>
        <v/>
      </c>
      <c r="M144" s="464" t="n"/>
    </row>
    <row r="145" ht="85.5" customHeight="1">
      <c r="A145" s="590">
        <f>'Regulatory instruments'!A99</f>
        <v/>
      </c>
      <c r="B145" s="590">
        <f>'Regulatory instruments'!D99</f>
        <v/>
      </c>
      <c r="C145" s="590">
        <f>'Regulatory instruments'!H99</f>
        <v/>
      </c>
      <c r="D145" s="590">
        <f>'Regulatory instruments'!G99</f>
        <v/>
      </c>
      <c r="E145" s="590">
        <f>'Regulatory instruments'!U99</f>
        <v/>
      </c>
      <c r="F145" s="590">
        <f>'Regulatory instruments'!Q99</f>
        <v/>
      </c>
      <c r="G145" s="590">
        <f>'Regulatory instruments'!R99</f>
        <v/>
      </c>
      <c r="H145" s="590">
        <f>'Regulatory instruments'!L99</f>
        <v/>
      </c>
      <c r="I145" s="590" t="inlineStr">
        <is>
          <t>Regulatory instruments</t>
        </is>
      </c>
      <c r="J145" s="590">
        <f>'Regulatory instruments'!C99</f>
        <v/>
      </c>
      <c r="K145" s="590">
        <f>'Regulatory instruments'!E99</f>
        <v/>
      </c>
      <c r="L145" s="590">
        <f>'Regulatory instruments'!F99</f>
        <v/>
      </c>
      <c r="M145" s="464" t="n"/>
    </row>
    <row r="146" ht="85.5" customHeight="1">
      <c r="A146" s="590">
        <f>'Regulatory instruments'!A100</f>
        <v/>
      </c>
      <c r="B146" s="590">
        <f>'Regulatory instruments'!D100</f>
        <v/>
      </c>
      <c r="C146" s="590">
        <f>'Regulatory instruments'!H100</f>
        <v/>
      </c>
      <c r="D146" s="590">
        <f>'Regulatory instruments'!G100</f>
        <v/>
      </c>
      <c r="E146" s="590">
        <f>'Regulatory instruments'!U100</f>
        <v/>
      </c>
      <c r="F146" s="590">
        <f>'Regulatory instruments'!Q100</f>
        <v/>
      </c>
      <c r="G146" s="590">
        <f>'Regulatory instruments'!R100</f>
        <v/>
      </c>
      <c r="H146" s="590">
        <f>'Regulatory instruments'!L100</f>
        <v/>
      </c>
      <c r="I146" s="590" t="inlineStr">
        <is>
          <t>Regulatory instruments</t>
        </is>
      </c>
      <c r="J146" s="590">
        <f>'Regulatory instruments'!C100</f>
        <v/>
      </c>
      <c r="K146" s="590">
        <f>'Regulatory instruments'!E100</f>
        <v/>
      </c>
      <c r="L146" s="590">
        <f>'Regulatory instruments'!F100</f>
        <v/>
      </c>
      <c r="M146" s="464" t="n"/>
    </row>
    <row r="147" ht="85.5" customHeight="1">
      <c r="A147" s="590">
        <f>'Regulatory instruments'!A101</f>
        <v/>
      </c>
      <c r="B147" s="590">
        <f>'Regulatory instruments'!D101</f>
        <v/>
      </c>
      <c r="C147" s="590">
        <f>'Regulatory instruments'!H101</f>
        <v/>
      </c>
      <c r="D147" s="590">
        <f>'Regulatory instruments'!G101</f>
        <v/>
      </c>
      <c r="E147" s="590">
        <f>'Regulatory instruments'!U101</f>
        <v/>
      </c>
      <c r="F147" s="590">
        <f>'Regulatory instruments'!Q101</f>
        <v/>
      </c>
      <c r="G147" s="590">
        <f>'Regulatory instruments'!R101</f>
        <v/>
      </c>
      <c r="H147" s="590">
        <f>'Regulatory instruments'!L101</f>
        <v/>
      </c>
      <c r="I147" s="590" t="inlineStr">
        <is>
          <t>Regulatory instruments</t>
        </is>
      </c>
      <c r="J147" s="590">
        <f>'Regulatory instruments'!C101</f>
        <v/>
      </c>
      <c r="K147" s="590">
        <f>'Regulatory instruments'!E101</f>
        <v/>
      </c>
      <c r="L147" s="590">
        <f>'Regulatory instruments'!F101</f>
        <v/>
      </c>
      <c r="M147" s="464" t="n"/>
    </row>
    <row r="148" ht="85.5" customHeight="1">
      <c r="A148" s="590">
        <f>'Regulatory instruments'!A102</f>
        <v/>
      </c>
      <c r="B148" s="590">
        <f>'Regulatory instruments'!D102</f>
        <v/>
      </c>
      <c r="C148" s="590">
        <f>'Regulatory instruments'!H102</f>
        <v/>
      </c>
      <c r="D148" s="590">
        <f>'Regulatory instruments'!G102</f>
        <v/>
      </c>
      <c r="E148" s="590">
        <f>'Regulatory instruments'!U102</f>
        <v/>
      </c>
      <c r="F148" s="590">
        <f>'Regulatory instruments'!Q102</f>
        <v/>
      </c>
      <c r="G148" s="590">
        <f>'Regulatory instruments'!R102</f>
        <v/>
      </c>
      <c r="H148" s="590">
        <f>'Regulatory instruments'!L102</f>
        <v/>
      </c>
      <c r="I148" s="590" t="inlineStr">
        <is>
          <t>Regulatory instruments</t>
        </is>
      </c>
      <c r="J148" s="590">
        <f>'Regulatory instruments'!C102</f>
        <v/>
      </c>
      <c r="K148" s="590">
        <f>'Regulatory instruments'!E102</f>
        <v/>
      </c>
      <c r="L148" s="590">
        <f>'Regulatory instruments'!F102</f>
        <v/>
      </c>
      <c r="M148" s="464" t="n"/>
    </row>
    <row r="149" ht="85.5" customHeight="1">
      <c r="A149" s="590">
        <f>'Regulatory instruments'!A103</f>
        <v/>
      </c>
      <c r="B149" s="590">
        <f>'Regulatory instruments'!D103</f>
        <v/>
      </c>
      <c r="C149" s="590">
        <f>'Regulatory instruments'!H103</f>
        <v/>
      </c>
      <c r="D149" s="590">
        <f>'Regulatory instruments'!G103</f>
        <v/>
      </c>
      <c r="E149" s="590">
        <f>'Regulatory instruments'!U103</f>
        <v/>
      </c>
      <c r="F149" s="590">
        <f>'Regulatory instruments'!Q103</f>
        <v/>
      </c>
      <c r="G149" s="590">
        <f>'Regulatory instruments'!R103</f>
        <v/>
      </c>
      <c r="H149" s="590">
        <f>'Regulatory instruments'!L103</f>
        <v/>
      </c>
      <c r="I149" s="590" t="inlineStr">
        <is>
          <t>Regulatory instruments</t>
        </is>
      </c>
      <c r="J149" s="590">
        <f>'Regulatory instruments'!C103</f>
        <v/>
      </c>
      <c r="K149" s="590">
        <f>'Regulatory instruments'!E103</f>
        <v/>
      </c>
      <c r="L149" s="590">
        <f>'Regulatory instruments'!F103</f>
        <v/>
      </c>
      <c r="M149" s="464" t="n"/>
    </row>
    <row r="150" ht="85.5" customHeight="1">
      <c r="A150" s="590">
        <f>'Regulatory instruments'!A104</f>
        <v/>
      </c>
      <c r="B150" s="590">
        <f>'Regulatory instruments'!D104</f>
        <v/>
      </c>
      <c r="C150" s="590">
        <f>'Regulatory instruments'!H104</f>
        <v/>
      </c>
      <c r="D150" s="590">
        <f>'Regulatory instruments'!G104</f>
        <v/>
      </c>
      <c r="E150" s="590">
        <f>'Regulatory instruments'!U104</f>
        <v/>
      </c>
      <c r="F150" s="590">
        <f>'Regulatory instruments'!Q104</f>
        <v/>
      </c>
      <c r="G150" s="590">
        <f>'Regulatory instruments'!R104</f>
        <v/>
      </c>
      <c r="H150" s="590">
        <f>'Regulatory instruments'!L104</f>
        <v/>
      </c>
      <c r="I150" s="590" t="inlineStr">
        <is>
          <t>Regulatory instruments</t>
        </is>
      </c>
      <c r="J150" s="590">
        <f>'Regulatory instruments'!C104</f>
        <v/>
      </c>
      <c r="K150" s="590">
        <f>'Regulatory instruments'!E104</f>
        <v/>
      </c>
      <c r="L150" s="590">
        <f>'Regulatory instruments'!F104</f>
        <v/>
      </c>
      <c r="M150" s="464" t="n"/>
    </row>
    <row r="151" ht="85.5" customHeight="1">
      <c r="A151" s="590">
        <f>'Regulatory instruments'!A105</f>
        <v/>
      </c>
      <c r="B151" s="590">
        <f>'Regulatory instruments'!D105</f>
        <v/>
      </c>
      <c r="C151" s="590">
        <f>'Regulatory instruments'!H105</f>
        <v/>
      </c>
      <c r="D151" s="590">
        <f>'Regulatory instruments'!G105</f>
        <v/>
      </c>
      <c r="E151" s="590">
        <f>'Regulatory instruments'!U105</f>
        <v/>
      </c>
      <c r="F151" s="590">
        <f>'Regulatory instruments'!Q105</f>
        <v/>
      </c>
      <c r="G151" s="590">
        <f>'Regulatory instruments'!R105</f>
        <v/>
      </c>
      <c r="H151" s="590">
        <f>'Regulatory instruments'!L105</f>
        <v/>
      </c>
      <c r="I151" s="590" t="inlineStr">
        <is>
          <t>Regulatory instruments</t>
        </is>
      </c>
      <c r="J151" s="590">
        <f>'Regulatory instruments'!C105</f>
        <v/>
      </c>
      <c r="K151" s="590">
        <f>'Regulatory instruments'!E105</f>
        <v/>
      </c>
      <c r="L151" s="590">
        <f>'Regulatory instruments'!F105</f>
        <v/>
      </c>
      <c r="M151" s="464" t="n"/>
    </row>
    <row r="152" ht="85.5" customHeight="1">
      <c r="A152" s="590">
        <f>'Regulatory instruments'!A106</f>
        <v/>
      </c>
      <c r="B152" s="590">
        <f>'Regulatory instruments'!D106</f>
        <v/>
      </c>
      <c r="C152" s="590">
        <f>'Regulatory instruments'!H106</f>
        <v/>
      </c>
      <c r="D152" s="590">
        <f>'Regulatory instruments'!G106</f>
        <v/>
      </c>
      <c r="E152" s="590">
        <f>'Regulatory instruments'!U106</f>
        <v/>
      </c>
      <c r="F152" s="590">
        <f>'Regulatory instruments'!Q106</f>
        <v/>
      </c>
      <c r="G152" s="590">
        <f>'Regulatory instruments'!R106</f>
        <v/>
      </c>
      <c r="H152" s="590">
        <f>'Regulatory instruments'!L106</f>
        <v/>
      </c>
      <c r="I152" s="590" t="inlineStr">
        <is>
          <t>Regulatory instruments</t>
        </is>
      </c>
      <c r="J152" s="590">
        <f>'Regulatory instruments'!C106</f>
        <v/>
      </c>
      <c r="K152" s="590">
        <f>'Regulatory instruments'!E106</f>
        <v/>
      </c>
      <c r="L152" s="590">
        <f>'Regulatory instruments'!F106</f>
        <v/>
      </c>
      <c r="M152" s="464" t="n"/>
    </row>
    <row r="153" ht="85.5" customHeight="1">
      <c r="A153" s="590">
        <f>'Regulatory instruments'!A107</f>
        <v/>
      </c>
      <c r="B153" s="590">
        <f>'Regulatory instruments'!D107</f>
        <v/>
      </c>
      <c r="C153" s="590">
        <f>'Regulatory instruments'!H107</f>
        <v/>
      </c>
      <c r="D153" s="590">
        <f>'Regulatory instruments'!G107</f>
        <v/>
      </c>
      <c r="E153" s="590">
        <f>'Regulatory instruments'!U107</f>
        <v/>
      </c>
      <c r="F153" s="590">
        <f>'Regulatory instruments'!Q107</f>
        <v/>
      </c>
      <c r="G153" s="590">
        <f>'Regulatory instruments'!R107</f>
        <v/>
      </c>
      <c r="H153" s="590">
        <f>'Regulatory instruments'!L107</f>
        <v/>
      </c>
      <c r="I153" s="590" t="inlineStr">
        <is>
          <t>Regulatory instruments</t>
        </is>
      </c>
      <c r="J153" s="590">
        <f>'Regulatory instruments'!C107</f>
        <v/>
      </c>
      <c r="K153" s="590">
        <f>'Regulatory instruments'!E107</f>
        <v/>
      </c>
      <c r="L153" s="590">
        <f>'Regulatory instruments'!F107</f>
        <v/>
      </c>
      <c r="M153" s="464" t="n"/>
    </row>
    <row r="154" ht="85.5" customHeight="1">
      <c r="A154" s="590">
        <f>'Regulatory instruments'!A108</f>
        <v/>
      </c>
      <c r="B154" s="590">
        <f>'Regulatory instruments'!D108</f>
        <v/>
      </c>
      <c r="C154" s="590">
        <f>'Regulatory instruments'!H108</f>
        <v/>
      </c>
      <c r="D154" s="590">
        <f>'Regulatory instruments'!G108</f>
        <v/>
      </c>
      <c r="E154" s="590">
        <f>'Regulatory instruments'!U108</f>
        <v/>
      </c>
      <c r="F154" s="590">
        <f>'Regulatory instruments'!Q108</f>
        <v/>
      </c>
      <c r="G154" s="590">
        <f>'Regulatory instruments'!R108</f>
        <v/>
      </c>
      <c r="H154" s="590">
        <f>'Regulatory instruments'!L108</f>
        <v/>
      </c>
      <c r="I154" s="590" t="inlineStr">
        <is>
          <t>Regulatory instruments</t>
        </is>
      </c>
      <c r="J154" s="590">
        <f>'Regulatory instruments'!C108</f>
        <v/>
      </c>
      <c r="K154" s="590">
        <f>'Regulatory instruments'!E108</f>
        <v/>
      </c>
      <c r="L154" s="590">
        <f>'Regulatory instruments'!F108</f>
        <v/>
      </c>
      <c r="M154" s="464" t="n"/>
    </row>
    <row r="155" ht="85.5" customHeight="1">
      <c r="A155" s="590">
        <f>'Regulatory instruments'!A109</f>
        <v/>
      </c>
      <c r="B155" s="590">
        <f>'Regulatory instruments'!D109</f>
        <v/>
      </c>
      <c r="C155" s="590">
        <f>'Regulatory instruments'!H109</f>
        <v/>
      </c>
      <c r="D155" s="590">
        <f>'Regulatory instruments'!G109</f>
        <v/>
      </c>
      <c r="E155" s="590">
        <f>'Regulatory instruments'!U109</f>
        <v/>
      </c>
      <c r="F155" s="590">
        <f>'Regulatory instruments'!Q109</f>
        <v/>
      </c>
      <c r="G155" s="590">
        <f>'Regulatory instruments'!R109</f>
        <v/>
      </c>
      <c r="H155" s="590">
        <f>'Regulatory instruments'!L109</f>
        <v/>
      </c>
      <c r="I155" s="590" t="inlineStr">
        <is>
          <t>Regulatory instruments</t>
        </is>
      </c>
      <c r="J155" s="590">
        <f>'Regulatory instruments'!C109</f>
        <v/>
      </c>
      <c r="K155" s="590">
        <f>'Regulatory instruments'!E109</f>
        <v/>
      </c>
      <c r="L155" s="590">
        <f>'Regulatory instruments'!F109</f>
        <v/>
      </c>
      <c r="M155" s="464" t="n"/>
    </row>
    <row r="156" ht="85.5" customHeight="1">
      <c r="A156" s="590">
        <f>'Regulatory instruments'!A110</f>
        <v/>
      </c>
      <c r="B156" s="590">
        <f>'Regulatory instruments'!D110</f>
        <v/>
      </c>
      <c r="C156" s="590">
        <f>'Regulatory instruments'!H110</f>
        <v/>
      </c>
      <c r="D156" s="590">
        <f>'Regulatory instruments'!G110</f>
        <v/>
      </c>
      <c r="E156" s="590">
        <f>'Regulatory instruments'!U110</f>
        <v/>
      </c>
      <c r="F156" s="590">
        <f>'Regulatory instruments'!Q110</f>
        <v/>
      </c>
      <c r="G156" s="590">
        <f>'Regulatory instruments'!R110</f>
        <v/>
      </c>
      <c r="H156" s="590">
        <f>'Regulatory instruments'!L110</f>
        <v/>
      </c>
      <c r="I156" s="590" t="inlineStr">
        <is>
          <t>Regulatory instruments</t>
        </is>
      </c>
      <c r="J156" s="590">
        <f>'Regulatory instruments'!C110</f>
        <v/>
      </c>
      <c r="K156" s="590">
        <f>'Regulatory instruments'!E110</f>
        <v/>
      </c>
      <c r="L156" s="590">
        <f>'Regulatory instruments'!F110</f>
        <v/>
      </c>
      <c r="M156" s="464" t="n"/>
    </row>
    <row r="157" ht="85.5" customHeight="1">
      <c r="A157" s="590">
        <f>'Regulatory instruments'!A111</f>
        <v/>
      </c>
      <c r="B157" s="590">
        <f>'Regulatory instruments'!D111</f>
        <v/>
      </c>
      <c r="C157" s="590">
        <f>'Regulatory instruments'!H111</f>
        <v/>
      </c>
      <c r="D157" s="590">
        <f>'Regulatory instruments'!G111</f>
        <v/>
      </c>
      <c r="E157" s="590">
        <f>'Regulatory instruments'!U111</f>
        <v/>
      </c>
      <c r="F157" s="590">
        <f>'Regulatory instruments'!Q111</f>
        <v/>
      </c>
      <c r="G157" s="590">
        <f>'Regulatory instruments'!R111</f>
        <v/>
      </c>
      <c r="H157" s="590">
        <f>'Regulatory instruments'!L111</f>
        <v/>
      </c>
      <c r="I157" s="590" t="inlineStr">
        <is>
          <t>Regulatory instruments</t>
        </is>
      </c>
      <c r="J157" s="590">
        <f>'Regulatory instruments'!C111</f>
        <v/>
      </c>
      <c r="K157" s="590">
        <f>'Regulatory instruments'!E111</f>
        <v/>
      </c>
      <c r="L157" s="590">
        <f>'Regulatory instruments'!F111</f>
        <v/>
      </c>
      <c r="M157" s="464" t="n"/>
    </row>
    <row r="158" ht="85.5" customHeight="1">
      <c r="A158" s="590">
        <f>'Regulatory instruments'!A112</f>
        <v/>
      </c>
      <c r="B158" s="590">
        <f>'Regulatory instruments'!D112</f>
        <v/>
      </c>
      <c r="C158" s="590">
        <f>'Regulatory instruments'!H112</f>
        <v/>
      </c>
      <c r="D158" s="590">
        <f>'Regulatory instruments'!G112</f>
        <v/>
      </c>
      <c r="E158" s="590">
        <f>'Regulatory instruments'!U112</f>
        <v/>
      </c>
      <c r="F158" s="590">
        <f>'Regulatory instruments'!Q112</f>
        <v/>
      </c>
      <c r="G158" s="590">
        <f>'Regulatory instruments'!R112</f>
        <v/>
      </c>
      <c r="H158" s="590">
        <f>'Regulatory instruments'!L112</f>
        <v/>
      </c>
      <c r="I158" s="590" t="inlineStr">
        <is>
          <t>Regulatory instruments</t>
        </is>
      </c>
      <c r="J158" s="590">
        <f>'Regulatory instruments'!C112</f>
        <v/>
      </c>
      <c r="K158" s="590">
        <f>'Regulatory instruments'!E112</f>
        <v/>
      </c>
      <c r="L158" s="590">
        <f>'Regulatory instruments'!F112</f>
        <v/>
      </c>
      <c r="M158" s="464" t="n"/>
    </row>
    <row r="159" ht="85.5" customHeight="1">
      <c r="A159" s="590">
        <f>'Regulatory instruments'!A113</f>
        <v/>
      </c>
      <c r="B159" s="590">
        <f>'Regulatory instruments'!D113</f>
        <v/>
      </c>
      <c r="C159" s="590">
        <f>'Regulatory instruments'!H113</f>
        <v/>
      </c>
      <c r="D159" s="590">
        <f>'Regulatory instruments'!G113</f>
        <v/>
      </c>
      <c r="E159" s="590">
        <f>'Regulatory instruments'!U113</f>
        <v/>
      </c>
      <c r="F159" s="590">
        <f>'Regulatory instruments'!Q113</f>
        <v/>
      </c>
      <c r="G159" s="590">
        <f>'Regulatory instruments'!R113</f>
        <v/>
      </c>
      <c r="H159" s="590">
        <f>'Regulatory instruments'!L113</f>
        <v/>
      </c>
      <c r="I159" s="590" t="inlineStr">
        <is>
          <t>Regulatory instruments</t>
        </is>
      </c>
      <c r="J159" s="590">
        <f>'Regulatory instruments'!C113</f>
        <v/>
      </c>
      <c r="K159" s="590">
        <f>'Regulatory instruments'!E113</f>
        <v/>
      </c>
      <c r="L159" s="590">
        <f>'Regulatory instruments'!F113</f>
        <v/>
      </c>
      <c r="M159" s="464" t="n"/>
    </row>
    <row r="160" ht="85.5" customHeight="1">
      <c r="A160" s="590">
        <f>'Regulatory instruments'!A114</f>
        <v/>
      </c>
      <c r="B160" s="590">
        <f>'Regulatory instruments'!D114</f>
        <v/>
      </c>
      <c r="C160" s="590">
        <f>'Regulatory instruments'!H114</f>
        <v/>
      </c>
      <c r="D160" s="590">
        <f>'Regulatory instruments'!G114</f>
        <v/>
      </c>
      <c r="E160" s="590">
        <f>'Regulatory instruments'!U114</f>
        <v/>
      </c>
      <c r="F160" s="590">
        <f>'Regulatory instruments'!Q114</f>
        <v/>
      </c>
      <c r="G160" s="590">
        <f>'Regulatory instruments'!R114</f>
        <v/>
      </c>
      <c r="H160" s="590">
        <f>'Regulatory instruments'!L114</f>
        <v/>
      </c>
      <c r="I160" s="590" t="inlineStr">
        <is>
          <t>Regulatory instruments</t>
        </is>
      </c>
      <c r="J160" s="590">
        <f>'Regulatory instruments'!C114</f>
        <v/>
      </c>
      <c r="K160" s="590">
        <f>'Regulatory instruments'!E114</f>
        <v/>
      </c>
      <c r="L160" s="590">
        <f>'Regulatory instruments'!F114</f>
        <v/>
      </c>
      <c r="M160" s="464" t="n"/>
    </row>
    <row r="161" ht="85.5" customHeight="1">
      <c r="A161" s="590">
        <f>'Regulatory instruments'!A115</f>
        <v/>
      </c>
      <c r="B161" s="590">
        <f>'Regulatory instruments'!D115</f>
        <v/>
      </c>
      <c r="C161" s="590">
        <f>'Regulatory instruments'!H115</f>
        <v/>
      </c>
      <c r="D161" s="590">
        <f>'Regulatory instruments'!G115</f>
        <v/>
      </c>
      <c r="E161" s="590">
        <f>'Regulatory instruments'!U115</f>
        <v/>
      </c>
      <c r="F161" s="590">
        <f>'Regulatory instruments'!Q115</f>
        <v/>
      </c>
      <c r="G161" s="590">
        <f>'Regulatory instruments'!R115</f>
        <v/>
      </c>
      <c r="H161" s="590">
        <f>'Regulatory instruments'!L115</f>
        <v/>
      </c>
      <c r="I161" s="590" t="inlineStr">
        <is>
          <t>Regulatory instruments</t>
        </is>
      </c>
      <c r="J161" s="590">
        <f>'Regulatory instruments'!C115</f>
        <v/>
      </c>
      <c r="K161" s="590">
        <f>'Regulatory instruments'!E115</f>
        <v/>
      </c>
      <c r="L161" s="590">
        <f>'Regulatory instruments'!F115</f>
        <v/>
      </c>
      <c r="M161" s="464" t="n"/>
    </row>
    <row r="162" ht="85.5" customHeight="1">
      <c r="A162" s="590">
        <f>'Regulatory instruments'!A116</f>
        <v/>
      </c>
      <c r="B162" s="590">
        <f>'Regulatory instruments'!D116</f>
        <v/>
      </c>
      <c r="C162" s="590">
        <f>'Regulatory instruments'!H116</f>
        <v/>
      </c>
      <c r="D162" s="590">
        <f>'Regulatory instruments'!G116</f>
        <v/>
      </c>
      <c r="E162" s="590">
        <f>'Regulatory instruments'!U116</f>
        <v/>
      </c>
      <c r="F162" s="590">
        <f>'Regulatory instruments'!Q116</f>
        <v/>
      </c>
      <c r="G162" s="590">
        <f>'Regulatory instruments'!R116</f>
        <v/>
      </c>
      <c r="H162" s="590">
        <f>'Regulatory instruments'!L116</f>
        <v/>
      </c>
      <c r="I162" s="590" t="inlineStr">
        <is>
          <t>Regulatory instruments</t>
        </is>
      </c>
      <c r="J162" s="590">
        <f>'Regulatory instruments'!C116</f>
        <v/>
      </c>
      <c r="K162" s="590">
        <f>'Regulatory instruments'!E116</f>
        <v/>
      </c>
      <c r="L162" s="590">
        <f>'Regulatory instruments'!F116</f>
        <v/>
      </c>
      <c r="M162" s="464" t="n"/>
    </row>
    <row r="163" ht="85.5" customHeight="1">
      <c r="A163" s="590">
        <f>'Regulatory instruments'!A117</f>
        <v/>
      </c>
      <c r="B163" s="590">
        <f>'Regulatory instruments'!D117</f>
        <v/>
      </c>
      <c r="C163" s="590">
        <f>'Regulatory instruments'!H117</f>
        <v/>
      </c>
      <c r="D163" s="590">
        <f>'Regulatory instruments'!G117</f>
        <v/>
      </c>
      <c r="E163" s="590">
        <f>'Regulatory instruments'!U117</f>
        <v/>
      </c>
      <c r="F163" s="590">
        <f>'Regulatory instruments'!Q117</f>
        <v/>
      </c>
      <c r="G163" s="590">
        <f>'Regulatory instruments'!R117</f>
        <v/>
      </c>
      <c r="H163" s="590">
        <f>'Regulatory instruments'!L117</f>
        <v/>
      </c>
      <c r="I163" s="590" t="inlineStr">
        <is>
          <t>Regulatory instruments</t>
        </is>
      </c>
      <c r="J163" s="590">
        <f>'Regulatory instruments'!C117</f>
        <v/>
      </c>
      <c r="K163" s="590">
        <f>'Regulatory instruments'!E117</f>
        <v/>
      </c>
      <c r="L163" s="590">
        <f>'Regulatory instruments'!F117</f>
        <v/>
      </c>
      <c r="M163" s="464" t="n"/>
    </row>
    <row r="164" ht="85.5" customHeight="1">
      <c r="A164" s="590">
        <f>'Regulatory instruments'!A118</f>
        <v/>
      </c>
      <c r="B164" s="590">
        <f>'Regulatory instruments'!D118</f>
        <v/>
      </c>
      <c r="C164" s="590">
        <f>'Regulatory instruments'!H118</f>
        <v/>
      </c>
      <c r="D164" s="590">
        <f>'Regulatory instruments'!G118</f>
        <v/>
      </c>
      <c r="E164" s="590">
        <f>'Regulatory instruments'!U118</f>
        <v/>
      </c>
      <c r="F164" s="590">
        <f>'Regulatory instruments'!Q118</f>
        <v/>
      </c>
      <c r="G164" s="590">
        <f>'Regulatory instruments'!R118</f>
        <v/>
      </c>
      <c r="H164" s="590">
        <f>'Regulatory instruments'!L118</f>
        <v/>
      </c>
      <c r="I164" s="590" t="inlineStr">
        <is>
          <t>Regulatory instruments</t>
        </is>
      </c>
      <c r="J164" s="590">
        <f>'Regulatory instruments'!C118</f>
        <v/>
      </c>
      <c r="K164" s="590">
        <f>'Regulatory instruments'!E118</f>
        <v/>
      </c>
      <c r="L164" s="590">
        <f>'Regulatory instruments'!F118</f>
        <v/>
      </c>
      <c r="M164" s="464" t="n"/>
    </row>
    <row r="165" ht="85.5" customHeight="1">
      <c r="A165" s="590">
        <f>'Regulatory instruments'!A119</f>
        <v/>
      </c>
      <c r="B165" s="590">
        <f>'Regulatory instruments'!D119</f>
        <v/>
      </c>
      <c r="C165" s="590">
        <f>'Regulatory instruments'!H119</f>
        <v/>
      </c>
      <c r="D165" s="590">
        <f>'Regulatory instruments'!G119</f>
        <v/>
      </c>
      <c r="E165" s="590">
        <f>'Regulatory instruments'!U119</f>
        <v/>
      </c>
      <c r="F165" s="590">
        <f>'Regulatory instruments'!Q119</f>
        <v/>
      </c>
      <c r="G165" s="590">
        <f>'Regulatory instruments'!R119</f>
        <v/>
      </c>
      <c r="H165" s="590">
        <f>'Regulatory instruments'!L119</f>
        <v/>
      </c>
      <c r="I165" s="590" t="inlineStr">
        <is>
          <t>Regulatory instruments</t>
        </is>
      </c>
      <c r="J165" s="590">
        <f>'Regulatory instruments'!C119</f>
        <v/>
      </c>
      <c r="K165" s="590">
        <f>'Regulatory instruments'!E119</f>
        <v/>
      </c>
      <c r="L165" s="590">
        <f>'Regulatory instruments'!F119</f>
        <v/>
      </c>
      <c r="M165" s="464" t="n"/>
    </row>
    <row r="166" ht="85.5" customHeight="1">
      <c r="A166" s="590">
        <f>'Regulatory instruments'!A120</f>
        <v/>
      </c>
      <c r="B166" s="590">
        <f>'Regulatory instruments'!D120</f>
        <v/>
      </c>
      <c r="C166" s="590">
        <f>'Regulatory instruments'!H120</f>
        <v/>
      </c>
      <c r="D166" s="590">
        <f>'Regulatory instruments'!G120</f>
        <v/>
      </c>
      <c r="E166" s="590">
        <f>'Regulatory instruments'!U120</f>
        <v/>
      </c>
      <c r="F166" s="590">
        <f>'Regulatory instruments'!Q120</f>
        <v/>
      </c>
      <c r="G166" s="590">
        <f>'Regulatory instruments'!R120</f>
        <v/>
      </c>
      <c r="H166" s="590">
        <f>'Regulatory instruments'!L120</f>
        <v/>
      </c>
      <c r="I166" s="590" t="inlineStr">
        <is>
          <t>Regulatory instruments</t>
        </is>
      </c>
      <c r="J166" s="590">
        <f>'Regulatory instruments'!C120</f>
        <v/>
      </c>
      <c r="K166" s="590">
        <f>'Regulatory instruments'!E120</f>
        <v/>
      </c>
      <c r="L166" s="590">
        <f>'Regulatory instruments'!F120</f>
        <v/>
      </c>
      <c r="M166" s="464" t="n"/>
    </row>
    <row r="167" ht="85.5" customHeight="1">
      <c r="A167" s="590">
        <f>'Regulatory instruments'!A121</f>
        <v/>
      </c>
      <c r="B167" s="590">
        <f>'Regulatory instruments'!D121</f>
        <v/>
      </c>
      <c r="C167" s="590">
        <f>'Regulatory instruments'!H121</f>
        <v/>
      </c>
      <c r="D167" s="590">
        <f>'Regulatory instruments'!G121</f>
        <v/>
      </c>
      <c r="E167" s="590">
        <f>'Regulatory instruments'!U121</f>
        <v/>
      </c>
      <c r="F167" s="590">
        <f>'Regulatory instruments'!Q121</f>
        <v/>
      </c>
      <c r="G167" s="590">
        <f>'Regulatory instruments'!R121</f>
        <v/>
      </c>
      <c r="H167" s="590">
        <f>'Regulatory instruments'!L121</f>
        <v/>
      </c>
      <c r="I167" s="590" t="inlineStr">
        <is>
          <t>Regulatory instruments</t>
        </is>
      </c>
      <c r="J167" s="590">
        <f>'Regulatory instruments'!C121</f>
        <v/>
      </c>
      <c r="K167" s="590">
        <f>'Regulatory instruments'!E121</f>
        <v/>
      </c>
      <c r="L167" s="590">
        <f>'Regulatory instruments'!F121</f>
        <v/>
      </c>
      <c r="M167" s="464" t="n"/>
    </row>
    <row r="168" ht="85.5" customHeight="1">
      <c r="A168" s="590">
        <f>'Regulatory instruments'!A122</f>
        <v/>
      </c>
      <c r="B168" s="590">
        <f>'Regulatory instruments'!D122</f>
        <v/>
      </c>
      <c r="C168" s="590">
        <f>'Regulatory instruments'!H122</f>
        <v/>
      </c>
      <c r="D168" s="590">
        <f>'Regulatory instruments'!G122</f>
        <v/>
      </c>
      <c r="E168" s="590">
        <f>'Regulatory instruments'!U122</f>
        <v/>
      </c>
      <c r="F168" s="590">
        <f>'Regulatory instruments'!Q122</f>
        <v/>
      </c>
      <c r="G168" s="590">
        <f>'Regulatory instruments'!R122</f>
        <v/>
      </c>
      <c r="H168" s="590">
        <f>'Regulatory instruments'!L122</f>
        <v/>
      </c>
      <c r="I168" s="590" t="inlineStr">
        <is>
          <t>Regulatory instruments</t>
        </is>
      </c>
      <c r="J168" s="590">
        <f>'Regulatory instruments'!C122</f>
        <v/>
      </c>
      <c r="K168" s="590">
        <f>'Regulatory instruments'!E122</f>
        <v/>
      </c>
      <c r="L168" s="590">
        <f>'Regulatory instruments'!F122</f>
        <v/>
      </c>
      <c r="M168" s="464" t="n"/>
    </row>
    <row r="169" ht="85.5" customHeight="1">
      <c r="A169" s="590">
        <f>'Regulatory instruments'!A123</f>
        <v/>
      </c>
      <c r="B169" s="590">
        <f>'Regulatory instruments'!D123</f>
        <v/>
      </c>
      <c r="C169" s="590">
        <f>'Regulatory instruments'!H123</f>
        <v/>
      </c>
      <c r="D169" s="590">
        <f>'Regulatory instruments'!G123</f>
        <v/>
      </c>
      <c r="E169" s="590">
        <f>'Regulatory instruments'!U123</f>
        <v/>
      </c>
      <c r="F169" s="590">
        <f>'Regulatory instruments'!Q123</f>
        <v/>
      </c>
      <c r="G169" s="590">
        <f>'Regulatory instruments'!R123</f>
        <v/>
      </c>
      <c r="H169" s="590">
        <f>'Regulatory instruments'!L123</f>
        <v/>
      </c>
      <c r="I169" s="590" t="inlineStr">
        <is>
          <t>Regulatory instruments</t>
        </is>
      </c>
      <c r="J169" s="590">
        <f>'Regulatory instruments'!C123</f>
        <v/>
      </c>
      <c r="K169" s="590">
        <f>'Regulatory instruments'!E123</f>
        <v/>
      </c>
      <c r="L169" s="590">
        <f>'Regulatory instruments'!F123</f>
        <v/>
      </c>
      <c r="M169" s="464" t="n"/>
    </row>
    <row r="170" ht="85.5" customHeight="1">
      <c r="A170" s="590">
        <f>'Regulatory instruments'!A124</f>
        <v/>
      </c>
      <c r="B170" s="590">
        <f>'Regulatory instruments'!D124</f>
        <v/>
      </c>
      <c r="C170" s="590">
        <f>'Regulatory instruments'!H124</f>
        <v/>
      </c>
      <c r="D170" s="590">
        <f>'Regulatory instruments'!G124</f>
        <v/>
      </c>
      <c r="E170" s="590">
        <f>'Regulatory instruments'!U124</f>
        <v/>
      </c>
      <c r="F170" s="590">
        <f>'Regulatory instruments'!Q124</f>
        <v/>
      </c>
      <c r="G170" s="590">
        <f>'Regulatory instruments'!R124</f>
        <v/>
      </c>
      <c r="H170" s="590">
        <f>'Regulatory instruments'!L124</f>
        <v/>
      </c>
      <c r="I170" s="590" t="inlineStr">
        <is>
          <t>Regulatory instruments</t>
        </is>
      </c>
      <c r="J170" s="590">
        <f>'Regulatory instruments'!C124</f>
        <v/>
      </c>
      <c r="K170" s="590">
        <f>'Regulatory instruments'!E124</f>
        <v/>
      </c>
      <c r="L170" s="590">
        <f>'Regulatory instruments'!F124</f>
        <v/>
      </c>
      <c r="M170" s="464" t="n"/>
    </row>
    <row r="171" ht="85.5" customHeight="1">
      <c r="A171" s="590">
        <f>'Regulatory instruments'!A125</f>
        <v/>
      </c>
      <c r="B171" s="590">
        <f>'Regulatory instruments'!D125</f>
        <v/>
      </c>
      <c r="C171" s="590">
        <f>'Regulatory instruments'!H125</f>
        <v/>
      </c>
      <c r="D171" s="590">
        <f>'Regulatory instruments'!G125</f>
        <v/>
      </c>
      <c r="E171" s="590">
        <f>'Regulatory instruments'!U125</f>
        <v/>
      </c>
      <c r="F171" s="590">
        <f>'Regulatory instruments'!Q125</f>
        <v/>
      </c>
      <c r="G171" s="590">
        <f>'Regulatory instruments'!R125</f>
        <v/>
      </c>
      <c r="H171" s="590">
        <f>'Regulatory instruments'!L125</f>
        <v/>
      </c>
      <c r="I171" s="590" t="inlineStr">
        <is>
          <t>Regulatory instruments</t>
        </is>
      </c>
      <c r="J171" s="590">
        <f>'Regulatory instruments'!C125</f>
        <v/>
      </c>
      <c r="K171" s="590">
        <f>'Regulatory instruments'!E125</f>
        <v/>
      </c>
      <c r="L171" s="590">
        <f>'Regulatory instruments'!F125</f>
        <v/>
      </c>
      <c r="M171" s="464" t="n"/>
    </row>
    <row r="172" ht="85.5" customHeight="1">
      <c r="A172" s="590">
        <f>'Regulatory instruments'!A126</f>
        <v/>
      </c>
      <c r="B172" s="590">
        <f>'Regulatory instruments'!D126</f>
        <v/>
      </c>
      <c r="C172" s="590">
        <f>'Regulatory instruments'!H126</f>
        <v/>
      </c>
      <c r="D172" s="590">
        <f>'Regulatory instruments'!G126</f>
        <v/>
      </c>
      <c r="E172" s="590">
        <f>'Regulatory instruments'!U126</f>
        <v/>
      </c>
      <c r="F172" s="590">
        <f>'Regulatory instruments'!Q126</f>
        <v/>
      </c>
      <c r="G172" s="590">
        <f>'Regulatory instruments'!R126</f>
        <v/>
      </c>
      <c r="H172" s="590">
        <f>'Regulatory instruments'!L126</f>
        <v/>
      </c>
      <c r="I172" s="590" t="inlineStr">
        <is>
          <t>Regulatory instruments</t>
        </is>
      </c>
      <c r="J172" s="590">
        <f>'Regulatory instruments'!C126</f>
        <v/>
      </c>
      <c r="K172" s="590">
        <f>'Regulatory instruments'!E126</f>
        <v/>
      </c>
      <c r="L172" s="590">
        <f>'Regulatory instruments'!F126</f>
        <v/>
      </c>
      <c r="M172" s="464" t="n"/>
    </row>
    <row r="173" ht="85.5" customHeight="1">
      <c r="A173" s="590">
        <f>'Regulatory instruments'!A127</f>
        <v/>
      </c>
      <c r="B173" s="590">
        <f>'Regulatory instruments'!D127</f>
        <v/>
      </c>
      <c r="C173" s="590">
        <f>'Regulatory instruments'!H127</f>
        <v/>
      </c>
      <c r="D173" s="590">
        <f>'Regulatory instruments'!G127</f>
        <v/>
      </c>
      <c r="E173" s="590">
        <f>'Regulatory instruments'!U127</f>
        <v/>
      </c>
      <c r="F173" s="590">
        <f>'Regulatory instruments'!Q127</f>
        <v/>
      </c>
      <c r="G173" s="590">
        <f>'Regulatory instruments'!R127</f>
        <v/>
      </c>
      <c r="H173" s="590">
        <f>'Regulatory instruments'!L127</f>
        <v/>
      </c>
      <c r="I173" s="590" t="inlineStr">
        <is>
          <t>Regulatory instruments</t>
        </is>
      </c>
      <c r="J173" s="590">
        <f>'Regulatory instruments'!C127</f>
        <v/>
      </c>
      <c r="K173" s="590">
        <f>'Regulatory instruments'!E127</f>
        <v/>
      </c>
      <c r="L173" s="590">
        <f>'Regulatory instruments'!F127</f>
        <v/>
      </c>
      <c r="M173" s="464" t="n"/>
    </row>
    <row r="174" ht="85.5" customHeight="1">
      <c r="A174" s="590">
        <f>'Regulatory instruments'!A128</f>
        <v/>
      </c>
      <c r="B174" s="590">
        <f>'Regulatory instruments'!D128</f>
        <v/>
      </c>
      <c r="C174" s="590">
        <f>'Regulatory instruments'!H128</f>
        <v/>
      </c>
      <c r="D174" s="590">
        <f>'Regulatory instruments'!G128</f>
        <v/>
      </c>
      <c r="E174" s="590">
        <f>'Regulatory instruments'!U128</f>
        <v/>
      </c>
      <c r="F174" s="590">
        <f>'Regulatory instruments'!Q128</f>
        <v/>
      </c>
      <c r="G174" s="590">
        <f>'Regulatory instruments'!R128</f>
        <v/>
      </c>
      <c r="H174" s="590">
        <f>'Regulatory instruments'!L128</f>
        <v/>
      </c>
      <c r="I174" s="590" t="inlineStr">
        <is>
          <t>Regulatory instruments</t>
        </is>
      </c>
      <c r="J174" s="590">
        <f>'Regulatory instruments'!C128</f>
        <v/>
      </c>
      <c r="K174" s="590">
        <f>'Regulatory instruments'!E128</f>
        <v/>
      </c>
      <c r="L174" s="590">
        <f>'Regulatory instruments'!F128</f>
        <v/>
      </c>
      <c r="M174" s="464" t="n"/>
    </row>
    <row r="175" ht="85.5" customHeight="1">
      <c r="A175" s="590">
        <f>'Regulatory instruments'!A129</f>
        <v/>
      </c>
      <c r="B175" s="590">
        <f>'Regulatory instruments'!D129</f>
        <v/>
      </c>
      <c r="C175" s="590">
        <f>'Regulatory instruments'!H129</f>
        <v/>
      </c>
      <c r="D175" s="590">
        <f>'Regulatory instruments'!G129</f>
        <v/>
      </c>
      <c r="E175" s="590">
        <f>'Regulatory instruments'!U129</f>
        <v/>
      </c>
      <c r="F175" s="590">
        <f>'Regulatory instruments'!Q129</f>
        <v/>
      </c>
      <c r="G175" s="590">
        <f>'Regulatory instruments'!R129</f>
        <v/>
      </c>
      <c r="H175" s="590">
        <f>'Regulatory instruments'!L129</f>
        <v/>
      </c>
      <c r="I175" s="590" t="inlineStr">
        <is>
          <t>Regulatory instruments</t>
        </is>
      </c>
      <c r="J175" s="590">
        <f>'Regulatory instruments'!C129</f>
        <v/>
      </c>
      <c r="K175" s="590">
        <f>'Regulatory instruments'!E129</f>
        <v/>
      </c>
      <c r="L175" s="590">
        <f>'Regulatory instruments'!F129</f>
        <v/>
      </c>
      <c r="M175" s="464" t="n"/>
    </row>
    <row r="176" ht="85.5" customHeight="1">
      <c r="A176" s="590">
        <f>'Regulatory instruments'!A130</f>
        <v/>
      </c>
      <c r="B176" s="590">
        <f>'Regulatory instruments'!D130</f>
        <v/>
      </c>
      <c r="C176" s="590">
        <f>'Regulatory instruments'!H130</f>
        <v/>
      </c>
      <c r="D176" s="590">
        <f>'Regulatory instruments'!G130</f>
        <v/>
      </c>
      <c r="E176" s="590">
        <f>'Regulatory instruments'!U130</f>
        <v/>
      </c>
      <c r="F176" s="590">
        <f>'Regulatory instruments'!Q130</f>
        <v/>
      </c>
      <c r="G176" s="590">
        <f>'Regulatory instruments'!R130</f>
        <v/>
      </c>
      <c r="H176" s="590">
        <f>'Regulatory instruments'!L130</f>
        <v/>
      </c>
      <c r="I176" s="590" t="inlineStr">
        <is>
          <t>Regulatory instruments</t>
        </is>
      </c>
      <c r="J176" s="590">
        <f>'Regulatory instruments'!C130</f>
        <v/>
      </c>
      <c r="K176" s="590">
        <f>'Regulatory instruments'!E130</f>
        <v/>
      </c>
      <c r="L176" s="590">
        <f>'Regulatory instruments'!F130</f>
        <v/>
      </c>
      <c r="M176" s="464" t="n"/>
    </row>
    <row r="177" ht="85.5" customHeight="1">
      <c r="A177" s="590">
        <f>'Regulatory instruments'!A131</f>
        <v/>
      </c>
      <c r="B177" s="590">
        <f>'Regulatory instruments'!D131</f>
        <v/>
      </c>
      <c r="C177" s="590">
        <f>'Regulatory instruments'!H131</f>
        <v/>
      </c>
      <c r="D177" s="590">
        <f>'Regulatory instruments'!G131</f>
        <v/>
      </c>
      <c r="E177" s="590">
        <f>'Regulatory instruments'!U131</f>
        <v/>
      </c>
      <c r="F177" s="590">
        <f>'Regulatory instruments'!Q131</f>
        <v/>
      </c>
      <c r="G177" s="590">
        <f>'Regulatory instruments'!R131</f>
        <v/>
      </c>
      <c r="H177" s="590">
        <f>'Regulatory instruments'!L131</f>
        <v/>
      </c>
      <c r="I177" s="590" t="inlineStr">
        <is>
          <t>Regulatory instruments</t>
        </is>
      </c>
      <c r="J177" s="590">
        <f>'Regulatory instruments'!C131</f>
        <v/>
      </c>
      <c r="K177" s="590">
        <f>'Regulatory instruments'!E131</f>
        <v/>
      </c>
      <c r="L177" s="590">
        <f>'Regulatory instruments'!F131</f>
        <v/>
      </c>
      <c r="M177" s="464" t="n"/>
    </row>
    <row r="178" ht="85.5" customHeight="1">
      <c r="A178" s="590">
        <f>'Regulatory instruments'!A132</f>
        <v/>
      </c>
      <c r="B178" s="590">
        <f>'Regulatory instruments'!D132</f>
        <v/>
      </c>
      <c r="C178" s="590">
        <f>'Regulatory instruments'!H132</f>
        <v/>
      </c>
      <c r="D178" s="590">
        <f>'Regulatory instruments'!G132</f>
        <v/>
      </c>
      <c r="E178" s="590">
        <f>'Regulatory instruments'!U132</f>
        <v/>
      </c>
      <c r="F178" s="590">
        <f>'Regulatory instruments'!Q132</f>
        <v/>
      </c>
      <c r="G178" s="590">
        <f>'Regulatory instruments'!R132</f>
        <v/>
      </c>
      <c r="H178" s="590">
        <f>'Regulatory instruments'!L132</f>
        <v/>
      </c>
      <c r="I178" s="590" t="inlineStr">
        <is>
          <t>Regulatory instruments</t>
        </is>
      </c>
      <c r="J178" s="590">
        <f>'Regulatory instruments'!C132</f>
        <v/>
      </c>
      <c r="K178" s="590">
        <f>'Regulatory instruments'!E132</f>
        <v/>
      </c>
      <c r="L178" s="590">
        <f>'Regulatory instruments'!F132</f>
        <v/>
      </c>
      <c r="M178" s="464" t="n"/>
    </row>
    <row r="179" ht="85.5" customHeight="1">
      <c r="A179" s="590">
        <f>'Regulatory instruments'!A133</f>
        <v/>
      </c>
      <c r="B179" s="590">
        <f>'Regulatory instruments'!D133</f>
        <v/>
      </c>
      <c r="C179" s="590">
        <f>'Regulatory instruments'!H133</f>
        <v/>
      </c>
      <c r="D179" s="590">
        <f>'Regulatory instruments'!G133</f>
        <v/>
      </c>
      <c r="E179" s="590">
        <f>'Regulatory instruments'!U133</f>
        <v/>
      </c>
      <c r="F179" s="590">
        <f>'Regulatory instruments'!Q133</f>
        <v/>
      </c>
      <c r="G179" s="590">
        <f>'Regulatory instruments'!R133</f>
        <v/>
      </c>
      <c r="H179" s="590">
        <f>'Regulatory instruments'!L133</f>
        <v/>
      </c>
      <c r="I179" s="590" t="inlineStr">
        <is>
          <t>Regulatory instruments</t>
        </is>
      </c>
      <c r="J179" s="590">
        <f>'Regulatory instruments'!C133</f>
        <v/>
      </c>
      <c r="K179" s="590">
        <f>'Regulatory instruments'!E133</f>
        <v/>
      </c>
      <c r="L179" s="590">
        <f>'Regulatory instruments'!F133</f>
        <v/>
      </c>
      <c r="M179" s="464" t="n"/>
    </row>
    <row r="180" ht="142.5" customHeight="1">
      <c r="A180" s="590">
        <f>'Regulatory instruments'!A134</f>
        <v/>
      </c>
      <c r="B180" s="590">
        <f>'Regulatory instruments'!D134</f>
        <v/>
      </c>
      <c r="C180" s="590">
        <f>'Regulatory instruments'!H134</f>
        <v/>
      </c>
      <c r="D180" s="590">
        <f>'Regulatory instruments'!G134</f>
        <v/>
      </c>
      <c r="E180" s="590">
        <f>'Regulatory instruments'!U134</f>
        <v/>
      </c>
      <c r="F180" s="590">
        <f>'Regulatory instruments'!Q134</f>
        <v/>
      </c>
      <c r="G180" s="590">
        <f>'Regulatory instruments'!R134</f>
        <v/>
      </c>
      <c r="H180" s="590">
        <f>'Regulatory instruments'!L134</f>
        <v/>
      </c>
      <c r="I180" s="590" t="inlineStr">
        <is>
          <t>Regulatory instruments</t>
        </is>
      </c>
      <c r="J180" s="590">
        <f>'Regulatory instruments'!C134</f>
        <v/>
      </c>
      <c r="K180" s="590">
        <f>'Regulatory instruments'!E134</f>
        <v/>
      </c>
      <c r="L180" s="590">
        <f>'Regulatory instruments'!F134</f>
        <v/>
      </c>
      <c r="M180" s="464" t="n"/>
    </row>
    <row r="181" ht="142.5" customHeight="1">
      <c r="A181" s="590">
        <f>'Regulatory instruments'!A135</f>
        <v/>
      </c>
      <c r="B181" s="590">
        <f>'Regulatory instruments'!D135</f>
        <v/>
      </c>
      <c r="C181" s="590">
        <f>'Regulatory instruments'!H135</f>
        <v/>
      </c>
      <c r="D181" s="590">
        <f>'Regulatory instruments'!G135</f>
        <v/>
      </c>
      <c r="E181" s="590">
        <f>'Regulatory instruments'!U135</f>
        <v/>
      </c>
      <c r="F181" s="590">
        <f>'Regulatory instruments'!Q135</f>
        <v/>
      </c>
      <c r="G181" s="590">
        <f>'Regulatory instruments'!R135</f>
        <v/>
      </c>
      <c r="H181" s="590">
        <f>'Regulatory instruments'!L135</f>
        <v/>
      </c>
      <c r="I181" s="590" t="inlineStr">
        <is>
          <t>Regulatory instruments</t>
        </is>
      </c>
      <c r="J181" s="590">
        <f>'Regulatory instruments'!C135</f>
        <v/>
      </c>
      <c r="K181" s="590">
        <f>'Regulatory instruments'!E135</f>
        <v/>
      </c>
      <c r="L181" s="590">
        <f>'Regulatory instruments'!F135</f>
        <v/>
      </c>
      <c r="M181" s="464" t="n"/>
    </row>
    <row r="182" ht="142.5" customHeight="1">
      <c r="A182" s="590">
        <f>'Regulatory instruments'!A136</f>
        <v/>
      </c>
      <c r="B182" s="590">
        <f>'Regulatory instruments'!D136</f>
        <v/>
      </c>
      <c r="C182" s="590">
        <f>'Regulatory instruments'!H136</f>
        <v/>
      </c>
      <c r="D182" s="590">
        <f>'Regulatory instruments'!G136</f>
        <v/>
      </c>
      <c r="E182" s="590">
        <f>'Regulatory instruments'!U136</f>
        <v/>
      </c>
      <c r="F182" s="590">
        <f>'Regulatory instruments'!Q136</f>
        <v/>
      </c>
      <c r="G182" s="590">
        <f>'Regulatory instruments'!R136</f>
        <v/>
      </c>
      <c r="H182" s="590">
        <f>'Regulatory instruments'!L136</f>
        <v/>
      </c>
      <c r="I182" s="590" t="inlineStr">
        <is>
          <t>Regulatory instruments</t>
        </is>
      </c>
      <c r="J182" s="590">
        <f>'Regulatory instruments'!C136</f>
        <v/>
      </c>
      <c r="K182" s="590">
        <f>'Regulatory instruments'!E136</f>
        <v/>
      </c>
      <c r="L182" s="590">
        <f>'Regulatory instruments'!F136</f>
        <v/>
      </c>
      <c r="M182" s="464" t="n"/>
    </row>
    <row r="183" ht="128.25" customHeight="1">
      <c r="A183" s="590">
        <f>'Regulatory instruments'!A137</f>
        <v/>
      </c>
      <c r="B183" s="590">
        <f>'Regulatory instruments'!D137</f>
        <v/>
      </c>
      <c r="C183" s="590">
        <f>'Regulatory instruments'!H137</f>
        <v/>
      </c>
      <c r="D183" s="590">
        <f>'Regulatory instruments'!G137</f>
        <v/>
      </c>
      <c r="E183" s="590">
        <f>'Regulatory instruments'!U137</f>
        <v/>
      </c>
      <c r="F183" s="590">
        <f>'Regulatory instruments'!Q137</f>
        <v/>
      </c>
      <c r="G183" s="590">
        <f>'Regulatory instruments'!R137</f>
        <v/>
      </c>
      <c r="H183" s="590">
        <f>'Regulatory instruments'!L137</f>
        <v/>
      </c>
      <c r="I183" s="590" t="inlineStr">
        <is>
          <t>Regulatory instruments</t>
        </is>
      </c>
      <c r="J183" s="590">
        <f>'Regulatory instruments'!C137</f>
        <v/>
      </c>
      <c r="K183" s="590">
        <f>'Regulatory instruments'!E137</f>
        <v/>
      </c>
      <c r="L183" s="590">
        <f>'Regulatory instruments'!F137</f>
        <v/>
      </c>
      <c r="M183" s="464" t="n"/>
    </row>
    <row r="184" ht="99.75" customHeight="1">
      <c r="A184" s="590">
        <f>'Regulatory instruments'!A138</f>
        <v/>
      </c>
      <c r="B184" s="590">
        <f>'Regulatory instruments'!D138</f>
        <v/>
      </c>
      <c r="C184" s="590">
        <f>'Regulatory instruments'!H138</f>
        <v/>
      </c>
      <c r="D184" s="590">
        <f>'Regulatory instruments'!G138</f>
        <v/>
      </c>
      <c r="E184" s="590">
        <f>'Regulatory instruments'!U138</f>
        <v/>
      </c>
      <c r="F184" s="590">
        <f>'Regulatory instruments'!Q138</f>
        <v/>
      </c>
      <c r="G184" s="590">
        <f>'Regulatory instruments'!R138</f>
        <v/>
      </c>
      <c r="H184" s="590">
        <f>'Regulatory instruments'!L138</f>
        <v/>
      </c>
      <c r="I184" s="590" t="inlineStr">
        <is>
          <t>Regulatory instruments</t>
        </is>
      </c>
      <c r="J184" s="590">
        <f>'Regulatory instruments'!C138</f>
        <v/>
      </c>
      <c r="K184" s="590">
        <f>'Regulatory instruments'!E138</f>
        <v/>
      </c>
      <c r="L184" s="590">
        <f>'Regulatory instruments'!F138</f>
        <v/>
      </c>
      <c r="M184" s="464" t="n"/>
    </row>
    <row r="185" ht="128.25" customHeight="1">
      <c r="A185" s="590">
        <f>'Regulatory instruments'!A139</f>
        <v/>
      </c>
      <c r="B185" s="590">
        <f>'Regulatory instruments'!D139</f>
        <v/>
      </c>
      <c r="C185" s="590">
        <f>'Regulatory instruments'!H139</f>
        <v/>
      </c>
      <c r="D185" s="590">
        <f>'Regulatory instruments'!G139</f>
        <v/>
      </c>
      <c r="E185" s="590">
        <f>'Regulatory instruments'!U139</f>
        <v/>
      </c>
      <c r="F185" s="590">
        <f>'Regulatory instruments'!Q139</f>
        <v/>
      </c>
      <c r="G185" s="590">
        <f>'Regulatory instruments'!R139</f>
        <v/>
      </c>
      <c r="H185" s="590">
        <f>'Regulatory instruments'!L139</f>
        <v/>
      </c>
      <c r="I185" s="590" t="inlineStr">
        <is>
          <t>Regulatory instruments</t>
        </is>
      </c>
      <c r="J185" s="590">
        <f>'Regulatory instruments'!C139</f>
        <v/>
      </c>
      <c r="K185" s="590">
        <f>'Regulatory instruments'!E139</f>
        <v/>
      </c>
      <c r="L185" s="590">
        <f>'Regulatory instruments'!F139</f>
        <v/>
      </c>
      <c r="M185" s="464" t="n"/>
    </row>
    <row r="186" ht="128.25" customHeight="1">
      <c r="A186" s="590">
        <f>'Regulatory instruments'!A140</f>
        <v/>
      </c>
      <c r="B186" s="590">
        <f>'Regulatory instruments'!D140</f>
        <v/>
      </c>
      <c r="C186" s="590">
        <f>'Regulatory instruments'!H140</f>
        <v/>
      </c>
      <c r="D186" s="590">
        <f>'Regulatory instruments'!G140</f>
        <v/>
      </c>
      <c r="E186" s="590">
        <f>'Regulatory instruments'!U140</f>
        <v/>
      </c>
      <c r="F186" s="590">
        <f>'Regulatory instruments'!Q140</f>
        <v/>
      </c>
      <c r="G186" s="590">
        <f>'Regulatory instruments'!R140</f>
        <v/>
      </c>
      <c r="H186" s="590">
        <f>'Regulatory instruments'!L140</f>
        <v/>
      </c>
      <c r="I186" s="590" t="inlineStr">
        <is>
          <t>Regulatory instruments</t>
        </is>
      </c>
      <c r="J186" s="590">
        <f>'Regulatory instruments'!C140</f>
        <v/>
      </c>
      <c r="K186" s="590">
        <f>'Regulatory instruments'!E140</f>
        <v/>
      </c>
      <c r="L186" s="590">
        <f>'Regulatory instruments'!F140</f>
        <v/>
      </c>
      <c r="M186" s="464" t="n"/>
    </row>
    <row r="187" ht="128.25" customHeight="1">
      <c r="A187" s="590">
        <f>'Regulatory instruments'!A141</f>
        <v/>
      </c>
      <c r="B187" s="590">
        <f>'Regulatory instruments'!D141</f>
        <v/>
      </c>
      <c r="C187" s="590">
        <f>'Regulatory instruments'!H141</f>
        <v/>
      </c>
      <c r="D187" s="590">
        <f>'Regulatory instruments'!G141</f>
        <v/>
      </c>
      <c r="E187" s="590">
        <f>'Regulatory instruments'!U141</f>
        <v/>
      </c>
      <c r="F187" s="590">
        <f>'Regulatory instruments'!Q141</f>
        <v/>
      </c>
      <c r="G187" s="590">
        <f>'Regulatory instruments'!R141</f>
        <v/>
      </c>
      <c r="H187" s="590">
        <f>'Regulatory instruments'!L141</f>
        <v/>
      </c>
      <c r="I187" s="590" t="inlineStr">
        <is>
          <t>Regulatory instruments</t>
        </is>
      </c>
      <c r="J187" s="590">
        <f>'Regulatory instruments'!C141</f>
        <v/>
      </c>
      <c r="K187" s="590">
        <f>'Regulatory instruments'!E141</f>
        <v/>
      </c>
      <c r="L187" s="590">
        <f>'Regulatory instruments'!F141</f>
        <v/>
      </c>
      <c r="M187" s="464" t="n"/>
    </row>
    <row r="188" ht="128.25" customHeight="1">
      <c r="A188" s="590">
        <f>'Regulatory instruments'!A142</f>
        <v/>
      </c>
      <c r="B188" s="590">
        <f>'Regulatory instruments'!D142</f>
        <v/>
      </c>
      <c r="C188" s="590">
        <f>'Regulatory instruments'!H142</f>
        <v/>
      </c>
      <c r="D188" s="590">
        <f>'Regulatory instruments'!G142</f>
        <v/>
      </c>
      <c r="E188" s="590">
        <f>'Regulatory instruments'!U142</f>
        <v/>
      </c>
      <c r="F188" s="590">
        <f>'Regulatory instruments'!Q142</f>
        <v/>
      </c>
      <c r="G188" s="590">
        <f>'Regulatory instruments'!R142</f>
        <v/>
      </c>
      <c r="H188" s="590">
        <f>'Regulatory instruments'!L142</f>
        <v/>
      </c>
      <c r="I188" s="590" t="inlineStr">
        <is>
          <t>Regulatory instruments</t>
        </is>
      </c>
      <c r="J188" s="590">
        <f>'Regulatory instruments'!C142</f>
        <v/>
      </c>
      <c r="K188" s="590">
        <f>'Regulatory instruments'!E142</f>
        <v/>
      </c>
      <c r="L188" s="590">
        <f>'Regulatory instruments'!F142</f>
        <v/>
      </c>
      <c r="M188" s="464" t="n"/>
    </row>
    <row r="189" ht="114" customHeight="1">
      <c r="A189" s="590">
        <f>'Regulatory instruments'!A143</f>
        <v/>
      </c>
      <c r="B189" s="590">
        <f>'Regulatory instruments'!D143</f>
        <v/>
      </c>
      <c r="C189" s="590">
        <f>'Regulatory instruments'!H143</f>
        <v/>
      </c>
      <c r="D189" s="590">
        <f>'Regulatory instruments'!G143</f>
        <v/>
      </c>
      <c r="E189" s="590">
        <f>'Regulatory instruments'!U143</f>
        <v/>
      </c>
      <c r="F189" s="590">
        <f>'Regulatory instruments'!Q143</f>
        <v/>
      </c>
      <c r="G189" s="590">
        <f>'Regulatory instruments'!R143</f>
        <v/>
      </c>
      <c r="H189" s="590">
        <f>'Regulatory instruments'!L143</f>
        <v/>
      </c>
      <c r="I189" s="590" t="inlineStr">
        <is>
          <t>Regulatory instruments</t>
        </is>
      </c>
      <c r="J189" s="590">
        <f>'Regulatory instruments'!C143</f>
        <v/>
      </c>
      <c r="K189" s="590">
        <f>'Regulatory instruments'!E143</f>
        <v/>
      </c>
      <c r="L189" s="590">
        <f>'Regulatory instruments'!F143</f>
        <v/>
      </c>
      <c r="M189" s="464" t="n"/>
    </row>
    <row r="190" ht="114" customHeight="1">
      <c r="A190" s="590">
        <f>'Regulatory instruments'!A144</f>
        <v/>
      </c>
      <c r="B190" s="590">
        <f>'Regulatory instruments'!D144</f>
        <v/>
      </c>
      <c r="C190" s="590">
        <f>'Regulatory instruments'!H144</f>
        <v/>
      </c>
      <c r="D190" s="590">
        <f>'Regulatory instruments'!G144</f>
        <v/>
      </c>
      <c r="E190" s="590">
        <f>'Regulatory instruments'!U144</f>
        <v/>
      </c>
      <c r="F190" s="590">
        <f>'Regulatory instruments'!Q144</f>
        <v/>
      </c>
      <c r="G190" s="590">
        <f>'Regulatory instruments'!R144</f>
        <v/>
      </c>
      <c r="H190" s="590">
        <f>'Regulatory instruments'!L144</f>
        <v/>
      </c>
      <c r="I190" s="590" t="inlineStr">
        <is>
          <t>Regulatory instruments</t>
        </is>
      </c>
      <c r="J190" s="590">
        <f>'Regulatory instruments'!C144</f>
        <v/>
      </c>
      <c r="K190" s="590">
        <f>'Regulatory instruments'!E144</f>
        <v/>
      </c>
      <c r="L190" s="590">
        <f>'Regulatory instruments'!F144</f>
        <v/>
      </c>
      <c r="M190" s="464" t="n"/>
    </row>
    <row r="191" ht="114" customHeight="1">
      <c r="A191" s="590">
        <f>'Regulatory instruments'!A145</f>
        <v/>
      </c>
      <c r="B191" s="590">
        <f>'Regulatory instruments'!D145</f>
        <v/>
      </c>
      <c r="C191" s="590">
        <f>'Regulatory instruments'!H145</f>
        <v/>
      </c>
      <c r="D191" s="590">
        <f>'Regulatory instruments'!G145</f>
        <v/>
      </c>
      <c r="E191" s="590">
        <f>'Regulatory instruments'!U145</f>
        <v/>
      </c>
      <c r="F191" s="590">
        <f>'Regulatory instruments'!Q145</f>
        <v/>
      </c>
      <c r="G191" s="590">
        <f>'Regulatory instruments'!R145</f>
        <v/>
      </c>
      <c r="H191" s="590">
        <f>'Regulatory instruments'!L145</f>
        <v/>
      </c>
      <c r="I191" s="590" t="inlineStr">
        <is>
          <t>Regulatory instruments</t>
        </is>
      </c>
      <c r="J191" s="590">
        <f>'Regulatory instruments'!C145</f>
        <v/>
      </c>
      <c r="K191" s="590">
        <f>'Regulatory instruments'!E145</f>
        <v/>
      </c>
      <c r="L191" s="590">
        <f>'Regulatory instruments'!F145</f>
        <v/>
      </c>
      <c r="M191" s="464" t="n"/>
    </row>
    <row r="192" ht="114" customHeight="1">
      <c r="A192" s="590">
        <f>'Regulatory instruments'!A146</f>
        <v/>
      </c>
      <c r="B192" s="590">
        <f>'Regulatory instruments'!D146</f>
        <v/>
      </c>
      <c r="C192" s="590">
        <f>'Regulatory instruments'!H146</f>
        <v/>
      </c>
      <c r="D192" s="590">
        <f>'Regulatory instruments'!G146</f>
        <v/>
      </c>
      <c r="E192" s="590">
        <f>'Regulatory instruments'!U146</f>
        <v/>
      </c>
      <c r="F192" s="590">
        <f>'Regulatory instruments'!Q146</f>
        <v/>
      </c>
      <c r="G192" s="590">
        <f>'Regulatory instruments'!R146</f>
        <v/>
      </c>
      <c r="H192" s="590">
        <f>'Regulatory instruments'!L146</f>
        <v/>
      </c>
      <c r="I192" s="590" t="inlineStr">
        <is>
          <t>Regulatory instruments</t>
        </is>
      </c>
      <c r="J192" s="590">
        <f>'Regulatory instruments'!C146</f>
        <v/>
      </c>
      <c r="K192" s="590">
        <f>'Regulatory instruments'!E146</f>
        <v/>
      </c>
      <c r="L192" s="590">
        <f>'Regulatory instruments'!F146</f>
        <v/>
      </c>
      <c r="M192" s="464" t="n"/>
    </row>
    <row r="193" ht="114" customHeight="1">
      <c r="A193" s="590">
        <f>'Regulatory instruments'!A147</f>
        <v/>
      </c>
      <c r="B193" s="590">
        <f>'Regulatory instruments'!D147</f>
        <v/>
      </c>
      <c r="C193" s="590">
        <f>'Regulatory instruments'!H147</f>
        <v/>
      </c>
      <c r="D193" s="590">
        <f>'Regulatory instruments'!G147</f>
        <v/>
      </c>
      <c r="E193" s="590">
        <f>'Regulatory instruments'!U147</f>
        <v/>
      </c>
      <c r="F193" s="590">
        <f>'Regulatory instruments'!Q147</f>
        <v/>
      </c>
      <c r="G193" s="590">
        <f>'Regulatory instruments'!R147</f>
        <v/>
      </c>
      <c r="H193" s="590">
        <f>'Regulatory instruments'!L147</f>
        <v/>
      </c>
      <c r="I193" s="590" t="inlineStr">
        <is>
          <t>Regulatory instruments</t>
        </is>
      </c>
      <c r="J193" s="590">
        <f>'Regulatory instruments'!C147</f>
        <v/>
      </c>
      <c r="K193" s="590">
        <f>'Regulatory instruments'!E147</f>
        <v/>
      </c>
      <c r="L193" s="590">
        <f>'Regulatory instruments'!F147</f>
        <v/>
      </c>
      <c r="M193" s="464" t="n"/>
    </row>
    <row r="194" ht="114" customHeight="1">
      <c r="A194" s="590">
        <f>'Regulatory instruments'!A148</f>
        <v/>
      </c>
      <c r="B194" s="590">
        <f>'Regulatory instruments'!D148</f>
        <v/>
      </c>
      <c r="C194" s="590">
        <f>'Regulatory instruments'!H148</f>
        <v/>
      </c>
      <c r="D194" s="590">
        <f>'Regulatory instruments'!G148</f>
        <v/>
      </c>
      <c r="E194" s="590">
        <f>'Regulatory instruments'!U148</f>
        <v/>
      </c>
      <c r="F194" s="590">
        <f>'Regulatory instruments'!Q148</f>
        <v/>
      </c>
      <c r="G194" s="590">
        <f>'Regulatory instruments'!R148</f>
        <v/>
      </c>
      <c r="H194" s="590">
        <f>'Regulatory instruments'!L148</f>
        <v/>
      </c>
      <c r="I194" s="590" t="inlineStr">
        <is>
          <t>Regulatory instruments</t>
        </is>
      </c>
      <c r="J194" s="590">
        <f>'Regulatory instruments'!C148</f>
        <v/>
      </c>
      <c r="K194" s="590">
        <f>'Regulatory instruments'!E148</f>
        <v/>
      </c>
      <c r="L194" s="590">
        <f>'Regulatory instruments'!F148</f>
        <v/>
      </c>
      <c r="M194" s="464" t="n"/>
    </row>
    <row r="195" ht="114" customHeight="1">
      <c r="A195" s="590">
        <f>'Regulatory instruments'!A149</f>
        <v/>
      </c>
      <c r="B195" s="590">
        <f>'Regulatory instruments'!D149</f>
        <v/>
      </c>
      <c r="C195" s="590">
        <f>'Regulatory instruments'!H149</f>
        <v/>
      </c>
      <c r="D195" s="590">
        <f>'Regulatory instruments'!G149</f>
        <v/>
      </c>
      <c r="E195" s="590">
        <f>'Regulatory instruments'!U149</f>
        <v/>
      </c>
      <c r="F195" s="590">
        <f>'Regulatory instruments'!Q149</f>
        <v/>
      </c>
      <c r="G195" s="590">
        <f>'Regulatory instruments'!R149</f>
        <v/>
      </c>
      <c r="H195" s="590">
        <f>'Regulatory instruments'!L149</f>
        <v/>
      </c>
      <c r="I195" s="590" t="inlineStr">
        <is>
          <t>Regulatory instruments</t>
        </is>
      </c>
      <c r="J195" s="590">
        <f>'Regulatory instruments'!C149</f>
        <v/>
      </c>
      <c r="K195" s="590">
        <f>'Regulatory instruments'!E149</f>
        <v/>
      </c>
      <c r="L195" s="590">
        <f>'Regulatory instruments'!F149</f>
        <v/>
      </c>
      <c r="M195" s="464" t="n"/>
    </row>
    <row r="196" ht="114" customHeight="1">
      <c r="A196" s="590">
        <f>'Regulatory instruments'!A150</f>
        <v/>
      </c>
      <c r="B196" s="590">
        <f>'Regulatory instruments'!D150</f>
        <v/>
      </c>
      <c r="C196" s="590">
        <f>'Regulatory instruments'!H150</f>
        <v/>
      </c>
      <c r="D196" s="590">
        <f>'Regulatory instruments'!G150</f>
        <v/>
      </c>
      <c r="E196" s="590">
        <f>'Regulatory instruments'!U150</f>
        <v/>
      </c>
      <c r="F196" s="590">
        <f>'Regulatory instruments'!Q150</f>
        <v/>
      </c>
      <c r="G196" s="590">
        <f>'Regulatory instruments'!R150</f>
        <v/>
      </c>
      <c r="H196" s="590">
        <f>'Regulatory instruments'!L150</f>
        <v/>
      </c>
      <c r="I196" s="590" t="inlineStr">
        <is>
          <t>Regulatory instruments</t>
        </is>
      </c>
      <c r="J196" s="590">
        <f>'Regulatory instruments'!C150</f>
        <v/>
      </c>
      <c r="K196" s="590">
        <f>'Regulatory instruments'!E150</f>
        <v/>
      </c>
      <c r="L196" s="590">
        <f>'Regulatory instruments'!F150</f>
        <v/>
      </c>
      <c r="M196" s="464" t="n"/>
    </row>
    <row r="197" ht="114" customHeight="1">
      <c r="A197" s="590">
        <f>'Regulatory instruments'!A151</f>
        <v/>
      </c>
      <c r="B197" s="590">
        <f>'Regulatory instruments'!D151</f>
        <v/>
      </c>
      <c r="C197" s="590">
        <f>'Regulatory instruments'!H151</f>
        <v/>
      </c>
      <c r="D197" s="590">
        <f>'Regulatory instruments'!G151</f>
        <v/>
      </c>
      <c r="E197" s="590">
        <f>'Regulatory instruments'!U151</f>
        <v/>
      </c>
      <c r="F197" s="590">
        <f>'Regulatory instruments'!Q151</f>
        <v/>
      </c>
      <c r="G197" s="590">
        <f>'Regulatory instruments'!R151</f>
        <v/>
      </c>
      <c r="H197" s="590">
        <f>'Regulatory instruments'!L151</f>
        <v/>
      </c>
      <c r="I197" s="590" t="inlineStr">
        <is>
          <t>Regulatory instruments</t>
        </is>
      </c>
      <c r="J197" s="590">
        <f>'Regulatory instruments'!C151</f>
        <v/>
      </c>
      <c r="K197" s="590">
        <f>'Regulatory instruments'!E151</f>
        <v/>
      </c>
      <c r="L197" s="590">
        <f>'Regulatory instruments'!F151</f>
        <v/>
      </c>
      <c r="M197" s="464" t="n"/>
    </row>
    <row r="198" ht="114" customHeight="1">
      <c r="A198" s="590">
        <f>'Regulatory instruments'!A152</f>
        <v/>
      </c>
      <c r="B198" s="590">
        <f>'Regulatory instruments'!D152</f>
        <v/>
      </c>
      <c r="C198" s="590">
        <f>'Regulatory instruments'!H152</f>
        <v/>
      </c>
      <c r="D198" s="590">
        <f>'Regulatory instruments'!G152</f>
        <v/>
      </c>
      <c r="E198" s="590">
        <f>'Regulatory instruments'!U152</f>
        <v/>
      </c>
      <c r="F198" s="590">
        <f>'Regulatory instruments'!Q152</f>
        <v/>
      </c>
      <c r="G198" s="590">
        <f>'Regulatory instruments'!R152</f>
        <v/>
      </c>
      <c r="H198" s="590">
        <f>'Regulatory instruments'!L152</f>
        <v/>
      </c>
      <c r="I198" s="590" t="inlineStr">
        <is>
          <t>Regulatory instruments</t>
        </is>
      </c>
      <c r="J198" s="590">
        <f>'Regulatory instruments'!C152</f>
        <v/>
      </c>
      <c r="K198" s="590">
        <f>'Regulatory instruments'!E152</f>
        <v/>
      </c>
      <c r="L198" s="590">
        <f>'Regulatory instruments'!F152</f>
        <v/>
      </c>
      <c r="M198" s="464" t="n"/>
    </row>
    <row r="199" ht="114" customHeight="1">
      <c r="A199" s="590">
        <f>'Regulatory instruments'!A153</f>
        <v/>
      </c>
      <c r="B199" s="590">
        <f>'Regulatory instruments'!D153</f>
        <v/>
      </c>
      <c r="C199" s="590">
        <f>'Regulatory instruments'!H153</f>
        <v/>
      </c>
      <c r="D199" s="590">
        <f>'Regulatory instruments'!G153</f>
        <v/>
      </c>
      <c r="E199" s="590">
        <f>'Regulatory instruments'!U153</f>
        <v/>
      </c>
      <c r="F199" s="590">
        <f>'Regulatory instruments'!Q153</f>
        <v/>
      </c>
      <c r="G199" s="590">
        <f>'Regulatory instruments'!R153</f>
        <v/>
      </c>
      <c r="H199" s="590">
        <f>'Regulatory instruments'!L153</f>
        <v/>
      </c>
      <c r="I199" s="590" t="inlineStr">
        <is>
          <t>Regulatory instruments</t>
        </is>
      </c>
      <c r="J199" s="590">
        <f>'Regulatory instruments'!C153</f>
        <v/>
      </c>
      <c r="K199" s="590">
        <f>'Regulatory instruments'!E153</f>
        <v/>
      </c>
      <c r="L199" s="590">
        <f>'Regulatory instruments'!F153</f>
        <v/>
      </c>
      <c r="M199" s="464" t="n"/>
    </row>
    <row r="200" ht="57" customHeight="1">
      <c r="A200" s="590">
        <f>'Regulatory instruments'!A154</f>
        <v/>
      </c>
      <c r="B200" s="590">
        <f>'Regulatory instruments'!D154</f>
        <v/>
      </c>
      <c r="C200" s="590">
        <f>'Regulatory instruments'!H154</f>
        <v/>
      </c>
      <c r="D200" s="590">
        <f>'Regulatory instruments'!G154</f>
        <v/>
      </c>
      <c r="E200" s="590">
        <f>'Regulatory instruments'!U154</f>
        <v/>
      </c>
      <c r="F200" s="590">
        <f>'Regulatory instruments'!Q154</f>
        <v/>
      </c>
      <c r="G200" s="590">
        <f>'Regulatory instruments'!R154</f>
        <v/>
      </c>
      <c r="H200" s="590">
        <f>'Regulatory instruments'!L154</f>
        <v/>
      </c>
      <c r="I200" s="590" t="inlineStr">
        <is>
          <t>Regulatory instruments</t>
        </is>
      </c>
      <c r="J200" s="590">
        <f>'Regulatory instruments'!C154</f>
        <v/>
      </c>
      <c r="K200" s="590">
        <f>'Regulatory instruments'!E154</f>
        <v/>
      </c>
      <c r="L200" s="590">
        <f>'Regulatory instruments'!F154</f>
        <v/>
      </c>
      <c r="M200" s="464" t="n"/>
    </row>
    <row r="201" ht="57" customHeight="1">
      <c r="A201" s="590">
        <f>'Regulatory instruments'!A155</f>
        <v/>
      </c>
      <c r="B201" s="590">
        <f>'Regulatory instruments'!D155</f>
        <v/>
      </c>
      <c r="C201" s="590">
        <f>'Regulatory instruments'!H155</f>
        <v/>
      </c>
      <c r="D201" s="590">
        <f>'Regulatory instruments'!G155</f>
        <v/>
      </c>
      <c r="E201" s="590">
        <f>'Regulatory instruments'!U155</f>
        <v/>
      </c>
      <c r="F201" s="590">
        <f>'Regulatory instruments'!Q155</f>
        <v/>
      </c>
      <c r="G201" s="590">
        <f>'Regulatory instruments'!R155</f>
        <v/>
      </c>
      <c r="H201" s="590">
        <f>'Regulatory instruments'!L155</f>
        <v/>
      </c>
      <c r="I201" s="590" t="inlineStr">
        <is>
          <t>Regulatory instruments</t>
        </is>
      </c>
      <c r="J201" s="590">
        <f>'Regulatory instruments'!C155</f>
        <v/>
      </c>
      <c r="K201" s="590">
        <f>'Regulatory instruments'!E155</f>
        <v/>
      </c>
      <c r="L201" s="590">
        <f>'Regulatory instruments'!F155</f>
        <v/>
      </c>
      <c r="M201" s="464" t="n"/>
    </row>
    <row r="202" ht="57" customHeight="1">
      <c r="A202" s="590">
        <f>'Regulatory instruments'!A156</f>
        <v/>
      </c>
      <c r="B202" s="590">
        <f>'Regulatory instruments'!D156</f>
        <v/>
      </c>
      <c r="C202" s="590">
        <f>'Regulatory instruments'!H156</f>
        <v/>
      </c>
      <c r="D202" s="590">
        <f>'Regulatory instruments'!G156</f>
        <v/>
      </c>
      <c r="E202" s="590">
        <f>'Regulatory instruments'!U156</f>
        <v/>
      </c>
      <c r="F202" s="590">
        <f>'Regulatory instruments'!Q156</f>
        <v/>
      </c>
      <c r="G202" s="590">
        <f>'Regulatory instruments'!R156</f>
        <v/>
      </c>
      <c r="H202" s="590">
        <f>'Regulatory instruments'!L156</f>
        <v/>
      </c>
      <c r="I202" s="590" t="inlineStr">
        <is>
          <t>Regulatory instruments</t>
        </is>
      </c>
      <c r="J202" s="590">
        <f>'Regulatory instruments'!C156</f>
        <v/>
      </c>
      <c r="K202" s="590">
        <f>'Regulatory instruments'!E156</f>
        <v/>
      </c>
      <c r="L202" s="590">
        <f>'Regulatory instruments'!F156</f>
        <v/>
      </c>
      <c r="M202" s="464" t="n"/>
    </row>
    <row r="203" ht="57" customHeight="1">
      <c r="A203" s="590">
        <f>'Regulatory instruments'!A157</f>
        <v/>
      </c>
      <c r="B203" s="590">
        <f>'Regulatory instruments'!D157</f>
        <v/>
      </c>
      <c r="C203" s="590">
        <f>'Regulatory instruments'!H157</f>
        <v/>
      </c>
      <c r="D203" s="590">
        <f>'Regulatory instruments'!G157</f>
        <v/>
      </c>
      <c r="E203" s="590">
        <f>'Regulatory instruments'!U157</f>
        <v/>
      </c>
      <c r="F203" s="590">
        <f>'Regulatory instruments'!Q157</f>
        <v/>
      </c>
      <c r="G203" s="590">
        <f>'Regulatory instruments'!R157</f>
        <v/>
      </c>
      <c r="H203" s="590">
        <f>'Regulatory instruments'!L157</f>
        <v/>
      </c>
      <c r="I203" s="590" t="inlineStr">
        <is>
          <t>Regulatory instruments</t>
        </is>
      </c>
      <c r="J203" s="590">
        <f>'Regulatory instruments'!C157</f>
        <v/>
      </c>
      <c r="K203" s="590">
        <f>'Regulatory instruments'!E157</f>
        <v/>
      </c>
      <c r="L203" s="590">
        <f>'Regulatory instruments'!F157</f>
        <v/>
      </c>
      <c r="M203" s="464" t="n"/>
    </row>
    <row r="204" ht="57" customHeight="1">
      <c r="A204" s="590">
        <f>'Regulatory instruments'!A158</f>
        <v/>
      </c>
      <c r="B204" s="590">
        <f>'Regulatory instruments'!D158</f>
        <v/>
      </c>
      <c r="C204" s="590">
        <f>'Regulatory instruments'!H158</f>
        <v/>
      </c>
      <c r="D204" s="590">
        <f>'Regulatory instruments'!G158</f>
        <v/>
      </c>
      <c r="E204" s="590">
        <f>'Regulatory instruments'!U158</f>
        <v/>
      </c>
      <c r="F204" s="590">
        <f>'Regulatory instruments'!Q158</f>
        <v/>
      </c>
      <c r="G204" s="590">
        <f>'Regulatory instruments'!R158</f>
        <v/>
      </c>
      <c r="H204" s="590">
        <f>'Regulatory instruments'!L158</f>
        <v/>
      </c>
      <c r="I204" s="590" t="inlineStr">
        <is>
          <t>Regulatory instruments</t>
        </is>
      </c>
      <c r="J204" s="590">
        <f>'Regulatory instruments'!C158</f>
        <v/>
      </c>
      <c r="K204" s="590">
        <f>'Regulatory instruments'!E158</f>
        <v/>
      </c>
      <c r="L204" s="590">
        <f>'Regulatory instruments'!F158</f>
        <v/>
      </c>
      <c r="M204" s="464" t="n"/>
    </row>
    <row r="205" ht="114" customHeight="1">
      <c r="A205" s="590">
        <f>'Regulatory instruments'!A159</f>
        <v/>
      </c>
      <c r="B205" s="590">
        <f>'Regulatory instruments'!D159</f>
        <v/>
      </c>
      <c r="C205" s="590">
        <f>'Regulatory instruments'!H159</f>
        <v/>
      </c>
      <c r="D205" s="590">
        <f>'Regulatory instruments'!G159</f>
        <v/>
      </c>
      <c r="E205" s="590">
        <f>'Regulatory instruments'!U159</f>
        <v/>
      </c>
      <c r="F205" s="590">
        <f>'Regulatory instruments'!Q159</f>
        <v/>
      </c>
      <c r="G205" s="590">
        <f>'Regulatory instruments'!R159</f>
        <v/>
      </c>
      <c r="H205" s="590">
        <f>'Regulatory instruments'!L159</f>
        <v/>
      </c>
      <c r="I205" s="590" t="inlineStr">
        <is>
          <t>Regulatory instruments</t>
        </is>
      </c>
      <c r="J205" s="590">
        <f>'Regulatory instruments'!C159</f>
        <v/>
      </c>
      <c r="K205" s="590">
        <f>'Regulatory instruments'!E159</f>
        <v/>
      </c>
      <c r="L205" s="590">
        <f>'Regulatory instruments'!F159</f>
        <v/>
      </c>
      <c r="M205" s="464" t="n"/>
    </row>
    <row r="206" ht="114" customHeight="1">
      <c r="A206" s="590">
        <f>'Regulatory instruments'!A160</f>
        <v/>
      </c>
      <c r="B206" s="590">
        <f>'Regulatory instruments'!D160</f>
        <v/>
      </c>
      <c r="C206" s="590">
        <f>'Regulatory instruments'!H160</f>
        <v/>
      </c>
      <c r="D206" s="590">
        <f>'Regulatory instruments'!G160</f>
        <v/>
      </c>
      <c r="E206" s="590">
        <f>'Regulatory instruments'!U160</f>
        <v/>
      </c>
      <c r="F206" s="590">
        <f>'Regulatory instruments'!Q160</f>
        <v/>
      </c>
      <c r="G206" s="590">
        <f>'Regulatory instruments'!R160</f>
        <v/>
      </c>
      <c r="H206" s="590">
        <f>'Regulatory instruments'!L160</f>
        <v/>
      </c>
      <c r="I206" s="590" t="inlineStr">
        <is>
          <t>Regulatory instruments</t>
        </is>
      </c>
      <c r="J206" s="590">
        <f>'Regulatory instruments'!C160</f>
        <v/>
      </c>
      <c r="K206" s="590">
        <f>'Regulatory instruments'!E160</f>
        <v/>
      </c>
      <c r="L206" s="590">
        <f>'Regulatory instruments'!F160</f>
        <v/>
      </c>
      <c r="M206" s="464" t="n"/>
    </row>
    <row r="207" ht="114" customHeight="1">
      <c r="A207" s="590">
        <f>'Regulatory instruments'!A161</f>
        <v/>
      </c>
      <c r="B207" s="590">
        <f>'Regulatory instruments'!D161</f>
        <v/>
      </c>
      <c r="C207" s="590">
        <f>'Regulatory instruments'!H161</f>
        <v/>
      </c>
      <c r="D207" s="590">
        <f>'Regulatory instruments'!G161</f>
        <v/>
      </c>
      <c r="E207" s="590">
        <f>'Regulatory instruments'!U161</f>
        <v/>
      </c>
      <c r="F207" s="590">
        <f>'Regulatory instruments'!Q161</f>
        <v/>
      </c>
      <c r="G207" s="590">
        <f>'Regulatory instruments'!R161</f>
        <v/>
      </c>
      <c r="H207" s="590">
        <f>'Regulatory instruments'!L161</f>
        <v/>
      </c>
      <c r="I207" s="590" t="inlineStr">
        <is>
          <t>Regulatory instruments</t>
        </is>
      </c>
      <c r="J207" s="590">
        <f>'Regulatory instruments'!C161</f>
        <v/>
      </c>
      <c r="K207" s="590">
        <f>'Regulatory instruments'!E161</f>
        <v/>
      </c>
      <c r="L207" s="590">
        <f>'Regulatory instruments'!F161</f>
        <v/>
      </c>
      <c r="M207" s="464" t="n"/>
    </row>
    <row r="208" ht="114" customHeight="1">
      <c r="A208" s="590">
        <f>'Regulatory instruments'!A162</f>
        <v/>
      </c>
      <c r="B208" s="590">
        <f>'Regulatory instruments'!D162</f>
        <v/>
      </c>
      <c r="C208" s="590">
        <f>'Regulatory instruments'!H162</f>
        <v/>
      </c>
      <c r="D208" s="590">
        <f>'Regulatory instruments'!G162</f>
        <v/>
      </c>
      <c r="E208" s="590">
        <f>'Regulatory instruments'!U162</f>
        <v/>
      </c>
      <c r="F208" s="590">
        <f>'Regulatory instruments'!Q162</f>
        <v/>
      </c>
      <c r="G208" s="590">
        <f>'Regulatory instruments'!R162</f>
        <v/>
      </c>
      <c r="H208" s="590">
        <f>'Regulatory instruments'!L162</f>
        <v/>
      </c>
      <c r="I208" s="590" t="inlineStr">
        <is>
          <t>Regulatory instruments</t>
        </is>
      </c>
      <c r="J208" s="590">
        <f>'Regulatory instruments'!C162</f>
        <v/>
      </c>
      <c r="K208" s="590">
        <f>'Regulatory instruments'!E162</f>
        <v/>
      </c>
      <c r="L208" s="590">
        <f>'Regulatory instruments'!F162</f>
        <v/>
      </c>
      <c r="M208" s="464" t="n"/>
    </row>
    <row r="209" ht="114" customHeight="1">
      <c r="A209" s="590">
        <f>'Regulatory instruments'!A163</f>
        <v/>
      </c>
      <c r="B209" s="590">
        <f>'Regulatory instruments'!D163</f>
        <v/>
      </c>
      <c r="C209" s="590">
        <f>'Regulatory instruments'!H163</f>
        <v/>
      </c>
      <c r="D209" s="590">
        <f>'Regulatory instruments'!G163</f>
        <v/>
      </c>
      <c r="E209" s="590">
        <f>'Regulatory instruments'!U163</f>
        <v/>
      </c>
      <c r="F209" s="590">
        <f>'Regulatory instruments'!Q163</f>
        <v/>
      </c>
      <c r="G209" s="590">
        <f>'Regulatory instruments'!R163</f>
        <v/>
      </c>
      <c r="H209" s="590">
        <f>'Regulatory instruments'!L163</f>
        <v/>
      </c>
      <c r="I209" s="590" t="inlineStr">
        <is>
          <t>Regulatory instruments</t>
        </is>
      </c>
      <c r="J209" s="590">
        <f>'Regulatory instruments'!C163</f>
        <v/>
      </c>
      <c r="K209" s="590">
        <f>'Regulatory instruments'!E163</f>
        <v/>
      </c>
      <c r="L209" s="590">
        <f>'Regulatory instruments'!F163</f>
        <v/>
      </c>
      <c r="M209" s="464" t="n"/>
    </row>
    <row r="210" ht="57" customHeight="1">
      <c r="A210" s="590">
        <f>'Regulatory instruments'!A164</f>
        <v/>
      </c>
      <c r="B210" s="590">
        <f>'Regulatory instruments'!D164</f>
        <v/>
      </c>
      <c r="C210" s="590">
        <f>'Regulatory instruments'!H164</f>
        <v/>
      </c>
      <c r="D210" s="590">
        <f>'Regulatory instruments'!G164</f>
        <v/>
      </c>
      <c r="E210" s="590">
        <f>'Regulatory instruments'!U164</f>
        <v/>
      </c>
      <c r="F210" s="590">
        <f>'Regulatory instruments'!Q164</f>
        <v/>
      </c>
      <c r="G210" s="590">
        <f>'Regulatory instruments'!R164</f>
        <v/>
      </c>
      <c r="H210" s="590">
        <f>'Regulatory instruments'!L164</f>
        <v/>
      </c>
      <c r="I210" s="590" t="inlineStr">
        <is>
          <t>Regulatory instruments</t>
        </is>
      </c>
      <c r="J210" s="590">
        <f>'Regulatory instruments'!C164</f>
        <v/>
      </c>
      <c r="K210" s="590">
        <f>'Regulatory instruments'!E164</f>
        <v/>
      </c>
      <c r="L210" s="590">
        <f>'Regulatory instruments'!F164</f>
        <v/>
      </c>
      <c r="M210" s="464" t="n"/>
    </row>
    <row r="211" ht="156.75" customHeight="1">
      <c r="A211" s="590">
        <f>'Government I&amp;C'!A3</f>
        <v/>
      </c>
      <c r="B211" s="590">
        <f>'Government I&amp;C'!D3</f>
        <v/>
      </c>
      <c r="C211" s="590">
        <f>'Government I&amp;C'!H3</f>
        <v/>
      </c>
      <c r="D211" s="590">
        <f>'Government I&amp;C'!G3</f>
        <v/>
      </c>
      <c r="E211" s="590">
        <f>'Government I&amp;C'!U3</f>
        <v/>
      </c>
      <c r="F211" s="590">
        <f>'Government I&amp;C'!Q3</f>
        <v/>
      </c>
      <c r="G211" s="590">
        <f>'Government I&amp;C'!R3</f>
        <v/>
      </c>
      <c r="H211" s="590">
        <f>'Government I&amp;C'!L3</f>
        <v/>
      </c>
      <c r="I211" s="590" t="inlineStr">
        <is>
          <t>Government I&amp;C</t>
        </is>
      </c>
      <c r="J211" s="590">
        <f>'Government I&amp;C'!C3</f>
        <v/>
      </c>
      <c r="K211" s="590">
        <f>'Government I&amp;C'!E3</f>
        <v/>
      </c>
      <c r="L211" s="590">
        <f>'Government I&amp;C'!F3</f>
        <v/>
      </c>
      <c r="M211" s="464" t="n"/>
    </row>
    <row r="212" ht="185.25" customHeight="1">
      <c r="A212" s="590">
        <f>'Government I&amp;C'!A4</f>
        <v/>
      </c>
      <c r="B212" s="590">
        <f>'Government I&amp;C'!D4</f>
        <v/>
      </c>
      <c r="C212" s="590">
        <f>'Government I&amp;C'!H4</f>
        <v/>
      </c>
      <c r="D212" s="590">
        <f>'Government I&amp;C'!G4</f>
        <v/>
      </c>
      <c r="E212" s="590">
        <f>'Government I&amp;C'!U4</f>
        <v/>
      </c>
      <c r="F212" s="590">
        <f>'Government I&amp;C'!Q4</f>
        <v/>
      </c>
      <c r="G212" s="590">
        <f>'Government I&amp;C'!R4</f>
        <v/>
      </c>
      <c r="H212" s="590">
        <f>'Government I&amp;C'!L4</f>
        <v/>
      </c>
      <c r="I212" s="590" t="inlineStr">
        <is>
          <t>Government I&amp;C</t>
        </is>
      </c>
      <c r="J212" s="590">
        <f>'Government I&amp;C'!C4</f>
        <v/>
      </c>
      <c r="K212" s="590">
        <f>'Government I&amp;C'!E4</f>
        <v/>
      </c>
      <c r="L212" s="590">
        <f>'Government I&amp;C'!F4</f>
        <v/>
      </c>
      <c r="M212" s="464" t="n"/>
    </row>
    <row r="213" ht="85.5" customHeight="1">
      <c r="A213" s="590">
        <f>'Government I&amp;C'!A5</f>
        <v/>
      </c>
      <c r="B213" s="590">
        <f>'Government I&amp;C'!D5</f>
        <v/>
      </c>
      <c r="C213" s="590">
        <f>'Government I&amp;C'!H5</f>
        <v/>
      </c>
      <c r="D213" s="590">
        <f>'Government I&amp;C'!G5</f>
        <v/>
      </c>
      <c r="E213" s="590">
        <f>'Government I&amp;C'!U5</f>
        <v/>
      </c>
      <c r="F213" s="590">
        <f>'Government I&amp;C'!Q5</f>
        <v/>
      </c>
      <c r="G213" s="590">
        <f>'Government I&amp;C'!R5</f>
        <v/>
      </c>
      <c r="H213" s="590">
        <f>'Government I&amp;C'!L5</f>
        <v/>
      </c>
      <c r="I213" s="590" t="inlineStr">
        <is>
          <t>Government I&amp;C</t>
        </is>
      </c>
      <c r="J213" s="590">
        <f>'Government I&amp;C'!C5</f>
        <v/>
      </c>
      <c r="K213" s="590">
        <f>'Government I&amp;C'!E5</f>
        <v/>
      </c>
      <c r="L213" s="590">
        <f>'Government I&amp;C'!F5</f>
        <v/>
      </c>
      <c r="M213" s="464" t="n"/>
    </row>
    <row r="214" ht="185.25" customHeight="1">
      <c r="A214" s="590">
        <f>'Government I&amp;C'!A6</f>
        <v/>
      </c>
      <c r="B214" s="590">
        <f>'Government I&amp;C'!D6</f>
        <v/>
      </c>
      <c r="C214" s="590">
        <f>'Government I&amp;C'!H6</f>
        <v/>
      </c>
      <c r="D214" s="590">
        <f>'Government I&amp;C'!G6</f>
        <v/>
      </c>
      <c r="E214" s="590">
        <f>'Government I&amp;C'!U6</f>
        <v/>
      </c>
      <c r="F214" s="590">
        <f>'Government I&amp;C'!Q6</f>
        <v/>
      </c>
      <c r="G214" s="590">
        <f>'Government I&amp;C'!R6</f>
        <v/>
      </c>
      <c r="H214" s="590">
        <f>'Government I&amp;C'!L6</f>
        <v/>
      </c>
      <c r="I214" s="590" t="inlineStr">
        <is>
          <t>Government I&amp;C</t>
        </is>
      </c>
      <c r="J214" s="590">
        <f>'Government I&amp;C'!C6</f>
        <v/>
      </c>
      <c r="K214" s="590">
        <f>'Government I&amp;C'!E6</f>
        <v/>
      </c>
      <c r="L214" s="590">
        <f>'Government I&amp;C'!F6</f>
        <v/>
      </c>
      <c r="M214" s="464" t="n"/>
    </row>
    <row r="215" ht="57" customHeight="1">
      <c r="A215" s="590">
        <f>'Government I&amp;C'!A7</f>
        <v/>
      </c>
      <c r="B215" s="590">
        <f>'Government I&amp;C'!D7</f>
        <v/>
      </c>
      <c r="C215" s="590">
        <f>'Government I&amp;C'!H7</f>
        <v/>
      </c>
      <c r="D215" s="590">
        <f>'Government I&amp;C'!G7</f>
        <v/>
      </c>
      <c r="E215" s="590">
        <f>'Government I&amp;C'!U7</f>
        <v/>
      </c>
      <c r="F215" s="590">
        <f>'Government I&amp;C'!Q7</f>
        <v/>
      </c>
      <c r="G215" s="590">
        <f>'Government I&amp;C'!R7</f>
        <v/>
      </c>
      <c r="H215" s="590">
        <f>'Government I&amp;C'!L7</f>
        <v/>
      </c>
      <c r="I215" s="590" t="inlineStr">
        <is>
          <t>Government I&amp;C</t>
        </is>
      </c>
      <c r="J215" s="590">
        <f>'Government I&amp;C'!C7</f>
        <v/>
      </c>
      <c r="K215" s="590">
        <f>'Government I&amp;C'!E7</f>
        <v/>
      </c>
      <c r="L215" s="590">
        <f>'Government I&amp;C'!F7</f>
        <v/>
      </c>
      <c r="M215" s="464" t="n"/>
    </row>
    <row r="216" ht="71.25" customHeight="1">
      <c r="A216" s="590">
        <f>'Government I&amp;C'!A8</f>
        <v/>
      </c>
      <c r="B216" s="590">
        <f>'Government I&amp;C'!D8</f>
        <v/>
      </c>
      <c r="C216" s="590">
        <f>'Government I&amp;C'!H8</f>
        <v/>
      </c>
      <c r="D216" s="590">
        <f>'Government I&amp;C'!G8</f>
        <v/>
      </c>
      <c r="E216" s="590">
        <f>'Government I&amp;C'!U8</f>
        <v/>
      </c>
      <c r="F216" s="590">
        <f>'Government I&amp;C'!Q8</f>
        <v/>
      </c>
      <c r="G216" s="590">
        <f>'Government I&amp;C'!R8</f>
        <v/>
      </c>
      <c r="H216" s="590">
        <f>'Government I&amp;C'!L8</f>
        <v/>
      </c>
      <c r="I216" s="590" t="inlineStr">
        <is>
          <t>Government I&amp;C</t>
        </is>
      </c>
      <c r="J216" s="590">
        <f>'Government I&amp;C'!C8</f>
        <v/>
      </c>
      <c r="K216" s="590">
        <f>'Government I&amp;C'!E8</f>
        <v/>
      </c>
      <c r="L216" s="590">
        <f>'Government I&amp;C'!F8</f>
        <v/>
      </c>
      <c r="M216" s="464" t="n"/>
    </row>
    <row r="217" ht="114" customHeight="1">
      <c r="A217" s="590">
        <f>'Government I&amp;C'!A9</f>
        <v/>
      </c>
      <c r="B217" s="590">
        <f>'Government I&amp;C'!D9</f>
        <v/>
      </c>
      <c r="C217" s="590">
        <f>'Government I&amp;C'!H9</f>
        <v/>
      </c>
      <c r="D217" s="590">
        <f>'Government I&amp;C'!G9</f>
        <v/>
      </c>
      <c r="E217" s="590">
        <f>'Government I&amp;C'!U9</f>
        <v/>
      </c>
      <c r="F217" s="590">
        <f>'Government I&amp;C'!Q9</f>
        <v/>
      </c>
      <c r="G217" s="590">
        <f>'Government I&amp;C'!R9</f>
        <v/>
      </c>
      <c r="H217" s="590">
        <f>'Government I&amp;C'!L9</f>
        <v/>
      </c>
      <c r="I217" s="590" t="inlineStr">
        <is>
          <t>Government I&amp;C</t>
        </is>
      </c>
      <c r="J217" s="590">
        <f>'Government I&amp;C'!C9</f>
        <v/>
      </c>
      <c r="K217" s="590">
        <f>'Government I&amp;C'!E9</f>
        <v/>
      </c>
      <c r="L217" s="590">
        <f>'Government I&amp;C'!F9</f>
        <v/>
      </c>
      <c r="M217" s="464" t="n"/>
    </row>
    <row r="218" ht="384.75" customHeight="1">
      <c r="A218" s="590">
        <f>'Government I&amp;C'!A10</f>
        <v/>
      </c>
      <c r="B218" s="590">
        <f>'Government I&amp;C'!D10</f>
        <v/>
      </c>
      <c r="C218" s="590">
        <f>'Government I&amp;C'!H10</f>
        <v/>
      </c>
      <c r="D218" s="590">
        <f>'Government I&amp;C'!G10</f>
        <v/>
      </c>
      <c r="E218" s="590">
        <f>'Government I&amp;C'!U10</f>
        <v/>
      </c>
      <c r="F218" s="590">
        <f>'Government I&amp;C'!Q10</f>
        <v/>
      </c>
      <c r="G218" s="590">
        <f>'Government I&amp;C'!R10</f>
        <v/>
      </c>
      <c r="H218" s="590">
        <f>'Government I&amp;C'!L10</f>
        <v/>
      </c>
      <c r="I218" s="590" t="inlineStr">
        <is>
          <t>Government I&amp;C</t>
        </is>
      </c>
      <c r="J218" s="590">
        <f>'Government I&amp;C'!C10</f>
        <v/>
      </c>
      <c r="K218" s="590">
        <f>'Government I&amp;C'!E10</f>
        <v/>
      </c>
      <c r="L218" s="590">
        <f>'Government I&amp;C'!F10</f>
        <v/>
      </c>
      <c r="M218" s="464" t="n"/>
    </row>
    <row r="219" ht="99.75" customHeight="1">
      <c r="A219" s="590">
        <f>'Government I&amp;C'!A11</f>
        <v/>
      </c>
      <c r="B219" s="590">
        <f>'Government I&amp;C'!D11</f>
        <v/>
      </c>
      <c r="C219" s="590">
        <f>'Government I&amp;C'!H11</f>
        <v/>
      </c>
      <c r="D219" s="590">
        <f>'Government I&amp;C'!G11</f>
        <v/>
      </c>
      <c r="E219" s="590">
        <f>'Government I&amp;C'!U11</f>
        <v/>
      </c>
      <c r="F219" s="590">
        <f>'Government I&amp;C'!Q11</f>
        <v/>
      </c>
      <c r="G219" s="590">
        <f>'Government I&amp;C'!R11</f>
        <v/>
      </c>
      <c r="H219" s="590">
        <f>'Government I&amp;C'!L11</f>
        <v/>
      </c>
      <c r="I219" s="590" t="inlineStr">
        <is>
          <t>Government I&amp;C</t>
        </is>
      </c>
      <c r="J219" s="590">
        <f>'Government I&amp;C'!C11</f>
        <v/>
      </c>
      <c r="K219" s="590">
        <f>'Government I&amp;C'!E11</f>
        <v/>
      </c>
      <c r="L219" s="590">
        <f>'Government I&amp;C'!F11</f>
        <v/>
      </c>
      <c r="M219" s="464" t="n"/>
    </row>
    <row r="220" ht="114" customHeight="1">
      <c r="A220" s="590">
        <f>'Government I&amp;C'!A12</f>
        <v/>
      </c>
      <c r="B220" s="590">
        <f>'Government I&amp;C'!D12</f>
        <v/>
      </c>
      <c r="C220" s="590">
        <f>'Government I&amp;C'!H12</f>
        <v/>
      </c>
      <c r="D220" s="590">
        <f>'Government I&amp;C'!G12</f>
        <v/>
      </c>
      <c r="E220" s="590">
        <f>'Government I&amp;C'!U12</f>
        <v/>
      </c>
      <c r="F220" s="590">
        <f>'Government I&amp;C'!Q12</f>
        <v/>
      </c>
      <c r="G220" s="590">
        <f>'Government I&amp;C'!R12</f>
        <v/>
      </c>
      <c r="H220" s="590">
        <f>'Government I&amp;C'!L12</f>
        <v/>
      </c>
      <c r="I220" s="590" t="inlineStr">
        <is>
          <t>Government I&amp;C</t>
        </is>
      </c>
      <c r="J220" s="590">
        <f>'Government I&amp;C'!C12</f>
        <v/>
      </c>
      <c r="K220" s="590">
        <f>'Government I&amp;C'!E12</f>
        <v/>
      </c>
      <c r="L220" s="590">
        <f>'Government I&amp;C'!F12</f>
        <v/>
      </c>
      <c r="M220" s="464" t="n"/>
    </row>
    <row r="221" ht="242.25" customHeight="1">
      <c r="A221" s="590">
        <f>'Government I&amp;C'!A13</f>
        <v/>
      </c>
      <c r="B221" s="590">
        <f>'Government I&amp;C'!D13</f>
        <v/>
      </c>
      <c r="C221" s="590">
        <f>'Government I&amp;C'!H13</f>
        <v/>
      </c>
      <c r="D221" s="590">
        <f>'Government I&amp;C'!G13</f>
        <v/>
      </c>
      <c r="E221" s="590">
        <f>'Government I&amp;C'!U13</f>
        <v/>
      </c>
      <c r="F221" s="590">
        <f>'Government I&amp;C'!Q13</f>
        <v/>
      </c>
      <c r="G221" s="590">
        <f>'Government I&amp;C'!R13</f>
        <v/>
      </c>
      <c r="H221" s="590">
        <f>'Government I&amp;C'!L13</f>
        <v/>
      </c>
      <c r="I221" s="590" t="inlineStr">
        <is>
          <t>Government I&amp;C</t>
        </is>
      </c>
      <c r="J221" s="590">
        <f>'Government I&amp;C'!C13</f>
        <v/>
      </c>
      <c r="K221" s="590">
        <f>'Government I&amp;C'!E13</f>
        <v/>
      </c>
      <c r="L221" s="590">
        <f>'Government I&amp;C'!F13</f>
        <v/>
      </c>
      <c r="M221" s="464" t="n"/>
    </row>
    <row r="222" ht="142.5" customHeight="1">
      <c r="A222" s="590">
        <f>'Government I&amp;C'!A14</f>
        <v/>
      </c>
      <c r="B222" s="590">
        <f>'Government I&amp;C'!D14</f>
        <v/>
      </c>
      <c r="C222" s="590">
        <f>'Government I&amp;C'!H14</f>
        <v/>
      </c>
      <c r="D222" s="590">
        <f>'Government I&amp;C'!G14</f>
        <v/>
      </c>
      <c r="E222" s="590">
        <f>'Government I&amp;C'!U14</f>
        <v/>
      </c>
      <c r="F222" s="590">
        <f>'Government I&amp;C'!Q14</f>
        <v/>
      </c>
      <c r="G222" s="590">
        <f>'Government I&amp;C'!R14</f>
        <v/>
      </c>
      <c r="H222" s="590">
        <f>'Government I&amp;C'!L14</f>
        <v/>
      </c>
      <c r="I222" s="590" t="inlineStr">
        <is>
          <t>Government I&amp;C</t>
        </is>
      </c>
      <c r="J222" s="590">
        <f>'Government I&amp;C'!C14</f>
        <v/>
      </c>
      <c r="K222" s="590">
        <f>'Government I&amp;C'!E14</f>
        <v/>
      </c>
      <c r="L222" s="590">
        <f>'Government I&amp;C'!F14</f>
        <v/>
      </c>
      <c r="M222" s="464" t="n"/>
    </row>
    <row r="223" ht="114" customHeight="1">
      <c r="A223" s="590">
        <f>'Government I&amp;C'!A15</f>
        <v/>
      </c>
      <c r="B223" s="590">
        <f>'Government I&amp;C'!D15</f>
        <v/>
      </c>
      <c r="C223" s="590">
        <f>'Government I&amp;C'!H15</f>
        <v/>
      </c>
      <c r="D223" s="590">
        <f>'Government I&amp;C'!G15</f>
        <v/>
      </c>
      <c r="E223" s="590">
        <f>'Government I&amp;C'!U15</f>
        <v/>
      </c>
      <c r="F223" s="590">
        <f>'Government I&amp;C'!Q15</f>
        <v/>
      </c>
      <c r="G223" s="590">
        <f>'Government I&amp;C'!R15</f>
        <v/>
      </c>
      <c r="H223" s="590">
        <f>'Government I&amp;C'!L15</f>
        <v/>
      </c>
      <c r="I223" s="590" t="inlineStr">
        <is>
          <t>Government I&amp;C</t>
        </is>
      </c>
      <c r="J223" s="590">
        <f>'Government I&amp;C'!C15</f>
        <v/>
      </c>
      <c r="K223" s="590">
        <f>'Government I&amp;C'!E15</f>
        <v/>
      </c>
      <c r="L223" s="590">
        <f>'Government I&amp;C'!F15</f>
        <v/>
      </c>
      <c r="M223" s="464" t="n"/>
    </row>
    <row r="224" ht="99.75" customHeight="1">
      <c r="A224" s="590">
        <f>'Government I&amp;C'!A16</f>
        <v/>
      </c>
      <c r="B224" s="590">
        <f>'Government I&amp;C'!D16</f>
        <v/>
      </c>
      <c r="C224" s="590">
        <f>'Government I&amp;C'!H16</f>
        <v/>
      </c>
      <c r="D224" s="590">
        <f>'Government I&amp;C'!G16</f>
        <v/>
      </c>
      <c r="E224" s="590">
        <f>'Government I&amp;C'!U16</f>
        <v/>
      </c>
      <c r="F224" s="590">
        <f>'Government I&amp;C'!Q16</f>
        <v/>
      </c>
      <c r="G224" s="590">
        <f>'Government I&amp;C'!R16</f>
        <v/>
      </c>
      <c r="H224" s="590">
        <f>'Government I&amp;C'!L16</f>
        <v/>
      </c>
      <c r="I224" s="590" t="inlineStr">
        <is>
          <t>Government I&amp;C</t>
        </is>
      </c>
      <c r="J224" s="590">
        <f>'Government I&amp;C'!C16</f>
        <v/>
      </c>
      <c r="K224" s="590">
        <f>'Government I&amp;C'!E16</f>
        <v/>
      </c>
      <c r="L224" s="590">
        <f>'Government I&amp;C'!F16</f>
        <v/>
      </c>
      <c r="M224" s="464" t="n"/>
    </row>
    <row r="225" ht="142.5" customHeight="1">
      <c r="A225" s="590">
        <f>'Government I&amp;C'!A17</f>
        <v/>
      </c>
      <c r="B225" s="590">
        <f>'Government I&amp;C'!D17</f>
        <v/>
      </c>
      <c r="C225" s="590">
        <f>'Government I&amp;C'!H17</f>
        <v/>
      </c>
      <c r="D225" s="590">
        <f>'Government I&amp;C'!G17</f>
        <v/>
      </c>
      <c r="E225" s="590">
        <f>'Government I&amp;C'!U17</f>
        <v/>
      </c>
      <c r="F225" s="590">
        <f>'Government I&amp;C'!Q17</f>
        <v/>
      </c>
      <c r="G225" s="590">
        <f>'Government I&amp;C'!R17</f>
        <v/>
      </c>
      <c r="H225" s="590">
        <f>'Government I&amp;C'!L17</f>
        <v/>
      </c>
      <c r="I225" s="590" t="inlineStr">
        <is>
          <t>Government I&amp;C</t>
        </is>
      </c>
      <c r="J225" s="590">
        <f>'Government I&amp;C'!C17</f>
        <v/>
      </c>
      <c r="K225" s="590">
        <f>'Government I&amp;C'!E17</f>
        <v/>
      </c>
      <c r="L225" s="590">
        <f>'Government I&amp;C'!F17</f>
        <v/>
      </c>
      <c r="M225" s="464" t="n"/>
    </row>
    <row r="226" ht="128.25" customHeight="1">
      <c r="A226" s="590">
        <f>'Government I&amp;C'!A18</f>
        <v/>
      </c>
      <c r="B226" s="590">
        <f>'Government I&amp;C'!D18</f>
        <v/>
      </c>
      <c r="C226" s="590">
        <f>'Government I&amp;C'!H18</f>
        <v/>
      </c>
      <c r="D226" s="590">
        <f>'Government I&amp;C'!G18</f>
        <v/>
      </c>
      <c r="E226" s="590">
        <f>'Government I&amp;C'!U18</f>
        <v/>
      </c>
      <c r="F226" s="590">
        <f>'Government I&amp;C'!Q18</f>
        <v/>
      </c>
      <c r="G226" s="590">
        <f>'Government I&amp;C'!R18</f>
        <v/>
      </c>
      <c r="H226" s="590">
        <f>'Government I&amp;C'!L18</f>
        <v/>
      </c>
      <c r="I226" s="590" t="inlineStr">
        <is>
          <t>Government I&amp;C</t>
        </is>
      </c>
      <c r="J226" s="590">
        <f>'Government I&amp;C'!C18</f>
        <v/>
      </c>
      <c r="K226" s="590">
        <f>'Government I&amp;C'!E18</f>
        <v/>
      </c>
      <c r="L226" s="590">
        <f>'Government I&amp;C'!F18</f>
        <v/>
      </c>
      <c r="M226" s="464" t="n"/>
    </row>
    <row r="227" ht="71.25" customHeight="1">
      <c r="A227" s="590">
        <f>'Government I&amp;C'!A19</f>
        <v/>
      </c>
      <c r="B227" s="590">
        <f>'Government I&amp;C'!D19</f>
        <v/>
      </c>
      <c r="C227" s="590">
        <f>'Government I&amp;C'!H19</f>
        <v/>
      </c>
      <c r="D227" s="590">
        <f>'Government I&amp;C'!G19</f>
        <v/>
      </c>
      <c r="E227" s="590">
        <f>'Government I&amp;C'!U19</f>
        <v/>
      </c>
      <c r="F227" s="590">
        <f>'Government I&amp;C'!Q19</f>
        <v/>
      </c>
      <c r="G227" s="590">
        <f>'Government I&amp;C'!R19</f>
        <v/>
      </c>
      <c r="H227" s="590">
        <f>'Government I&amp;C'!L19</f>
        <v/>
      </c>
      <c r="I227" s="590" t="inlineStr">
        <is>
          <t>Government I&amp;C</t>
        </is>
      </c>
      <c r="J227" s="590">
        <f>'Government I&amp;C'!C19</f>
        <v/>
      </c>
      <c r="K227" s="590">
        <f>'Government I&amp;C'!E19</f>
        <v/>
      </c>
      <c r="L227" s="590">
        <f>'Government I&amp;C'!F19</f>
        <v/>
      </c>
      <c r="M227" s="464" t="n"/>
    </row>
    <row r="228" ht="156.75" customHeight="1">
      <c r="A228" s="590">
        <f>'Government I&amp;C'!A20</f>
        <v/>
      </c>
      <c r="B228" s="590">
        <f>'Government I&amp;C'!D20</f>
        <v/>
      </c>
      <c r="C228" s="590">
        <f>'Government I&amp;C'!H20</f>
        <v/>
      </c>
      <c r="D228" s="590">
        <f>'Government I&amp;C'!G20</f>
        <v/>
      </c>
      <c r="E228" s="590">
        <f>'Government I&amp;C'!U20</f>
        <v/>
      </c>
      <c r="F228" s="590">
        <f>'Government I&amp;C'!Q20</f>
        <v/>
      </c>
      <c r="G228" s="590">
        <f>'Government I&amp;C'!R20</f>
        <v/>
      </c>
      <c r="H228" s="590">
        <f>'Government I&amp;C'!L20</f>
        <v/>
      </c>
      <c r="I228" s="590" t="inlineStr">
        <is>
          <t>Government I&amp;C</t>
        </is>
      </c>
      <c r="J228" s="590">
        <f>'Government I&amp;C'!C20</f>
        <v/>
      </c>
      <c r="K228" s="590">
        <f>'Government I&amp;C'!E20</f>
        <v/>
      </c>
      <c r="L228" s="590">
        <f>'Government I&amp;C'!F20</f>
        <v/>
      </c>
      <c r="M228" s="464" t="n"/>
    </row>
    <row r="229" ht="399" customHeight="1">
      <c r="A229" s="590">
        <f>'Government I&amp;C'!A21</f>
        <v/>
      </c>
      <c r="B229" s="590">
        <f>'Government I&amp;C'!D21</f>
        <v/>
      </c>
      <c r="C229" s="590">
        <f>'Government I&amp;C'!H21</f>
        <v/>
      </c>
      <c r="D229" s="590">
        <f>'Government I&amp;C'!G21</f>
        <v/>
      </c>
      <c r="E229" s="590">
        <f>'Government I&amp;C'!U21</f>
        <v/>
      </c>
      <c r="F229" s="590">
        <f>'Government I&amp;C'!Q21</f>
        <v/>
      </c>
      <c r="G229" s="590">
        <f>'Government I&amp;C'!R21</f>
        <v/>
      </c>
      <c r="H229" s="590">
        <f>'Government I&amp;C'!L21</f>
        <v/>
      </c>
      <c r="I229" s="590" t="inlineStr">
        <is>
          <t>Government I&amp;C</t>
        </is>
      </c>
      <c r="J229" s="590">
        <f>'Government I&amp;C'!C21</f>
        <v/>
      </c>
      <c r="K229" s="590">
        <f>'Government I&amp;C'!E21</f>
        <v/>
      </c>
      <c r="L229" s="590">
        <f>'Government I&amp;C'!F21</f>
        <v/>
      </c>
      <c r="M229" s="464" t="n"/>
    </row>
    <row r="230" ht="85.5" customHeight="1">
      <c r="A230" s="590">
        <f>'Government I&amp;C'!A22</f>
        <v/>
      </c>
      <c r="B230" s="590">
        <f>'Government I&amp;C'!D22</f>
        <v/>
      </c>
      <c r="C230" s="590">
        <f>'Government I&amp;C'!H22</f>
        <v/>
      </c>
      <c r="D230" s="590">
        <f>'Government I&amp;C'!G22</f>
        <v/>
      </c>
      <c r="E230" s="590">
        <f>'Government I&amp;C'!U22</f>
        <v/>
      </c>
      <c r="F230" s="590">
        <f>'Government I&amp;C'!Q22</f>
        <v/>
      </c>
      <c r="G230" s="590">
        <f>'Government I&amp;C'!R22</f>
        <v/>
      </c>
      <c r="H230" s="590">
        <f>'Government I&amp;C'!L22</f>
        <v/>
      </c>
      <c r="I230" s="590" t="inlineStr">
        <is>
          <t>Government I&amp;C</t>
        </is>
      </c>
      <c r="J230" s="590">
        <f>'Government I&amp;C'!C22</f>
        <v/>
      </c>
      <c r="K230" s="590">
        <f>'Government I&amp;C'!E22</f>
        <v/>
      </c>
      <c r="L230" s="590">
        <f>'Government I&amp;C'!F22</f>
        <v/>
      </c>
      <c r="M230" s="464" t="n"/>
    </row>
    <row r="231" ht="57" customHeight="1">
      <c r="A231" s="590">
        <f>'Government I&amp;C'!A23</f>
        <v/>
      </c>
      <c r="B231" s="590">
        <f>'Government I&amp;C'!D23</f>
        <v/>
      </c>
      <c r="C231" s="590">
        <f>'Government I&amp;C'!H23</f>
        <v/>
      </c>
      <c r="D231" s="590">
        <f>'Government I&amp;C'!G23</f>
        <v/>
      </c>
      <c r="E231" s="590">
        <f>'Government I&amp;C'!U23</f>
        <v/>
      </c>
      <c r="F231" s="590">
        <f>'Government I&amp;C'!Q23</f>
        <v/>
      </c>
      <c r="G231" s="590">
        <f>'Government I&amp;C'!R23</f>
        <v/>
      </c>
      <c r="H231" s="590">
        <f>'Government I&amp;C'!L23</f>
        <v/>
      </c>
      <c r="I231" s="590" t="inlineStr">
        <is>
          <t>Government I&amp;C</t>
        </is>
      </c>
      <c r="J231" s="590">
        <f>'Government I&amp;C'!C23</f>
        <v/>
      </c>
      <c r="K231" s="590">
        <f>'Government I&amp;C'!E23</f>
        <v/>
      </c>
      <c r="L231" s="590">
        <f>'Government I&amp;C'!F23</f>
        <v/>
      </c>
      <c r="M231" s="464" t="n"/>
    </row>
    <row r="232" ht="71.25" customHeight="1">
      <c r="A232" s="590">
        <f>'Government I&amp;C'!A24</f>
        <v/>
      </c>
      <c r="B232" s="590">
        <f>'Government I&amp;C'!D24</f>
        <v/>
      </c>
      <c r="C232" s="590">
        <f>'Government I&amp;C'!H24</f>
        <v/>
      </c>
      <c r="D232" s="590">
        <f>'Government I&amp;C'!G24</f>
        <v/>
      </c>
      <c r="E232" s="590">
        <f>'Government I&amp;C'!U24</f>
        <v/>
      </c>
      <c r="F232" s="590">
        <f>'Government I&amp;C'!Q24</f>
        <v/>
      </c>
      <c r="G232" s="590">
        <f>'Government I&amp;C'!R24</f>
        <v/>
      </c>
      <c r="H232" s="590">
        <f>'Government I&amp;C'!L24</f>
        <v/>
      </c>
      <c r="I232" s="590" t="inlineStr">
        <is>
          <t>Government I&amp;C</t>
        </is>
      </c>
      <c r="J232" s="590">
        <f>'Government I&amp;C'!C24</f>
        <v/>
      </c>
      <c r="K232" s="590">
        <f>'Government I&amp;C'!E24</f>
        <v/>
      </c>
      <c r="L232" s="590">
        <f>'Government I&amp;C'!F24</f>
        <v/>
      </c>
      <c r="M232" s="464" t="n"/>
    </row>
    <row r="233" ht="342" customHeight="1">
      <c r="A233" s="590">
        <f>'Government I&amp;C'!A25</f>
        <v/>
      </c>
      <c r="B233" s="590">
        <f>'Government I&amp;C'!D25</f>
        <v/>
      </c>
      <c r="C233" s="590">
        <f>'Government I&amp;C'!H25</f>
        <v/>
      </c>
      <c r="D233" s="590">
        <f>'Government I&amp;C'!G25</f>
        <v/>
      </c>
      <c r="E233" s="590">
        <f>'Government I&amp;C'!U25</f>
        <v/>
      </c>
      <c r="F233" s="590">
        <f>'Government I&amp;C'!Q25</f>
        <v/>
      </c>
      <c r="G233" s="590">
        <f>'Government I&amp;C'!R25</f>
        <v/>
      </c>
      <c r="H233" s="590">
        <f>'Government I&amp;C'!L25</f>
        <v/>
      </c>
      <c r="I233" s="590" t="inlineStr">
        <is>
          <t>Government I&amp;C</t>
        </is>
      </c>
      <c r="J233" s="590">
        <f>'Government I&amp;C'!C25</f>
        <v/>
      </c>
      <c r="K233" s="590">
        <f>'Government I&amp;C'!E25</f>
        <v/>
      </c>
      <c r="L233" s="590">
        <f>'Government I&amp;C'!F25</f>
        <v/>
      </c>
      <c r="M233" s="464" t="n"/>
    </row>
    <row r="234" ht="156.75" customHeight="1">
      <c r="A234" s="590">
        <f>'Information instruments'!A3</f>
        <v/>
      </c>
      <c r="B234" s="590">
        <f>'Information instruments'!D3</f>
        <v/>
      </c>
      <c r="C234" s="590">
        <f>'Information instruments'!H3</f>
        <v/>
      </c>
      <c r="D234" s="590">
        <f>'Information instruments'!G3</f>
        <v/>
      </c>
      <c r="E234" s="590">
        <f>'Information instruments'!U3</f>
        <v/>
      </c>
      <c r="F234" s="590">
        <f>'Information instruments'!Q3</f>
        <v/>
      </c>
      <c r="G234" s="590">
        <f>'Information instruments'!R3</f>
        <v/>
      </c>
      <c r="H234" s="590">
        <f>'Information instruments'!L3</f>
        <v/>
      </c>
      <c r="I234" s="590" t="inlineStr">
        <is>
          <t>Information instruments</t>
        </is>
      </c>
      <c r="J234" s="590">
        <f>'Information instruments'!C3</f>
        <v/>
      </c>
      <c r="K234" s="590">
        <f>'Information instruments'!E3</f>
        <v/>
      </c>
      <c r="L234" s="590">
        <f>'Information instruments'!F3</f>
        <v/>
      </c>
      <c r="M234" s="464" t="n"/>
    </row>
    <row r="235" ht="71.25" customHeight="1">
      <c r="A235" s="590">
        <f>'Information instruments'!A4</f>
        <v/>
      </c>
      <c r="B235" s="590">
        <f>'Information instruments'!D4</f>
        <v/>
      </c>
      <c r="C235" s="590">
        <f>'Information instruments'!H4</f>
        <v/>
      </c>
      <c r="D235" s="590">
        <f>'Information instruments'!G4</f>
        <v/>
      </c>
      <c r="E235" s="590">
        <f>'Information instruments'!U4</f>
        <v/>
      </c>
      <c r="F235" s="590">
        <f>'Information instruments'!Q4</f>
        <v/>
      </c>
      <c r="G235" s="590">
        <f>'Information instruments'!R4</f>
        <v/>
      </c>
      <c r="H235" s="590">
        <f>'Information instruments'!L4</f>
        <v/>
      </c>
      <c r="I235" s="590" t="inlineStr">
        <is>
          <t>Information instruments</t>
        </is>
      </c>
      <c r="J235" s="590">
        <f>'Information instruments'!C4</f>
        <v/>
      </c>
      <c r="K235" s="590">
        <f>'Information instruments'!E4</f>
        <v/>
      </c>
      <c r="L235" s="590">
        <f>'Information instruments'!F4</f>
        <v/>
      </c>
      <c r="M235" s="464" t="n"/>
    </row>
    <row r="236" ht="171" customHeight="1">
      <c r="A236" s="590">
        <f>'Information instruments'!A5</f>
        <v/>
      </c>
      <c r="B236" s="590">
        <f>'Information instruments'!D5</f>
        <v/>
      </c>
      <c r="C236" s="590">
        <f>'Information instruments'!H5</f>
        <v/>
      </c>
      <c r="D236" s="590">
        <f>'Information instruments'!G5</f>
        <v/>
      </c>
      <c r="E236" s="590">
        <f>'Information instruments'!U5</f>
        <v/>
      </c>
      <c r="F236" s="590">
        <f>'Information instruments'!Q5</f>
        <v/>
      </c>
      <c r="G236" s="590">
        <f>'Information instruments'!R5</f>
        <v/>
      </c>
      <c r="H236" s="590">
        <f>'Information instruments'!L5</f>
        <v/>
      </c>
      <c r="I236" s="590" t="inlineStr">
        <is>
          <t>Information instruments</t>
        </is>
      </c>
      <c r="J236" s="590">
        <f>'Information instruments'!C5</f>
        <v/>
      </c>
      <c r="K236" s="590">
        <f>'Information instruments'!E5</f>
        <v/>
      </c>
      <c r="L236" s="590">
        <f>'Information instruments'!F5</f>
        <v/>
      </c>
      <c r="M236" s="464" t="n"/>
    </row>
    <row r="237" ht="71.25" customHeight="1">
      <c r="A237" s="590">
        <f>'Information instruments'!A6</f>
        <v/>
      </c>
      <c r="B237" s="590">
        <f>'Information instruments'!D6</f>
        <v/>
      </c>
      <c r="C237" s="590">
        <f>'Information instruments'!H6</f>
        <v/>
      </c>
      <c r="D237" s="590">
        <f>'Information instruments'!G6</f>
        <v/>
      </c>
      <c r="E237" s="590">
        <f>'Information instruments'!U6</f>
        <v/>
      </c>
      <c r="F237" s="590">
        <f>'Information instruments'!Q6</f>
        <v/>
      </c>
      <c r="G237" s="590">
        <f>'Information instruments'!R6</f>
        <v/>
      </c>
      <c r="H237" s="590">
        <f>'Information instruments'!L6</f>
        <v/>
      </c>
      <c r="I237" s="590" t="inlineStr">
        <is>
          <t>Information instruments</t>
        </is>
      </c>
      <c r="J237" s="590">
        <f>'Information instruments'!C6</f>
        <v/>
      </c>
      <c r="K237" s="590">
        <f>'Information instruments'!E6</f>
        <v/>
      </c>
      <c r="L237" s="590">
        <f>'Information instruments'!F6</f>
        <v/>
      </c>
      <c r="M237" s="464" t="n"/>
    </row>
    <row r="238" ht="71.25" customHeight="1">
      <c r="A238" s="590">
        <f>'Information instruments'!A7</f>
        <v/>
      </c>
      <c r="B238" s="590">
        <f>'Information instruments'!D7</f>
        <v/>
      </c>
      <c r="C238" s="590">
        <f>'Information instruments'!H7</f>
        <v/>
      </c>
      <c r="D238" s="590">
        <f>'Information instruments'!G7</f>
        <v/>
      </c>
      <c r="E238" s="590">
        <f>'Information instruments'!U7</f>
        <v/>
      </c>
      <c r="F238" s="590">
        <f>'Information instruments'!Q7</f>
        <v/>
      </c>
      <c r="G238" s="590">
        <f>'Information instruments'!R7</f>
        <v/>
      </c>
      <c r="H238" s="590">
        <f>'Information instruments'!L7</f>
        <v/>
      </c>
      <c r="I238" s="590" t="inlineStr">
        <is>
          <t>Information instruments</t>
        </is>
      </c>
      <c r="J238" s="590">
        <f>'Information instruments'!C7</f>
        <v/>
      </c>
      <c r="K238" s="590">
        <f>'Information instruments'!E7</f>
        <v/>
      </c>
      <c r="L238" s="590">
        <f>'Information instruments'!F7</f>
        <v/>
      </c>
      <c r="M238" s="464" t="n"/>
    </row>
    <row r="239" ht="71.25" customHeight="1">
      <c r="A239" s="590">
        <f>'Information instruments'!A8</f>
        <v/>
      </c>
      <c r="B239" s="590">
        <f>'Information instruments'!D8</f>
        <v/>
      </c>
      <c r="C239" s="590">
        <f>'Information instruments'!H8</f>
        <v/>
      </c>
      <c r="D239" s="590">
        <f>'Information instruments'!G8</f>
        <v/>
      </c>
      <c r="E239" s="590">
        <f>'Information instruments'!U8</f>
        <v/>
      </c>
      <c r="F239" s="590">
        <f>'Information instruments'!Q8</f>
        <v/>
      </c>
      <c r="G239" s="590">
        <f>'Information instruments'!R8</f>
        <v/>
      </c>
      <c r="H239" s="590">
        <f>'Information instruments'!L8</f>
        <v/>
      </c>
      <c r="I239" s="590" t="inlineStr">
        <is>
          <t>Information instruments</t>
        </is>
      </c>
      <c r="J239" s="590">
        <f>'Information instruments'!C8</f>
        <v/>
      </c>
      <c r="K239" s="590">
        <f>'Information instruments'!E8</f>
        <v/>
      </c>
      <c r="L239" s="590">
        <f>'Information instruments'!F8</f>
        <v/>
      </c>
      <c r="M239" s="464" t="n"/>
    </row>
    <row r="240" ht="142.5" customHeight="1">
      <c r="A240" s="590">
        <f>'Information instruments'!A9</f>
        <v/>
      </c>
      <c r="B240" s="590">
        <f>'Information instruments'!D9</f>
        <v/>
      </c>
      <c r="C240" s="590">
        <f>'Information instruments'!H9</f>
        <v/>
      </c>
      <c r="D240" s="590">
        <f>'Information instruments'!G9</f>
        <v/>
      </c>
      <c r="E240" s="590">
        <f>'Information instruments'!U9</f>
        <v/>
      </c>
      <c r="F240" s="590">
        <f>'Information instruments'!Q9</f>
        <v/>
      </c>
      <c r="G240" s="590">
        <f>'Information instruments'!R9</f>
        <v/>
      </c>
      <c r="H240" s="590">
        <f>'Information instruments'!L9</f>
        <v/>
      </c>
      <c r="I240" s="590" t="inlineStr">
        <is>
          <t>Information instruments</t>
        </is>
      </c>
      <c r="J240" s="590">
        <f>'Information instruments'!C9</f>
        <v/>
      </c>
      <c r="K240" s="590">
        <f>'Information instruments'!E9</f>
        <v/>
      </c>
      <c r="L240" s="590">
        <f>'Information instruments'!F9</f>
        <v/>
      </c>
      <c r="M240" s="464" t="n"/>
    </row>
    <row r="241" ht="213.75" customHeight="1">
      <c r="A241" s="590">
        <f>'Information instruments'!A10</f>
        <v/>
      </c>
      <c r="B241" s="590">
        <f>'Information instruments'!D10</f>
        <v/>
      </c>
      <c r="C241" s="590">
        <f>'Information instruments'!H10</f>
        <v/>
      </c>
      <c r="D241" s="590">
        <f>'Information instruments'!G10</f>
        <v/>
      </c>
      <c r="E241" s="590">
        <f>'Information instruments'!U10</f>
        <v/>
      </c>
      <c r="F241" s="590">
        <f>'Information instruments'!Q10</f>
        <v/>
      </c>
      <c r="G241" s="590">
        <f>'Information instruments'!R10</f>
        <v/>
      </c>
      <c r="H241" s="590">
        <f>'Information instruments'!L10</f>
        <v/>
      </c>
      <c r="I241" s="590" t="inlineStr">
        <is>
          <t>Information instruments</t>
        </is>
      </c>
      <c r="J241" s="590">
        <f>'Information instruments'!C10</f>
        <v/>
      </c>
      <c r="K241" s="590">
        <f>'Information instruments'!E10</f>
        <v/>
      </c>
      <c r="L241" s="590">
        <f>'Information instruments'!F10</f>
        <v/>
      </c>
      <c r="M241" s="464" t="n"/>
    </row>
    <row r="242" ht="85.5" customHeight="1">
      <c r="A242" s="590">
        <f>'Information instruments'!A11</f>
        <v/>
      </c>
      <c r="B242" s="590">
        <f>'Information instruments'!D11</f>
        <v/>
      </c>
      <c r="C242" s="590">
        <f>'Information instruments'!H11</f>
        <v/>
      </c>
      <c r="D242" s="590">
        <f>'Information instruments'!G11</f>
        <v/>
      </c>
      <c r="E242" s="590">
        <f>'Information instruments'!U11</f>
        <v/>
      </c>
      <c r="F242" s="590">
        <f>'Information instruments'!Q11</f>
        <v/>
      </c>
      <c r="G242" s="590">
        <f>'Information instruments'!R11</f>
        <v/>
      </c>
      <c r="H242" s="590">
        <f>'Information instruments'!L11</f>
        <v/>
      </c>
      <c r="I242" s="590" t="inlineStr">
        <is>
          <t>Information instruments</t>
        </is>
      </c>
      <c r="J242" s="590">
        <f>'Information instruments'!C11</f>
        <v/>
      </c>
      <c r="K242" s="590">
        <f>'Information instruments'!E11</f>
        <v/>
      </c>
      <c r="L242" s="590">
        <f>'Information instruments'!F11</f>
        <v/>
      </c>
      <c r="M242" s="464" t="n"/>
    </row>
    <row r="243" ht="85.5" customHeight="1">
      <c r="A243" s="590">
        <f>'Information instruments'!A12</f>
        <v/>
      </c>
      <c r="B243" s="590">
        <f>'Information instruments'!D12</f>
        <v/>
      </c>
      <c r="C243" s="590">
        <f>'Information instruments'!H12</f>
        <v/>
      </c>
      <c r="D243" s="590">
        <f>'Information instruments'!G12</f>
        <v/>
      </c>
      <c r="E243" s="590">
        <f>'Information instruments'!U12</f>
        <v/>
      </c>
      <c r="F243" s="590">
        <f>'Information instruments'!Q12</f>
        <v/>
      </c>
      <c r="G243" s="590">
        <f>'Information instruments'!R12</f>
        <v/>
      </c>
      <c r="H243" s="590">
        <f>'Information instruments'!L12</f>
        <v/>
      </c>
      <c r="I243" s="590" t="inlineStr">
        <is>
          <t>Information instruments</t>
        </is>
      </c>
      <c r="J243" s="590">
        <f>'Information instruments'!C12</f>
        <v/>
      </c>
      <c r="K243" s="590">
        <f>'Information instruments'!E12</f>
        <v/>
      </c>
      <c r="L243" s="590">
        <f>'Information instruments'!F12</f>
        <v/>
      </c>
      <c r="M243" s="464" t="n"/>
    </row>
    <row r="244" ht="99.75" customHeight="1">
      <c r="A244" s="590">
        <f>'Information instruments'!A13</f>
        <v/>
      </c>
      <c r="B244" s="590">
        <f>'Information instruments'!D13</f>
        <v/>
      </c>
      <c r="C244" s="590">
        <f>'Information instruments'!H13</f>
        <v/>
      </c>
      <c r="D244" s="590">
        <f>'Information instruments'!G13</f>
        <v/>
      </c>
      <c r="E244" s="590">
        <f>'Information instruments'!U13</f>
        <v/>
      </c>
      <c r="F244" s="590">
        <f>'Information instruments'!Q13</f>
        <v/>
      </c>
      <c r="G244" s="590">
        <f>'Information instruments'!R13</f>
        <v/>
      </c>
      <c r="H244" s="590">
        <f>'Information instruments'!L13</f>
        <v/>
      </c>
      <c r="I244" s="590" t="inlineStr">
        <is>
          <t>Information instruments</t>
        </is>
      </c>
      <c r="J244" s="590">
        <f>'Information instruments'!C13</f>
        <v/>
      </c>
      <c r="K244" s="590">
        <f>'Information instruments'!E13</f>
        <v/>
      </c>
      <c r="L244" s="590">
        <f>'Information instruments'!F13</f>
        <v/>
      </c>
      <c r="M244" s="464" t="n"/>
    </row>
    <row r="245" ht="99.75" customHeight="1">
      <c r="A245" s="590">
        <f>'Information instruments'!A14</f>
        <v/>
      </c>
      <c r="B245" s="590">
        <f>'Information instruments'!D14</f>
        <v/>
      </c>
      <c r="C245" s="590">
        <f>'Information instruments'!H14</f>
        <v/>
      </c>
      <c r="D245" s="590">
        <f>'Information instruments'!G14</f>
        <v/>
      </c>
      <c r="E245" s="590">
        <f>'Information instruments'!U14</f>
        <v/>
      </c>
      <c r="F245" s="590">
        <f>'Information instruments'!Q14</f>
        <v/>
      </c>
      <c r="G245" s="590">
        <f>'Information instruments'!R14</f>
        <v/>
      </c>
      <c r="H245" s="590">
        <f>'Information instruments'!L14</f>
        <v/>
      </c>
      <c r="I245" s="590" t="inlineStr">
        <is>
          <t>Information instruments</t>
        </is>
      </c>
      <c r="J245" s="590">
        <f>'Information instruments'!C14</f>
        <v/>
      </c>
      <c r="K245" s="590">
        <f>'Information instruments'!E14</f>
        <v/>
      </c>
      <c r="L245" s="590">
        <f>'Information instruments'!F14</f>
        <v/>
      </c>
      <c r="M245" s="464" t="n"/>
    </row>
    <row r="246" ht="99.75" customHeight="1">
      <c r="A246" s="590">
        <f>'Information instruments'!A15</f>
        <v/>
      </c>
      <c r="B246" s="590">
        <f>'Information instruments'!D15</f>
        <v/>
      </c>
      <c r="C246" s="590">
        <f>'Information instruments'!H15</f>
        <v/>
      </c>
      <c r="D246" s="590">
        <f>'Information instruments'!G15</f>
        <v/>
      </c>
      <c r="E246" s="590">
        <f>'Information instruments'!U15</f>
        <v/>
      </c>
      <c r="F246" s="590">
        <f>'Information instruments'!Q15</f>
        <v/>
      </c>
      <c r="G246" s="590">
        <f>'Information instruments'!R15</f>
        <v/>
      </c>
      <c r="H246" s="590">
        <f>'Information instruments'!L15</f>
        <v/>
      </c>
      <c r="I246" s="590" t="inlineStr">
        <is>
          <t>Information instruments</t>
        </is>
      </c>
      <c r="J246" s="590">
        <f>'Information instruments'!C15</f>
        <v/>
      </c>
      <c r="K246" s="590">
        <f>'Information instruments'!E15</f>
        <v/>
      </c>
      <c r="L246" s="590">
        <f>'Information instruments'!F15</f>
        <v/>
      </c>
      <c r="M246" s="464" t="n"/>
    </row>
    <row r="247" ht="99.75" customHeight="1">
      <c r="A247" s="590">
        <f>'Information instruments'!A16</f>
        <v/>
      </c>
      <c r="B247" s="590">
        <f>'Information instruments'!D16</f>
        <v/>
      </c>
      <c r="C247" s="590">
        <f>'Information instruments'!H16</f>
        <v/>
      </c>
      <c r="D247" s="590">
        <f>'Information instruments'!G16</f>
        <v/>
      </c>
      <c r="E247" s="590">
        <f>'Information instruments'!U16</f>
        <v/>
      </c>
      <c r="F247" s="590">
        <f>'Information instruments'!Q16</f>
        <v/>
      </c>
      <c r="G247" s="590">
        <f>'Information instruments'!R16</f>
        <v/>
      </c>
      <c r="H247" s="590">
        <f>'Information instruments'!L16</f>
        <v/>
      </c>
      <c r="I247" s="590" t="inlineStr">
        <is>
          <t>Information instruments</t>
        </is>
      </c>
      <c r="J247" s="590">
        <f>'Information instruments'!C16</f>
        <v/>
      </c>
      <c r="K247" s="590">
        <f>'Information instruments'!E16</f>
        <v/>
      </c>
      <c r="L247" s="590">
        <f>'Information instruments'!F16</f>
        <v/>
      </c>
      <c r="M247" s="464" t="n"/>
    </row>
    <row r="248" ht="99.75" customHeight="1">
      <c r="A248" s="590">
        <f>'Information instruments'!A17</f>
        <v/>
      </c>
      <c r="B248" s="590">
        <f>'Information instruments'!D17</f>
        <v/>
      </c>
      <c r="C248" s="590">
        <f>'Information instruments'!H17</f>
        <v/>
      </c>
      <c r="D248" s="590">
        <f>'Information instruments'!G17</f>
        <v/>
      </c>
      <c r="E248" s="590">
        <f>'Information instruments'!U17</f>
        <v/>
      </c>
      <c r="F248" s="590">
        <f>'Information instruments'!Q17</f>
        <v/>
      </c>
      <c r="G248" s="590">
        <f>'Information instruments'!R17</f>
        <v/>
      </c>
      <c r="H248" s="590">
        <f>'Information instruments'!L17</f>
        <v/>
      </c>
      <c r="I248" s="590" t="inlineStr">
        <is>
          <t>Information instruments</t>
        </is>
      </c>
      <c r="J248" s="590">
        <f>'Information instruments'!C17</f>
        <v/>
      </c>
      <c r="K248" s="590">
        <f>'Information instruments'!E17</f>
        <v/>
      </c>
      <c r="L248" s="590">
        <f>'Information instruments'!F17</f>
        <v/>
      </c>
      <c r="M248" s="464" t="n"/>
    </row>
    <row r="249" ht="99.75" customHeight="1">
      <c r="A249" s="590">
        <f>'Information instruments'!A18</f>
        <v/>
      </c>
      <c r="B249" s="590">
        <f>'Information instruments'!D18</f>
        <v/>
      </c>
      <c r="C249" s="590">
        <f>'Information instruments'!H18</f>
        <v/>
      </c>
      <c r="D249" s="590">
        <f>'Information instruments'!G18</f>
        <v/>
      </c>
      <c r="E249" s="590">
        <f>'Information instruments'!U18</f>
        <v/>
      </c>
      <c r="F249" s="590">
        <f>'Information instruments'!Q18</f>
        <v/>
      </c>
      <c r="G249" s="590">
        <f>'Information instruments'!R18</f>
        <v/>
      </c>
      <c r="H249" s="590">
        <f>'Information instruments'!L18</f>
        <v/>
      </c>
      <c r="I249" s="590" t="inlineStr">
        <is>
          <t>Information instruments</t>
        </is>
      </c>
      <c r="J249" s="590">
        <f>'Information instruments'!C18</f>
        <v/>
      </c>
      <c r="K249" s="590">
        <f>'Information instruments'!E18</f>
        <v/>
      </c>
      <c r="L249" s="590">
        <f>'Information instruments'!F18</f>
        <v/>
      </c>
      <c r="M249" s="464" t="n"/>
    </row>
    <row r="250" ht="409.5" customHeight="1">
      <c r="A250" s="590">
        <f>'Information instruments'!A19</f>
        <v/>
      </c>
      <c r="B250" s="590">
        <f>'Information instruments'!D19</f>
        <v/>
      </c>
      <c r="C250" s="590">
        <f>'Information instruments'!H19</f>
        <v/>
      </c>
      <c r="D250" s="590">
        <f>'Information instruments'!G19</f>
        <v/>
      </c>
      <c r="E250" s="590">
        <f>'Information instruments'!U19</f>
        <v/>
      </c>
      <c r="F250" s="590">
        <f>'Information instruments'!Q19</f>
        <v/>
      </c>
      <c r="G250" s="590">
        <f>'Information instruments'!R19</f>
        <v/>
      </c>
      <c r="H250" s="590">
        <f>'Information instruments'!L19</f>
        <v/>
      </c>
      <c r="I250" s="590" t="inlineStr">
        <is>
          <t>Information instruments</t>
        </is>
      </c>
      <c r="J250" s="590">
        <f>'Information instruments'!C19</f>
        <v/>
      </c>
      <c r="K250" s="590">
        <f>'Information instruments'!E19</f>
        <v/>
      </c>
      <c r="L250" s="590">
        <f>'Information instruments'!F19</f>
        <v/>
      </c>
      <c r="M250" s="464" t="n"/>
    </row>
    <row r="251" ht="99.75" customHeight="1">
      <c r="A251" s="590">
        <f>'Information instruments'!A20</f>
        <v/>
      </c>
      <c r="B251" s="590">
        <f>'Information instruments'!D20</f>
        <v/>
      </c>
      <c r="C251" s="590">
        <f>'Information instruments'!H20</f>
        <v/>
      </c>
      <c r="D251" s="590">
        <f>'Information instruments'!G20</f>
        <v/>
      </c>
      <c r="E251" s="590">
        <f>'Information instruments'!U20</f>
        <v/>
      </c>
      <c r="F251" s="590">
        <f>'Information instruments'!Q20</f>
        <v/>
      </c>
      <c r="G251" s="590">
        <f>'Information instruments'!R20</f>
        <v/>
      </c>
      <c r="H251" s="590">
        <f>'Information instruments'!L20</f>
        <v/>
      </c>
      <c r="I251" s="590" t="inlineStr">
        <is>
          <t>Information instruments</t>
        </is>
      </c>
      <c r="J251" s="590">
        <f>'Information instruments'!C20</f>
        <v/>
      </c>
      <c r="K251" s="590">
        <f>'Information instruments'!E20</f>
        <v/>
      </c>
      <c r="L251" s="590">
        <f>'Information instruments'!F20</f>
        <v/>
      </c>
      <c r="M251" s="464" t="n"/>
    </row>
    <row r="252" ht="99.75" customHeight="1">
      <c r="A252" s="590">
        <f>'Information instruments'!A21</f>
        <v/>
      </c>
      <c r="B252" s="590">
        <f>'Information instruments'!D21</f>
        <v/>
      </c>
      <c r="C252" s="590">
        <f>'Information instruments'!H21</f>
        <v/>
      </c>
      <c r="D252" s="590">
        <f>'Information instruments'!G21</f>
        <v/>
      </c>
      <c r="E252" s="590">
        <f>'Information instruments'!U21</f>
        <v/>
      </c>
      <c r="F252" s="590">
        <f>'Information instruments'!Q21</f>
        <v/>
      </c>
      <c r="G252" s="590">
        <f>'Information instruments'!R21</f>
        <v/>
      </c>
      <c r="H252" s="590">
        <f>'Information instruments'!L21</f>
        <v/>
      </c>
      <c r="I252" s="590" t="inlineStr">
        <is>
          <t>Information instruments</t>
        </is>
      </c>
      <c r="J252" s="590">
        <f>'Information instruments'!C21</f>
        <v/>
      </c>
      <c r="K252" s="590">
        <f>'Information instruments'!E21</f>
        <v/>
      </c>
      <c r="L252" s="590">
        <f>'Information instruments'!F21</f>
        <v/>
      </c>
      <c r="M252" s="464" t="n"/>
    </row>
    <row r="253" ht="370.5" customHeight="1">
      <c r="A253" s="590">
        <f>'Information instruments'!A22</f>
        <v/>
      </c>
      <c r="B253" s="590">
        <f>'Information instruments'!D22</f>
        <v/>
      </c>
      <c r="C253" s="590">
        <f>'Information instruments'!H22</f>
        <v/>
      </c>
      <c r="D253" s="590">
        <f>'Information instruments'!G22</f>
        <v/>
      </c>
      <c r="E253" s="590">
        <f>'Information instruments'!U22</f>
        <v/>
      </c>
      <c r="F253" s="590">
        <f>'Information instruments'!Q22</f>
        <v/>
      </c>
      <c r="G253" s="590">
        <f>'Information instruments'!R22</f>
        <v/>
      </c>
      <c r="H253" s="590">
        <f>'Information instruments'!L22</f>
        <v/>
      </c>
      <c r="I253" s="590" t="inlineStr">
        <is>
          <t>Information instruments</t>
        </is>
      </c>
      <c r="J253" s="590">
        <f>'Information instruments'!C22</f>
        <v/>
      </c>
      <c r="K253" s="590">
        <f>'Information instruments'!E22</f>
        <v/>
      </c>
      <c r="L253" s="590">
        <f>'Information instruments'!F22</f>
        <v/>
      </c>
      <c r="M253" s="464" t="n"/>
    </row>
    <row r="254" ht="99.75" customHeight="1">
      <c r="A254" s="590">
        <f>'Information instruments'!A23</f>
        <v/>
      </c>
      <c r="B254" s="590">
        <f>'Information instruments'!D23</f>
        <v/>
      </c>
      <c r="C254" s="590">
        <f>'Information instruments'!H23</f>
        <v/>
      </c>
      <c r="D254" s="590">
        <f>'Information instruments'!G23</f>
        <v/>
      </c>
      <c r="E254" s="590">
        <f>'Information instruments'!U23</f>
        <v/>
      </c>
      <c r="F254" s="590">
        <f>'Information instruments'!Q23</f>
        <v/>
      </c>
      <c r="G254" s="590">
        <f>'Information instruments'!R23</f>
        <v/>
      </c>
      <c r="H254" s="590">
        <f>'Information instruments'!L23</f>
        <v/>
      </c>
      <c r="I254" s="590" t="inlineStr">
        <is>
          <t>Information instruments</t>
        </is>
      </c>
      <c r="J254" s="590">
        <f>'Information instruments'!C23</f>
        <v/>
      </c>
      <c r="K254" s="590">
        <f>'Information instruments'!E23</f>
        <v/>
      </c>
      <c r="L254" s="590">
        <f>'Information instruments'!F23</f>
        <v/>
      </c>
      <c r="M254" s="464" t="n"/>
    </row>
    <row r="255" ht="99.75" customHeight="1">
      <c r="A255" s="590">
        <f>'Information instruments'!A24</f>
        <v/>
      </c>
      <c r="B255" s="590">
        <f>'Information instruments'!D24</f>
        <v/>
      </c>
      <c r="C255" s="590">
        <f>'Information instruments'!H24</f>
        <v/>
      </c>
      <c r="D255" s="590">
        <f>'Information instruments'!G24</f>
        <v/>
      </c>
      <c r="E255" s="590">
        <f>'Information instruments'!U24</f>
        <v/>
      </c>
      <c r="F255" s="590">
        <f>'Information instruments'!Q24</f>
        <v/>
      </c>
      <c r="G255" s="590">
        <f>'Information instruments'!R24</f>
        <v/>
      </c>
      <c r="H255" s="590">
        <f>'Information instruments'!L24</f>
        <v/>
      </c>
      <c r="I255" s="590" t="inlineStr">
        <is>
          <t>Information instruments</t>
        </is>
      </c>
      <c r="J255" s="590">
        <f>'Information instruments'!C24</f>
        <v/>
      </c>
      <c r="K255" s="590">
        <f>'Information instruments'!E24</f>
        <v/>
      </c>
      <c r="L255" s="590">
        <f>'Information instruments'!F24</f>
        <v/>
      </c>
      <c r="M255" s="464" t="n"/>
    </row>
    <row r="256" ht="99.75" customHeight="1">
      <c r="A256" s="590">
        <f>'Information instruments'!A25</f>
        <v/>
      </c>
      <c r="B256" s="590">
        <f>'Information instruments'!D25</f>
        <v/>
      </c>
      <c r="C256" s="590">
        <f>'Information instruments'!H25</f>
        <v/>
      </c>
      <c r="D256" s="590">
        <f>'Information instruments'!G25</f>
        <v/>
      </c>
      <c r="E256" s="590">
        <f>'Information instruments'!U25</f>
        <v/>
      </c>
      <c r="F256" s="590">
        <f>'Information instruments'!Q25</f>
        <v/>
      </c>
      <c r="G256" s="590">
        <f>'Information instruments'!R25</f>
        <v/>
      </c>
      <c r="H256" s="590">
        <f>'Information instruments'!L25</f>
        <v/>
      </c>
      <c r="I256" s="590" t="inlineStr">
        <is>
          <t>Information instruments</t>
        </is>
      </c>
      <c r="J256" s="590">
        <f>'Information instruments'!C25</f>
        <v/>
      </c>
      <c r="K256" s="590">
        <f>'Information instruments'!E25</f>
        <v/>
      </c>
      <c r="L256" s="590">
        <f>'Information instruments'!F25</f>
        <v/>
      </c>
      <c r="M256" s="464" t="n"/>
    </row>
    <row r="257" ht="99.75" customHeight="1">
      <c r="A257" s="590">
        <f>'Information instruments'!A26</f>
        <v/>
      </c>
      <c r="B257" s="590">
        <f>'Information instruments'!D26</f>
        <v/>
      </c>
      <c r="C257" s="590">
        <f>'Information instruments'!H26</f>
        <v/>
      </c>
      <c r="D257" s="590">
        <f>'Information instruments'!G26</f>
        <v/>
      </c>
      <c r="E257" s="590">
        <f>'Information instruments'!U26</f>
        <v/>
      </c>
      <c r="F257" s="590">
        <f>'Information instruments'!Q26</f>
        <v/>
      </c>
      <c r="G257" s="590">
        <f>'Information instruments'!R26</f>
        <v/>
      </c>
      <c r="H257" s="590">
        <f>'Information instruments'!L26</f>
        <v/>
      </c>
      <c r="I257" s="590" t="inlineStr">
        <is>
          <t>Information instruments</t>
        </is>
      </c>
      <c r="J257" s="590">
        <f>'Information instruments'!C26</f>
        <v/>
      </c>
      <c r="K257" s="590">
        <f>'Information instruments'!E26</f>
        <v/>
      </c>
      <c r="L257" s="590">
        <f>'Information instruments'!F26</f>
        <v/>
      </c>
      <c r="M257" s="464" t="n"/>
    </row>
    <row r="258" ht="99.75" customHeight="1">
      <c r="A258" s="590">
        <f>'Information instruments'!A27</f>
        <v/>
      </c>
      <c r="B258" s="590">
        <f>'Information instruments'!D27</f>
        <v/>
      </c>
      <c r="C258" s="590">
        <f>'Information instruments'!H27</f>
        <v/>
      </c>
      <c r="D258" s="590">
        <f>'Information instruments'!G27</f>
        <v/>
      </c>
      <c r="E258" s="590">
        <f>'Information instruments'!U27</f>
        <v/>
      </c>
      <c r="F258" s="590">
        <f>'Information instruments'!Q27</f>
        <v/>
      </c>
      <c r="G258" s="590">
        <f>'Information instruments'!R27</f>
        <v/>
      </c>
      <c r="H258" s="590">
        <f>'Information instruments'!L27</f>
        <v/>
      </c>
      <c r="I258" s="590" t="inlineStr">
        <is>
          <t>Information instruments</t>
        </is>
      </c>
      <c r="J258" s="590">
        <f>'Information instruments'!C27</f>
        <v/>
      </c>
      <c r="K258" s="590">
        <f>'Information instruments'!E27</f>
        <v/>
      </c>
      <c r="L258" s="590">
        <f>'Information instruments'!F27</f>
        <v/>
      </c>
      <c r="M258" s="464" t="n"/>
    </row>
    <row r="259" ht="99.75" customHeight="1">
      <c r="A259" s="590">
        <f>'Information instruments'!A28</f>
        <v/>
      </c>
      <c r="B259" s="590">
        <f>'Information instruments'!D28</f>
        <v/>
      </c>
      <c r="C259" s="590">
        <f>'Information instruments'!H28</f>
        <v/>
      </c>
      <c r="D259" s="590">
        <f>'Information instruments'!G28</f>
        <v/>
      </c>
      <c r="E259" s="590">
        <f>'Information instruments'!U28</f>
        <v/>
      </c>
      <c r="F259" s="590">
        <f>'Information instruments'!Q28</f>
        <v/>
      </c>
      <c r="G259" s="590">
        <f>'Information instruments'!R28</f>
        <v/>
      </c>
      <c r="H259" s="590">
        <f>'Information instruments'!L28</f>
        <v/>
      </c>
      <c r="I259" s="590" t="inlineStr">
        <is>
          <t>Information instruments</t>
        </is>
      </c>
      <c r="J259" s="590">
        <f>'Information instruments'!C28</f>
        <v/>
      </c>
      <c r="K259" s="590">
        <f>'Information instruments'!E28</f>
        <v/>
      </c>
      <c r="L259" s="590">
        <f>'Information instruments'!F28</f>
        <v/>
      </c>
      <c r="M259" s="464" t="n"/>
    </row>
    <row r="260" ht="99.75" customHeight="1">
      <c r="A260" s="590">
        <f>'Information instruments'!A29</f>
        <v/>
      </c>
      <c r="B260" s="590">
        <f>'Information instruments'!D29</f>
        <v/>
      </c>
      <c r="C260" s="590">
        <f>'Information instruments'!H29</f>
        <v/>
      </c>
      <c r="D260" s="590">
        <f>'Information instruments'!G29</f>
        <v/>
      </c>
      <c r="E260" s="590">
        <f>'Information instruments'!U29</f>
        <v/>
      </c>
      <c r="F260" s="590">
        <f>'Information instruments'!Q29</f>
        <v/>
      </c>
      <c r="G260" s="590">
        <f>'Information instruments'!R29</f>
        <v/>
      </c>
      <c r="H260" s="590">
        <f>'Information instruments'!L29</f>
        <v/>
      </c>
      <c r="I260" s="590" t="inlineStr">
        <is>
          <t>Information instruments</t>
        </is>
      </c>
      <c r="J260" s="590">
        <f>'Information instruments'!C29</f>
        <v/>
      </c>
      <c r="K260" s="590">
        <f>'Information instruments'!E29</f>
        <v/>
      </c>
      <c r="L260" s="590">
        <f>'Information instruments'!F29</f>
        <v/>
      </c>
      <c r="M260" s="464" t="n"/>
    </row>
    <row r="261" ht="99.75" customHeight="1">
      <c r="A261" s="590">
        <f>'Information instruments'!A30</f>
        <v/>
      </c>
      <c r="B261" s="590">
        <f>'Information instruments'!D30</f>
        <v/>
      </c>
      <c r="C261" s="590">
        <f>'Information instruments'!H30</f>
        <v/>
      </c>
      <c r="D261" s="590">
        <f>'Information instruments'!G30</f>
        <v/>
      </c>
      <c r="E261" s="590">
        <f>'Information instruments'!U30</f>
        <v/>
      </c>
      <c r="F261" s="590">
        <f>'Information instruments'!Q30</f>
        <v/>
      </c>
      <c r="G261" s="590">
        <f>'Information instruments'!R30</f>
        <v/>
      </c>
      <c r="H261" s="590">
        <f>'Information instruments'!L30</f>
        <v/>
      </c>
      <c r="I261" s="590" t="inlineStr">
        <is>
          <t>Information instruments</t>
        </is>
      </c>
      <c r="J261" s="590">
        <f>'Information instruments'!C30</f>
        <v/>
      </c>
      <c r="K261" s="590">
        <f>'Information instruments'!E30</f>
        <v/>
      </c>
      <c r="L261" s="590">
        <f>'Information instruments'!F30</f>
        <v/>
      </c>
      <c r="M261" s="464" t="n"/>
    </row>
    <row r="262" ht="99.75" customHeight="1">
      <c r="A262" s="590">
        <f>'Information instruments'!A31</f>
        <v/>
      </c>
      <c r="B262" s="590">
        <f>'Information instruments'!D31</f>
        <v/>
      </c>
      <c r="C262" s="590">
        <f>'Information instruments'!H31</f>
        <v/>
      </c>
      <c r="D262" s="590">
        <f>'Information instruments'!G31</f>
        <v/>
      </c>
      <c r="E262" s="590">
        <f>'Information instruments'!U31</f>
        <v/>
      </c>
      <c r="F262" s="590">
        <f>'Information instruments'!Q31</f>
        <v/>
      </c>
      <c r="G262" s="590">
        <f>'Information instruments'!R31</f>
        <v/>
      </c>
      <c r="H262" s="590">
        <f>'Information instruments'!L31</f>
        <v/>
      </c>
      <c r="I262" s="590" t="inlineStr">
        <is>
          <t>Information instruments</t>
        </is>
      </c>
      <c r="J262" s="590">
        <f>'Information instruments'!C31</f>
        <v/>
      </c>
      <c r="K262" s="590">
        <f>'Information instruments'!E31</f>
        <v/>
      </c>
      <c r="L262" s="590">
        <f>'Information instruments'!F31</f>
        <v/>
      </c>
      <c r="M262" s="464" t="n"/>
    </row>
    <row r="263" ht="99.75" customHeight="1">
      <c r="A263" s="590">
        <f>'Information instruments'!A32</f>
        <v/>
      </c>
      <c r="B263" s="590">
        <f>'Information instruments'!D32</f>
        <v/>
      </c>
      <c r="C263" s="590">
        <f>'Information instruments'!H32</f>
        <v/>
      </c>
      <c r="D263" s="590">
        <f>'Information instruments'!G32</f>
        <v/>
      </c>
      <c r="E263" s="590">
        <f>'Information instruments'!U32</f>
        <v/>
      </c>
      <c r="F263" s="590">
        <f>'Information instruments'!Q32</f>
        <v/>
      </c>
      <c r="G263" s="590">
        <f>'Information instruments'!R32</f>
        <v/>
      </c>
      <c r="H263" s="590">
        <f>'Information instruments'!L32</f>
        <v/>
      </c>
      <c r="I263" s="590" t="inlineStr">
        <is>
          <t>Information instruments</t>
        </is>
      </c>
      <c r="J263" s="590">
        <f>'Information instruments'!C32</f>
        <v/>
      </c>
      <c r="K263" s="590">
        <f>'Information instruments'!E32</f>
        <v/>
      </c>
      <c r="L263" s="590">
        <f>'Information instruments'!F32</f>
        <v/>
      </c>
      <c r="M263" s="464" t="n"/>
    </row>
    <row r="264" ht="199.5" customHeight="1">
      <c r="A264" s="590">
        <f>'Voluntary approaches'!A3</f>
        <v/>
      </c>
      <c r="B264" s="590">
        <f>'Voluntary approaches'!D3</f>
        <v/>
      </c>
      <c r="C264" s="590">
        <f>'Voluntary approaches'!H3</f>
        <v/>
      </c>
      <c r="D264" s="590">
        <f>'Voluntary approaches'!G3</f>
        <v/>
      </c>
      <c r="E264" s="590">
        <f>'Voluntary approaches'!U3</f>
        <v/>
      </c>
      <c r="F264" s="590">
        <f>'Voluntary approaches'!Q3</f>
        <v/>
      </c>
      <c r="G264" s="590">
        <f>'Voluntary approaches'!R3</f>
        <v/>
      </c>
      <c r="H264" s="590">
        <f>'Voluntary approaches'!L3</f>
        <v/>
      </c>
      <c r="I264" s="590" t="inlineStr">
        <is>
          <t>Voluntary approaches</t>
        </is>
      </c>
      <c r="J264" s="590">
        <f>'Voluntary approaches'!C3</f>
        <v/>
      </c>
      <c r="K264" s="590">
        <f>'Voluntary approaches'!E3</f>
        <v/>
      </c>
      <c r="L264" s="590">
        <f>'Voluntary approaches'!F3</f>
        <v/>
      </c>
      <c r="M264" s="464" t="n"/>
    </row>
    <row r="265" ht="85.5" customHeight="1">
      <c r="A265" s="590">
        <f>'Voluntary approaches'!A22</f>
        <v/>
      </c>
      <c r="B265" s="590">
        <f>'Voluntary approaches'!D22</f>
        <v/>
      </c>
      <c r="C265" s="590">
        <f>'Voluntary approaches'!H22</f>
        <v/>
      </c>
      <c r="D265" s="590">
        <f>'Voluntary approaches'!G22</f>
        <v/>
      </c>
      <c r="E265" s="590">
        <f>'Voluntary approaches'!U22</f>
        <v/>
      </c>
      <c r="F265" s="590">
        <f>'Voluntary approaches'!Q22</f>
        <v/>
      </c>
      <c r="G265" s="590">
        <f>'Voluntary approaches'!R22</f>
        <v/>
      </c>
      <c r="H265" s="590">
        <f>'Voluntary approaches'!L22</f>
        <v/>
      </c>
      <c r="I265" s="590" t="inlineStr">
        <is>
          <t>Voluntary approaches</t>
        </is>
      </c>
      <c r="J265" s="590">
        <f>'Voluntary approaches'!C22</f>
        <v/>
      </c>
      <c r="K265" s="590">
        <f>'Voluntary approaches'!E22</f>
        <v/>
      </c>
      <c r="L265" s="590">
        <f>'Voluntary approaches'!F22</f>
        <v/>
      </c>
      <c r="M265" s="464" t="n"/>
    </row>
    <row r="266" ht="85.5" customHeight="1">
      <c r="A266" s="590">
        <f>'Voluntary approaches'!A23</f>
        <v/>
      </c>
      <c r="B266" s="590">
        <f>'Voluntary approaches'!D23</f>
        <v/>
      </c>
      <c r="C266" s="590">
        <f>'Voluntary approaches'!H23</f>
        <v/>
      </c>
      <c r="D266" s="590">
        <f>'Voluntary approaches'!G23</f>
        <v/>
      </c>
      <c r="E266" s="590">
        <f>'Voluntary approaches'!U23</f>
        <v/>
      </c>
      <c r="F266" s="590">
        <f>'Voluntary approaches'!Q23</f>
        <v/>
      </c>
      <c r="G266" s="590">
        <f>'Voluntary approaches'!R23</f>
        <v/>
      </c>
      <c r="H266" s="590">
        <f>'Voluntary approaches'!L23</f>
        <v/>
      </c>
      <c r="I266" s="590" t="inlineStr">
        <is>
          <t>Voluntary approaches</t>
        </is>
      </c>
      <c r="J266" s="590">
        <f>'Voluntary approaches'!C23</f>
        <v/>
      </c>
      <c r="K266" s="590">
        <f>'Voluntary approaches'!E23</f>
        <v/>
      </c>
      <c r="L266" s="590">
        <f>'Voluntary approaches'!F23</f>
        <v/>
      </c>
      <c r="M266" s="464" t="n"/>
    </row>
    <row r="267" ht="85.5" customHeight="1">
      <c r="A267" s="590">
        <f>'Voluntary approaches'!A24</f>
        <v/>
      </c>
      <c r="B267" s="590">
        <f>'Voluntary approaches'!D24</f>
        <v/>
      </c>
      <c r="C267" s="590">
        <f>'Voluntary approaches'!H24</f>
        <v/>
      </c>
      <c r="D267" s="590">
        <f>'Voluntary approaches'!G24</f>
        <v/>
      </c>
      <c r="E267" s="590">
        <f>'Voluntary approaches'!U24</f>
        <v/>
      </c>
      <c r="F267" s="590">
        <f>'Voluntary approaches'!Q24</f>
        <v/>
      </c>
      <c r="G267" s="590">
        <f>'Voluntary approaches'!R24</f>
        <v/>
      </c>
      <c r="H267" s="590">
        <f>'Voluntary approaches'!L24</f>
        <v/>
      </c>
      <c r="I267" s="590" t="inlineStr">
        <is>
          <t>Voluntary approaches</t>
        </is>
      </c>
      <c r="J267" s="590">
        <f>'Voluntary approaches'!C24</f>
        <v/>
      </c>
      <c r="K267" s="590">
        <f>'Voluntary approaches'!E24</f>
        <v/>
      </c>
      <c r="L267" s="590">
        <f>'Voluntary approaches'!F24</f>
        <v/>
      </c>
      <c r="M267" s="464" t="n"/>
    </row>
    <row r="268" ht="85.5" customHeight="1">
      <c r="A268" s="590">
        <f>'Voluntary approaches'!A25</f>
        <v/>
      </c>
      <c r="B268" s="590">
        <f>'Voluntary approaches'!D25</f>
        <v/>
      </c>
      <c r="C268" s="590">
        <f>'Voluntary approaches'!H25</f>
        <v/>
      </c>
      <c r="D268" s="590">
        <f>'Voluntary approaches'!G25</f>
        <v/>
      </c>
      <c r="E268" s="590">
        <f>'Voluntary approaches'!U25</f>
        <v/>
      </c>
      <c r="F268" s="590">
        <f>'Voluntary approaches'!Q25</f>
        <v/>
      </c>
      <c r="G268" s="590">
        <f>'Voluntary approaches'!R25</f>
        <v/>
      </c>
      <c r="H268" s="590">
        <f>'Voluntary approaches'!L25</f>
        <v/>
      </c>
      <c r="I268" s="590" t="inlineStr">
        <is>
          <t>Voluntary approaches</t>
        </is>
      </c>
      <c r="J268" s="590">
        <f>'Voluntary approaches'!C25</f>
        <v/>
      </c>
      <c r="K268" s="590">
        <f>'Voluntary approaches'!E25</f>
        <v/>
      </c>
      <c r="L268" s="590">
        <f>'Voluntary approaches'!F25</f>
        <v/>
      </c>
      <c r="M268" s="464" t="n"/>
    </row>
    <row r="269" ht="85.5" customHeight="1">
      <c r="A269" s="590">
        <f>'Voluntary approaches'!A26</f>
        <v/>
      </c>
      <c r="B269" s="590">
        <f>'Voluntary approaches'!D26</f>
        <v/>
      </c>
      <c r="C269" s="590">
        <f>'Voluntary approaches'!H26</f>
        <v/>
      </c>
      <c r="D269" s="590">
        <f>'Voluntary approaches'!G26</f>
        <v/>
      </c>
      <c r="E269" s="590">
        <f>'Voluntary approaches'!U26</f>
        <v/>
      </c>
      <c r="F269" s="590">
        <f>'Voluntary approaches'!Q26</f>
        <v/>
      </c>
      <c r="G269" s="590">
        <f>'Voluntary approaches'!R26</f>
        <v/>
      </c>
      <c r="H269" s="590">
        <f>'Voluntary approaches'!L26</f>
        <v/>
      </c>
      <c r="I269" s="590" t="inlineStr">
        <is>
          <t>Voluntary approaches</t>
        </is>
      </c>
      <c r="J269" s="590">
        <f>'Voluntary approaches'!C26</f>
        <v/>
      </c>
      <c r="K269" s="590">
        <f>'Voluntary approaches'!E26</f>
        <v/>
      </c>
      <c r="L269" s="590">
        <f>'Voluntary approaches'!F26</f>
        <v/>
      </c>
      <c r="M269" s="464" t="n"/>
    </row>
    <row r="270" ht="85.5" customHeight="1">
      <c r="A270" s="590">
        <f>'Voluntary approaches'!A27</f>
        <v/>
      </c>
      <c r="B270" s="590">
        <f>'Voluntary approaches'!D27</f>
        <v/>
      </c>
      <c r="C270" s="590">
        <f>'Voluntary approaches'!H27</f>
        <v/>
      </c>
      <c r="D270" s="590">
        <f>'Voluntary approaches'!G27</f>
        <v/>
      </c>
      <c r="E270" s="590">
        <f>'Voluntary approaches'!U27</f>
        <v/>
      </c>
      <c r="F270" s="590">
        <f>'Voluntary approaches'!Q27</f>
        <v/>
      </c>
      <c r="G270" s="590">
        <f>'Voluntary approaches'!R27</f>
        <v/>
      </c>
      <c r="H270" s="590">
        <f>'Voluntary approaches'!L27</f>
        <v/>
      </c>
      <c r="I270" s="590" t="inlineStr">
        <is>
          <t>Voluntary approaches</t>
        </is>
      </c>
      <c r="J270" s="590">
        <f>'Voluntary approaches'!C27</f>
        <v/>
      </c>
      <c r="K270" s="590">
        <f>'Voluntary approaches'!E27</f>
        <v/>
      </c>
      <c r="L270" s="590">
        <f>'Voluntary approaches'!F27</f>
        <v/>
      </c>
      <c r="M270" s="464" t="n"/>
    </row>
    <row r="271" ht="85.5" customHeight="1">
      <c r="A271" s="590">
        <f>'Voluntary approaches'!A28</f>
        <v/>
      </c>
      <c r="B271" s="590">
        <f>'Voluntary approaches'!D28</f>
        <v/>
      </c>
      <c r="C271" s="590">
        <f>'Voluntary approaches'!H28</f>
        <v/>
      </c>
      <c r="D271" s="590">
        <f>'Voluntary approaches'!G28</f>
        <v/>
      </c>
      <c r="E271" s="590">
        <f>'Voluntary approaches'!U28</f>
        <v/>
      </c>
      <c r="F271" s="590">
        <f>'Voluntary approaches'!Q28</f>
        <v/>
      </c>
      <c r="G271" s="590">
        <f>'Voluntary approaches'!R28</f>
        <v/>
      </c>
      <c r="H271" s="590">
        <f>'Voluntary approaches'!L28</f>
        <v/>
      </c>
      <c r="I271" s="590" t="inlineStr">
        <is>
          <t>Voluntary approaches</t>
        </is>
      </c>
      <c r="J271" s="590">
        <f>'Voluntary approaches'!C28</f>
        <v/>
      </c>
      <c r="K271" s="590">
        <f>'Voluntary approaches'!E28</f>
        <v/>
      </c>
      <c r="L271" s="590">
        <f>'Voluntary approaches'!F28</f>
        <v/>
      </c>
      <c r="M271" s="464" t="n"/>
    </row>
    <row r="272" ht="85.5" customHeight="1">
      <c r="A272" s="590">
        <f>'Voluntary approaches'!A29</f>
        <v/>
      </c>
      <c r="B272" s="590">
        <f>'Voluntary approaches'!D29</f>
        <v/>
      </c>
      <c r="C272" s="590">
        <f>'Voluntary approaches'!H29</f>
        <v/>
      </c>
      <c r="D272" s="590">
        <f>'Voluntary approaches'!G29</f>
        <v/>
      </c>
      <c r="E272" s="590">
        <f>'Voluntary approaches'!U29</f>
        <v/>
      </c>
      <c r="F272" s="590">
        <f>'Voluntary approaches'!Q29</f>
        <v/>
      </c>
      <c r="G272" s="590">
        <f>'Voluntary approaches'!R29</f>
        <v/>
      </c>
      <c r="H272" s="590">
        <f>'Voluntary approaches'!L29</f>
        <v/>
      </c>
      <c r="I272" s="590" t="inlineStr">
        <is>
          <t>Voluntary approaches</t>
        </is>
      </c>
      <c r="J272" s="590">
        <f>'Voluntary approaches'!C29</f>
        <v/>
      </c>
      <c r="K272" s="590">
        <f>'Voluntary approaches'!E29</f>
        <v/>
      </c>
      <c r="L272" s="590">
        <f>'Voluntary approaches'!F29</f>
        <v/>
      </c>
      <c r="M272" s="464" t="n"/>
    </row>
    <row r="273" ht="85.5" customHeight="1">
      <c r="A273" s="590">
        <f>'Voluntary approaches'!A30</f>
        <v/>
      </c>
      <c r="B273" s="590">
        <f>'Voluntary approaches'!D30</f>
        <v/>
      </c>
      <c r="C273" s="590">
        <f>'Voluntary approaches'!H30</f>
        <v/>
      </c>
      <c r="D273" s="590">
        <f>'Voluntary approaches'!G30</f>
        <v/>
      </c>
      <c r="E273" s="590">
        <f>'Voluntary approaches'!U30</f>
        <v/>
      </c>
      <c r="F273" s="590">
        <f>'Voluntary approaches'!Q30</f>
        <v/>
      </c>
      <c r="G273" s="590">
        <f>'Voluntary approaches'!R30</f>
        <v/>
      </c>
      <c r="H273" s="590">
        <f>'Voluntary approaches'!L30</f>
        <v/>
      </c>
      <c r="I273" s="590" t="inlineStr">
        <is>
          <t>Voluntary approaches</t>
        </is>
      </c>
      <c r="J273" s="590">
        <f>'Voluntary approaches'!C30</f>
        <v/>
      </c>
      <c r="K273" s="590">
        <f>'Voluntary approaches'!E30</f>
        <v/>
      </c>
      <c r="L273" s="590">
        <f>'Voluntary approaches'!F30</f>
        <v/>
      </c>
      <c r="M273" s="464" t="n"/>
    </row>
    <row r="274" ht="85.5" customHeight="1">
      <c r="A274" s="590">
        <f>'Voluntary approaches'!A33</f>
        <v/>
      </c>
      <c r="B274" s="590">
        <f>'Voluntary approaches'!D33</f>
        <v/>
      </c>
      <c r="C274" s="590">
        <f>'Voluntary approaches'!H33</f>
        <v/>
      </c>
      <c r="D274" s="590">
        <f>'Voluntary approaches'!G33</f>
        <v/>
      </c>
      <c r="E274" s="590">
        <f>'Voluntary approaches'!U33</f>
        <v/>
      </c>
      <c r="F274" s="590">
        <f>'Voluntary approaches'!Q33</f>
        <v/>
      </c>
      <c r="G274" s="590">
        <f>'Voluntary approaches'!R33</f>
        <v/>
      </c>
      <c r="H274" s="590">
        <f>'Voluntary approaches'!L33</f>
        <v/>
      </c>
      <c r="I274" s="590" t="inlineStr">
        <is>
          <t>Voluntary approaches</t>
        </is>
      </c>
      <c r="J274" s="590">
        <f>'Voluntary approaches'!C33</f>
        <v/>
      </c>
      <c r="K274" s="590">
        <f>'Voluntary approaches'!E33</f>
        <v/>
      </c>
      <c r="L274" s="590">
        <f>'Voluntary approaches'!F33</f>
        <v/>
      </c>
      <c r="M274" s="464" t="n"/>
    </row>
    <row r="275" ht="85.5" customHeight="1">
      <c r="A275" s="590">
        <f>'Voluntary approaches'!A34</f>
        <v/>
      </c>
      <c r="B275" s="590">
        <f>'Voluntary approaches'!D34</f>
        <v/>
      </c>
      <c r="C275" s="590">
        <f>'Voluntary approaches'!H34</f>
        <v/>
      </c>
      <c r="D275" s="590">
        <f>'Voluntary approaches'!G34</f>
        <v/>
      </c>
      <c r="E275" s="590">
        <f>'Voluntary approaches'!U34</f>
        <v/>
      </c>
      <c r="F275" s="590">
        <f>'Voluntary approaches'!Q34</f>
        <v/>
      </c>
      <c r="G275" s="590">
        <f>'Voluntary approaches'!R34</f>
        <v/>
      </c>
      <c r="H275" s="590">
        <f>'Voluntary approaches'!L34</f>
        <v/>
      </c>
      <c r="I275" s="590" t="inlineStr">
        <is>
          <t>Voluntary approaches</t>
        </is>
      </c>
      <c r="J275" s="590">
        <f>'Voluntary approaches'!C34</f>
        <v/>
      </c>
      <c r="K275" s="590">
        <f>'Voluntary approaches'!E34</f>
        <v/>
      </c>
      <c r="L275" s="590">
        <f>'Voluntary approaches'!F34</f>
        <v/>
      </c>
      <c r="M275" s="464" t="n"/>
    </row>
    <row r="276" ht="85.5" customHeight="1">
      <c r="A276" s="590">
        <f>'Voluntary approaches'!A35</f>
        <v/>
      </c>
      <c r="B276" s="590">
        <f>'Voluntary approaches'!D35</f>
        <v/>
      </c>
      <c r="C276" s="590">
        <f>'Voluntary approaches'!H35</f>
        <v/>
      </c>
      <c r="D276" s="590">
        <f>'Voluntary approaches'!G35</f>
        <v/>
      </c>
      <c r="E276" s="590">
        <f>'Voluntary approaches'!U35</f>
        <v/>
      </c>
      <c r="F276" s="590">
        <f>'Voluntary approaches'!Q35</f>
        <v/>
      </c>
      <c r="G276" s="590">
        <f>'Voluntary approaches'!R35</f>
        <v/>
      </c>
      <c r="H276" s="590">
        <f>'Voluntary approaches'!L35</f>
        <v/>
      </c>
      <c r="I276" s="590" t="inlineStr">
        <is>
          <t>Voluntary approaches</t>
        </is>
      </c>
      <c r="J276" s="590">
        <f>'Voluntary approaches'!C35</f>
        <v/>
      </c>
      <c r="K276" s="590">
        <f>'Voluntary approaches'!E35</f>
        <v/>
      </c>
      <c r="L276" s="590">
        <f>'Voluntary approaches'!F35</f>
        <v/>
      </c>
      <c r="M276" s="464" t="n"/>
    </row>
    <row r="277" ht="85.5" customHeight="1">
      <c r="A277" s="590">
        <f>'Voluntary approaches'!A36</f>
        <v/>
      </c>
      <c r="B277" s="590">
        <f>'Voluntary approaches'!D36</f>
        <v/>
      </c>
      <c r="C277" s="590">
        <f>'Voluntary approaches'!H36</f>
        <v/>
      </c>
      <c r="D277" s="590">
        <f>'Voluntary approaches'!G36</f>
        <v/>
      </c>
      <c r="E277" s="590">
        <f>'Voluntary approaches'!U36</f>
        <v/>
      </c>
      <c r="F277" s="590">
        <f>'Voluntary approaches'!Q36</f>
        <v/>
      </c>
      <c r="G277" s="590">
        <f>'Voluntary approaches'!R36</f>
        <v/>
      </c>
      <c r="H277" s="590">
        <f>'Voluntary approaches'!L36</f>
        <v/>
      </c>
      <c r="I277" s="590" t="inlineStr">
        <is>
          <t>Voluntary approaches</t>
        </is>
      </c>
      <c r="J277" s="590">
        <f>'Voluntary approaches'!C36</f>
        <v/>
      </c>
      <c r="K277" s="590">
        <f>'Voluntary approaches'!E36</f>
        <v/>
      </c>
      <c r="L277" s="590">
        <f>'Voluntary approaches'!F36</f>
        <v/>
      </c>
      <c r="M277" s="464" t="n"/>
    </row>
    <row r="278" ht="85.5" customHeight="1">
      <c r="A278" s="590">
        <f>'Voluntary approaches'!A37</f>
        <v/>
      </c>
      <c r="B278" s="590">
        <f>'Voluntary approaches'!D37</f>
        <v/>
      </c>
      <c r="C278" s="590">
        <f>'Voluntary approaches'!H37</f>
        <v/>
      </c>
      <c r="D278" s="590">
        <f>'Voluntary approaches'!G37</f>
        <v/>
      </c>
      <c r="E278" s="590">
        <f>'Voluntary approaches'!U37</f>
        <v/>
      </c>
      <c r="F278" s="590">
        <f>'Voluntary approaches'!Q37</f>
        <v/>
      </c>
      <c r="G278" s="590">
        <f>'Voluntary approaches'!R37</f>
        <v/>
      </c>
      <c r="H278" s="590">
        <f>'Voluntary approaches'!L37</f>
        <v/>
      </c>
      <c r="I278" s="590" t="inlineStr">
        <is>
          <t>Voluntary approaches</t>
        </is>
      </c>
      <c r="J278" s="590">
        <f>'Voluntary approaches'!C37</f>
        <v/>
      </c>
      <c r="K278" s="590">
        <f>'Voluntary approaches'!E37</f>
        <v/>
      </c>
      <c r="L278" s="590">
        <f>'Voluntary approaches'!F37</f>
        <v/>
      </c>
      <c r="M278" s="464" t="n"/>
    </row>
    <row r="279" ht="85.5" customHeight="1">
      <c r="A279" s="590">
        <f>'Voluntary approaches'!A38</f>
        <v/>
      </c>
      <c r="B279" s="590">
        <f>'Voluntary approaches'!D38</f>
        <v/>
      </c>
      <c r="C279" s="590">
        <f>'Voluntary approaches'!H38</f>
        <v/>
      </c>
      <c r="D279" s="590">
        <f>'Voluntary approaches'!G38</f>
        <v/>
      </c>
      <c r="E279" s="590">
        <f>'Voluntary approaches'!U38</f>
        <v/>
      </c>
      <c r="F279" s="590">
        <f>'Voluntary approaches'!Q38</f>
        <v/>
      </c>
      <c r="G279" s="590">
        <f>'Voluntary approaches'!R38</f>
        <v/>
      </c>
      <c r="H279" s="590">
        <f>'Voluntary approaches'!L38</f>
        <v/>
      </c>
      <c r="I279" s="590" t="inlineStr">
        <is>
          <t>Voluntary approaches</t>
        </is>
      </c>
      <c r="J279" s="590">
        <f>'Voluntary approaches'!C38</f>
        <v/>
      </c>
      <c r="K279" s="590">
        <f>'Voluntary approaches'!E38</f>
        <v/>
      </c>
      <c r="L279" s="590">
        <f>'Voluntary approaches'!F38</f>
        <v/>
      </c>
      <c r="M279" s="464" t="n"/>
    </row>
    <row r="280" ht="57" customHeight="1">
      <c r="A280" s="590">
        <f>'Voluntary approaches'!A39</f>
        <v/>
      </c>
      <c r="B280" s="590">
        <f>'Voluntary approaches'!D39</f>
        <v/>
      </c>
      <c r="C280" s="590">
        <f>'Voluntary approaches'!H39</f>
        <v/>
      </c>
      <c r="D280" s="590">
        <f>'Voluntary approaches'!G39</f>
        <v/>
      </c>
      <c r="E280" s="590">
        <f>'Voluntary approaches'!U39</f>
        <v/>
      </c>
      <c r="F280" s="590">
        <f>'Voluntary approaches'!Q39</f>
        <v/>
      </c>
      <c r="G280" s="590">
        <f>'Voluntary approaches'!R39</f>
        <v/>
      </c>
      <c r="H280" s="590">
        <f>'Voluntary approaches'!L39</f>
        <v/>
      </c>
      <c r="I280" s="590" t="inlineStr">
        <is>
          <t>Voluntary approaches</t>
        </is>
      </c>
      <c r="J280" s="590">
        <f>'Voluntary approaches'!C39</f>
        <v/>
      </c>
      <c r="K280" s="590">
        <f>'Voluntary approaches'!E39</f>
        <v/>
      </c>
      <c r="L280" s="590">
        <f>'Voluntary approaches'!F39</f>
        <v/>
      </c>
      <c r="M280" s="464" t="n"/>
    </row>
    <row r="281" ht="85.5" customHeight="1">
      <c r="A281" s="590">
        <f>'Voluntary approaches'!A40</f>
        <v/>
      </c>
      <c r="B281" s="590">
        <f>'Voluntary approaches'!D40</f>
        <v/>
      </c>
      <c r="C281" s="590">
        <f>'Voluntary approaches'!H40</f>
        <v/>
      </c>
      <c r="D281" s="590">
        <f>'Voluntary approaches'!G40</f>
        <v/>
      </c>
      <c r="E281" s="590">
        <f>'Voluntary approaches'!U40</f>
        <v/>
      </c>
      <c r="F281" s="590">
        <f>'Voluntary approaches'!Q40</f>
        <v/>
      </c>
      <c r="G281" s="590">
        <f>'Voluntary approaches'!R40</f>
        <v/>
      </c>
      <c r="H281" s="590">
        <f>'Voluntary approaches'!L40</f>
        <v/>
      </c>
      <c r="I281" s="590" t="inlineStr">
        <is>
          <t>Voluntary approaches</t>
        </is>
      </c>
      <c r="J281" s="590">
        <f>'Voluntary approaches'!C40</f>
        <v/>
      </c>
      <c r="K281" s="590">
        <f>'Voluntary approaches'!E40</f>
        <v/>
      </c>
      <c r="L281" s="590">
        <f>'Voluntary approaches'!F40</f>
        <v/>
      </c>
      <c r="M281" s="464" t="n"/>
    </row>
    <row r="282" ht="85.5" customHeight="1">
      <c r="A282" s="590">
        <f>'Voluntary approaches'!A41</f>
        <v/>
      </c>
      <c r="B282" s="590">
        <f>'Voluntary approaches'!D41</f>
        <v/>
      </c>
      <c r="C282" s="590">
        <f>'Voluntary approaches'!H41</f>
        <v/>
      </c>
      <c r="D282" s="590">
        <f>'Voluntary approaches'!G41</f>
        <v/>
      </c>
      <c r="E282" s="590">
        <f>'Voluntary approaches'!U41</f>
        <v/>
      </c>
      <c r="F282" s="590">
        <f>'Voluntary approaches'!Q41</f>
        <v/>
      </c>
      <c r="G282" s="590">
        <f>'Voluntary approaches'!R41</f>
        <v/>
      </c>
      <c r="H282" s="590">
        <f>'Voluntary approaches'!L41</f>
        <v/>
      </c>
      <c r="I282" s="590" t="inlineStr">
        <is>
          <t>Voluntary approaches</t>
        </is>
      </c>
      <c r="J282" s="590">
        <f>'Voluntary approaches'!C41</f>
        <v/>
      </c>
      <c r="K282" s="590">
        <f>'Voluntary approaches'!E41</f>
        <v/>
      </c>
      <c r="L282" s="590">
        <f>'Voluntary approaches'!F41</f>
        <v/>
      </c>
      <c r="M282" s="46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M63"/>
  <sheetViews>
    <sheetView topLeftCell="AL1" workbookViewId="0">
      <selection activeCell="M20" sqref="M20"/>
    </sheetView>
  </sheetViews>
  <sheetFormatPr baseColWidth="8" defaultRowHeight="13.9"/>
  <sheetData>
    <row r="1" ht="15.75" customHeight="1">
      <c r="A1" s="591" t="inlineStr">
        <is>
          <t>Identification</t>
        </is>
      </c>
      <c r="B1" s="93" t="n"/>
      <c r="C1" s="592" t="inlineStr">
        <is>
          <t>Instrument typology</t>
        </is>
      </c>
      <c r="D1" s="95" t="n"/>
      <c r="E1" s="95" t="n"/>
      <c r="F1" s="96" t="n"/>
      <c r="G1" s="593" t="inlineStr">
        <is>
          <t>Policy description</t>
        </is>
      </c>
      <c r="H1" s="95" t="n"/>
      <c r="I1" s="95" t="n"/>
      <c r="J1" s="95" t="n"/>
      <c r="K1" s="95" t="n"/>
      <c r="L1" s="95" t="n"/>
      <c r="M1" s="594" t="inlineStr">
        <is>
          <t>Administrative information</t>
        </is>
      </c>
      <c r="N1" s="95" t="n"/>
      <c r="O1" s="95" t="n"/>
      <c r="P1" s="95" t="n"/>
      <c r="Q1" s="95" t="n"/>
      <c r="R1" s="95" t="n"/>
      <c r="S1" s="95" t="n"/>
      <c r="T1" s="95" t="n"/>
      <c r="U1" s="95" t="n"/>
      <c r="V1" s="595" t="inlineStr">
        <is>
          <t>Policy regulatory base and intensity</t>
        </is>
      </c>
      <c r="W1" s="392" t="n"/>
      <c r="X1" s="392" t="n"/>
      <c r="Y1" s="392" t="n"/>
      <c r="Z1" s="392" t="n"/>
      <c r="AA1" s="392" t="n"/>
      <c r="AB1" s="392" t="n"/>
      <c r="AC1" s="392" t="n"/>
      <c r="AD1" s="392" t="n"/>
      <c r="AE1" s="392" t="n"/>
      <c r="AF1" s="392" t="n"/>
      <c r="AG1" s="392" t="n"/>
      <c r="AH1" s="392" t="n"/>
      <c r="AI1" s="392" t="n"/>
      <c r="AJ1" s="392" t="n"/>
      <c r="AK1" s="596" t="inlineStr">
        <is>
          <t>Instrument-specific attributes</t>
        </is>
      </c>
      <c r="AL1" s="100" t="n"/>
      <c r="AM1" s="100" t="n"/>
      <c r="AN1" s="100" t="n"/>
      <c r="AO1" s="100" t="n"/>
      <c r="AP1" s="100" t="n"/>
      <c r="AQ1" s="100" t="n"/>
      <c r="AR1" s="100" t="n"/>
      <c r="AS1" s="100" t="n"/>
      <c r="AT1" s="100" t="n"/>
      <c r="AU1" s="100" t="n"/>
      <c r="AV1" s="100" t="n"/>
      <c r="AW1" s="100" t="n"/>
      <c r="AX1" s="100" t="n"/>
      <c r="AY1" s="100" t="n"/>
      <c r="AZ1" s="100" t="n"/>
      <c r="BA1" s="100" t="n"/>
      <c r="BB1" s="100" t="n"/>
      <c r="BC1" s="100" t="n"/>
      <c r="BD1" s="597" t="inlineStr">
        <is>
          <t>GHG emission base</t>
        </is>
      </c>
      <c r="BE1" s="101" t="n"/>
      <c r="BF1" s="598" t="inlineStr">
        <is>
          <t>Classification &amp; Indicators</t>
        </is>
      </c>
      <c r="BG1" s="100" t="n"/>
      <c r="BH1" s="100" t="n"/>
      <c r="BI1" s="100" t="n"/>
      <c r="BJ1" s="599" t="inlineStr">
        <is>
          <t>References to legislation</t>
        </is>
      </c>
      <c r="BK1" s="392" t="n"/>
      <c r="BL1" s="392" t="n"/>
      <c r="BM1" s="600"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Tax and Tax Incentive: annual revenue</t>
        </is>
      </c>
      <c r="AL2" s="606" t="inlineStr">
        <is>
          <t>Tax and Tax Incentive: earmarked revenue</t>
        </is>
      </c>
      <c r="AM2" s="606" t="inlineStr">
        <is>
          <t>Tax and Tax Incentive: annual revenue forgone</t>
        </is>
      </c>
      <c r="AN2" s="606" t="inlineStr">
        <is>
          <t>Subsidy: annual budget/ expenditure</t>
        </is>
      </c>
      <c r="AO2" s="606" t="inlineStr">
        <is>
          <t>Subsidy: Limit</t>
        </is>
      </c>
      <c r="AP2" s="606" t="inlineStr">
        <is>
          <t>Subsidy: Floor or ceiling</t>
        </is>
      </c>
      <c r="AQ2" s="606" t="inlineStr">
        <is>
          <t>Subsidy: distribution mechanism</t>
        </is>
      </c>
      <c r="AR2" s="606" t="inlineStr">
        <is>
          <t>Subsidy: Support duration</t>
        </is>
      </c>
      <c r="AS2" s="606" t="inlineStr">
        <is>
          <t>Subsidy: Enforcement Mechanism</t>
        </is>
      </c>
      <c r="AT2" s="606" t="inlineStr">
        <is>
          <t>Trading System: Type</t>
        </is>
      </c>
      <c r="AU2" s="606" t="inlineStr">
        <is>
          <t>Trading System: cap</t>
        </is>
      </c>
      <c r="AV2" s="606" t="inlineStr">
        <is>
          <t>Trading System: allowance mechanism</t>
        </is>
      </c>
      <c r="AW2" s="606" t="inlineStr">
        <is>
          <t>Trading System: Free Allowance</t>
        </is>
      </c>
      <c r="AX2" s="606" t="inlineStr">
        <is>
          <t>Trading System: Offset use allowed</t>
        </is>
      </c>
      <c r="AY2" s="606" t="inlineStr">
        <is>
          <t>Trading System: Linkages</t>
        </is>
      </c>
      <c r="AZ2" s="606" t="inlineStr">
        <is>
          <t>Trading System: market stabilisation mechanism</t>
        </is>
      </c>
      <c r="BA2" s="606" t="inlineStr">
        <is>
          <t>Trading System: revenue (annual)</t>
        </is>
      </c>
      <c r="BB2" s="606" t="inlineStr">
        <is>
          <t>Trading System: Volume</t>
        </is>
      </c>
      <c r="BC2" s="606" t="inlineStr">
        <is>
          <t>Trading System: penalties for non-compliance</t>
        </is>
      </c>
      <c r="BD2" s="607" t="inlineStr">
        <is>
          <t>GHG emission coverage (absolute)</t>
        </is>
      </c>
      <c r="BE2" s="607" t="inlineStr">
        <is>
          <t>GHG emission coverage (% domestic emissions)</t>
        </is>
      </c>
      <c r="BF2" s="602" t="inlineStr">
        <is>
          <t>Economic sector</t>
        </is>
      </c>
      <c r="BG2" s="602" t="inlineStr">
        <is>
          <t>GHGs affected</t>
        </is>
      </c>
      <c r="BH2" s="602" t="inlineStr">
        <is>
          <t>Mitigation effects</t>
        </is>
      </c>
      <c r="BI2" s="608" t="inlineStr">
        <is>
          <t>Mitigation co-benefits</t>
        </is>
      </c>
      <c r="BJ2" s="604" t="inlineStr">
        <is>
          <t>Legal statute</t>
        </is>
      </c>
      <c r="BK2" s="604" t="inlineStr">
        <is>
          <t>Legal document</t>
        </is>
      </c>
      <c r="BL2" s="604" t="inlineStr">
        <is>
          <t>Other weblinks</t>
        </is>
      </c>
      <c r="BM2" s="609" t="n"/>
    </row>
    <row r="3">
      <c r="A3" s="610" t="inlineStr">
        <is>
          <t>CHNTRAETSI01S000</t>
        </is>
      </c>
      <c r="B3" s="610" t="inlineStr">
        <is>
          <t>Instrument</t>
        </is>
      </c>
      <c r="C3" s="610" t="inlineStr">
        <is>
          <t>Trading scheme</t>
        </is>
      </c>
      <c r="D3" s="610" t="inlineStr">
        <is>
          <t>Emissions trading system</t>
        </is>
      </c>
      <c r="E3" s="610" t="inlineStr">
        <is>
          <t>Energy; Industry</t>
        </is>
      </c>
      <c r="F3" s="610" t="inlineStr">
        <is>
          <t>Power generation; steel; cement; aluminum smelting</t>
        </is>
      </c>
      <c r="G3" s="610" t="inlineStr">
        <is>
          <t>全国碳排放权交易市场</t>
        </is>
      </c>
      <c r="H3" s="610" t="inlineStr">
        <is>
          <t>National carbon emission trading market</t>
        </is>
      </c>
      <c r="I3" s="610" t="inlineStr">
        <is>
          <t>N/A</t>
        </is>
      </c>
      <c r="J3" s="610"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610" t="inlineStr">
        <is>
          <t>Climate change mitigation</t>
        </is>
      </c>
      <c r="L3" s="610" t="inlineStr">
        <is>
          <t>Direct</t>
        </is>
      </c>
      <c r="M3" s="610" t="inlineStr">
        <is>
          <t>national</t>
        </is>
      </c>
      <c r="N3" s="610" t="inlineStr">
        <is>
          <t>N/A</t>
        </is>
      </c>
      <c r="O3" s="610" t="inlineStr">
        <is>
          <t>31/12/2020</t>
        </is>
      </c>
      <c r="P3" s="610" t="inlineStr">
        <is>
          <t>01/02/2021</t>
        </is>
      </c>
      <c r="Q3" s="610" t="inlineStr">
        <is>
          <t>N/A</t>
        </is>
      </c>
      <c r="R3" s="610" t="inlineStr">
        <is>
          <t>01/05/2024</t>
        </is>
      </c>
      <c r="S3" s="610"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T3" s="610">
        <f>IF(P3="","In force",IF(P3="N/A","In force",IF(TODAY()&lt;DATE(VALUE(RIGHT(P3,4)),VALUE(MID(P3,4,2)),VALUE(LEFT(P3,2))),"Scheduled",IF(Q3="","In force",IF(Q3="N/A","In force",IF(TODAY()&lt;DATE(VALUE(RIGHT(Q3,4)),VALUE(MID(Q3,4,2)),VALUE(LEFT(Q3,2))),"In force","Ended"))))))</f>
        <v/>
      </c>
      <c r="U3" s="610" t="inlineStr">
        <is>
          <t>Ministry of Ecology and Environment; provincial ecology and environment authorities; national carbon emission allowance registration institution; national carbon emission allowance trading institution</t>
        </is>
      </c>
      <c r="V3" s="610" t="inlineStr">
        <is>
          <t>Greenhouse gas emissions</t>
        </is>
      </c>
      <c r="W3" s="610" t="inlineStr">
        <is>
          <t>New; Existing</t>
        </is>
      </c>
      <c r="X3" s="610" t="inlineStr">
        <is>
          <t>The national carbon market covers key emitting entities that meet the emissions threshold, including existing covered entities and entities newly added through sector expansion or newly meeting the annual emissions threshold.</t>
        </is>
      </c>
      <c r="Y3" s="610" t="inlineStr">
        <is>
          <t>N/A</t>
        </is>
      </c>
      <c r="Z3" s="610" t="inlineStr">
        <is>
          <t>Annual greenhouse gas emissions of at least 26,000 tCO2e</t>
        </is>
      </c>
      <c r="AA3" s="610" t="inlineStr">
        <is>
          <t>Firms</t>
        </is>
      </c>
      <c r="AB3" s="610" t="inlineStr">
        <is>
          <t>Key emitting entities: GHG emitting entities that belong to sectors covered by the national carbon emission trading market and have annual GHG emissions of at least 26,000 tCO2e.</t>
        </is>
      </c>
      <c r="AC3" s="610" t="inlineStr">
        <is>
          <t>Production, electricity generation or transformation</t>
        </is>
      </c>
      <c r="AD3" s="610" t="inlineStr">
        <is>
          <t>Production and operating activities of key emitting entities that generate covered GHG emissions; currently covered sectors include power generation, steel, cement and aluminum smelting.</t>
        </is>
      </c>
      <c r="AE3" s="610" t="inlineStr">
        <is>
          <t>69.30</t>
        </is>
      </c>
      <c r="AF3" s="610" t="inlineStr">
        <is>
          <t>CNY/tonne</t>
        </is>
      </c>
      <c r="AG3" s="610"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3" s="610"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I3" s="610"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J3" s="610" t="inlineStr">
        <is>
          <t>The surrender obligation is no less than the previous year's verified actual GHG emissions; China Certified Emission Reductions may be used for partial offsetting as allowed by the rules.</t>
        </is>
      </c>
      <c r="AK3" s="610" t="inlineStr">
        <is>
          <t>N/A</t>
        </is>
      </c>
      <c r="AL3" s="610" t="inlineStr">
        <is>
          <t>N/A</t>
        </is>
      </c>
      <c r="AM3" s="610" t="inlineStr">
        <is>
          <t>N/A</t>
        </is>
      </c>
      <c r="AN3" s="610" t="inlineStr">
        <is>
          <t>N/A</t>
        </is>
      </c>
      <c r="AO3" s="610" t="inlineStr">
        <is>
          <t>N/A</t>
        </is>
      </c>
      <c r="AP3" s="610" t="inlineStr">
        <is>
          <t>N/A</t>
        </is>
      </c>
      <c r="AQ3" s="610" t="inlineStr">
        <is>
          <t>N/A</t>
        </is>
      </c>
      <c r="AR3" s="610" t="inlineStr">
        <is>
          <t>N/A</t>
        </is>
      </c>
      <c r="AS3" s="610" t="inlineStr">
        <is>
          <t>N/A</t>
        </is>
      </c>
      <c r="AT3" s="610" t="inlineStr">
        <is>
          <t>Carbon emission allowance trading system. Trading methods include agreement transfer, one-waybidding and other prescribed methods.</t>
        </is>
      </c>
      <c r="AU3" s="610"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V3" s="610"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W3" s="610" t="inlineStr">
        <is>
          <t>Primarily free allocation; paid allocation may be introduced in due course according to nationalrequirements. The specific free allowance proportion is not found in the legal text.</t>
        </is>
      </c>
      <c r="AX3" s="610" t="inlineStr">
        <is>
          <t>Allowed. China Certified Emission Reductions (CCERs) may be used to offset allowance surrender,capped at 5% of allowances due. Emission reduction projects already covered by the national carbonmarket allowance management may not be used for offsetting.</t>
        </is>
      </c>
      <c r="AY3" s="610" t="inlineStr">
        <is>
          <t>N/A; key emitting entities covered by the national carbon market no longer participate in localpilot carbon emission trading markets.</t>
        </is>
      </c>
      <c r="AZ3" s="610"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A3" s="610" t="inlineStr">
        <is>
          <t>CNY 18.11 billion (2024 annual transaction value; Source: MEE Progress Report of China’s NationalCarbon Market (2025))</t>
        </is>
      </c>
      <c r="BB3" s="610" t="inlineStr">
        <is>
          <t>189 million tonnes (2024; Source: MEE Progress Report of China’s National Carbon Market (2025))</t>
        </is>
      </c>
      <c r="BC3" s="610" t="inlineStr">
        <is>
          <t>Failure to surrender allowances in full and on time: ordered to rectify and fined CNY 20,000-30,000. Under the Ecological Environment Code of the People's Republic of China (effective 15 August 2026), ecology and environment authorities no longer make new deduction decisions for failure to surrender allowances in full; deduction decisions made before the Code took effect continue to be implemented; key emitting entities that refuse to rectify in cases such as fraud remain subject to the equal-amount deduction rule under the Interim Regulations on the Administration of Carbon Emission Allowance Trading. False reporting, concealing or refusing to fulfil emission reporting obligations: fined CNY 10,000-30,000, and the false or concealed portion may be deducted in equal amount from the next year's allowance allocation.</t>
        </is>
      </c>
      <c r="BD3" s="610" t="inlineStr">
        <is>
          <t>Approx. 8,000 MtCO2 (2024; source: ICAP ETS Map)</t>
        </is>
      </c>
      <c r="BE3" s="610" t="inlineStr">
        <is>
          <t>More than 60% (disclosed in 2025; source: Ministry of Ecology and Environment, Progress Report of China's National Carbon Market (2025))</t>
        </is>
      </c>
      <c r="BF3" s="610" t="inlineStr">
        <is>
          <t>D35; C24; C23</t>
        </is>
      </c>
      <c r="BG3" s="610" t="inlineStr">
        <is>
          <t>CO2; CF4; C2F6</t>
        </is>
      </c>
      <c r="BH3" s="610" t="inlineStr">
        <is>
          <t>Positive</t>
        </is>
      </c>
      <c r="BI3" s="610" t="inlineStr">
        <is>
          <t>Pollution control</t>
        </is>
      </c>
      <c r="BJ3" s="610" t="inlineStr">
        <is>
          <t>Interim Regulations on the Administration of Carbon Emission Allowance Trading; Measures for the Administration of Carbon Emission Allowance Trading (Trial); Ecological Environment Code of the People's Republic of China</t>
        </is>
      </c>
      <c r="BK3" s="610" t="inlineStr">
        <is>
          <t>https://www.gov.cn/zhengce/content/202402/content_6930137.htm</t>
        </is>
      </c>
      <c r="BL3" s="610" t="inlineStr">
        <is>
          <t>https://www.mee.gov.cn/xxgk2018/xxgk/xxgk02/202101/t20210105_816131.html; https://www.mee.gov.cn/xxgk2018/xxgk/xxgk03/202503/t20250326_1104736.html; https://www.mee.gov.cn/ywgz/ydqhbh/wsqtkz/202509/W020250927515319387445.pdf; https://icapcarbonaction.com/en/ets/china-national-ets</t>
        </is>
      </c>
      <c r="BM3" s="610" t="inlineStr"/>
    </row>
    <row r="4">
      <c r="A4" s="464" t="inlineStr">
        <is>
          <t>CHNTRAETSI01S001</t>
        </is>
      </c>
      <c r="B4" s="464" t="inlineStr">
        <is>
          <t>Subscheme</t>
        </is>
      </c>
      <c r="C4" s="464" t="inlineStr">
        <is>
          <t>Trading scheme</t>
        </is>
      </c>
      <c r="D4" s="464" t="inlineStr">
        <is>
          <t>Emissions trading system</t>
        </is>
      </c>
      <c r="E4" s="464" t="inlineStr">
        <is>
          <t>Energy</t>
        </is>
      </c>
      <c r="F4" s="464" t="inlineStr">
        <is>
          <t>Power generation</t>
        </is>
      </c>
      <c r="G4" s="464" t="inlineStr">
        <is>
          <t>全国碳排放权交易市场—发电行业子方案</t>
        </is>
      </c>
      <c r="H4" s="464" t="inlineStr">
        <is>
          <t>National carbon emission trading market - power generation sector subscheme</t>
        </is>
      </c>
      <c r="I4" s="464" t="inlineStr">
        <is>
          <t>N/A</t>
        </is>
      </c>
      <c r="J4" s="464" t="inlineStr">
        <is>
          <t>The national carbon emission trading market first covered key emitting entities in the power generation sector, applying allowance allocation, trading, verification and surrender requirements to power-sector entities that meet the coverage threshold.</t>
        </is>
      </c>
      <c r="K4" s="464" t="inlineStr">
        <is>
          <t>Climate change mitigation</t>
        </is>
      </c>
      <c r="L4" s="464" t="inlineStr">
        <is>
          <t>Direct</t>
        </is>
      </c>
      <c r="M4" s="464" t="inlineStr">
        <is>
          <t>national</t>
        </is>
      </c>
      <c r="N4" s="464" t="inlineStr">
        <is>
          <t>N/A</t>
        </is>
      </c>
      <c r="O4" s="464" t="inlineStr">
        <is>
          <t>31/12/2020</t>
        </is>
      </c>
      <c r="P4" s="464" t="inlineStr">
        <is>
          <t>01/02/2021</t>
        </is>
      </c>
      <c r="Q4" s="464" t="inlineStr">
        <is>
          <t>N/A</t>
        </is>
      </c>
      <c r="R4" s="464" t="inlineStr">
        <is>
          <t>02/09/2026</t>
        </is>
      </c>
      <c r="S4" s="464" t="inlineStr">
        <is>
          <t>On 2 September 2026, the Ministry of Ecology and Environment issued the Plan for the Total Allowance Volume and Allocation of the National Carbon Emission Trading Market for the Power Generation Sector in 2025 and 2026 and for the Steel, Cement and Aluminum Smelting Sectors in 2026 (Guo Huan Gui Qi Hou [2026] No. 1), covering allowance allocation for the power generation sector for 2025 and 2026 with dynamically adjusted benchmarks. Key emitting entities must surrender allowances for the previous year by 31 December each year. Allowances for 2019-2024 cannot be used for surrender in 2025 and subsequent years; allowances for 2019-2026 may be used to settle outstanding surrenders for 2019-2024.</t>
        </is>
      </c>
      <c r="T4" s="464">
        <f>IF(P4="","In force",IF(P4="N/A","In force",IF(TODAY()&lt;DATE(VALUE(RIGHT(P4,4)),VALUE(MID(P4,4,2)),VALUE(LEFT(P4,2))),"Scheduled",IF(Q4="","In force",IF(Q4="N/A","In force",IF(TODAY()&lt;DATE(VALUE(RIGHT(Q4,4)),VALUE(MID(Q4,4,2)),VALUE(LEFT(Q4,2))),"In force","Ended"))))))</f>
        <v/>
      </c>
      <c r="U4" s="464" t="inlineStr">
        <is>
          <t>Ministry of Ecology and Environment; provincial ecology and environment authorities; national carbon emission allowance registration institution; national carbon emission allowance trading institution</t>
        </is>
      </c>
      <c r="V4" s="464" t="inlineStr">
        <is>
          <t>Greenhouse gas emissions</t>
        </is>
      </c>
      <c r="W4" s="464" t="inlineStr">
        <is>
          <t>New; Existing</t>
        </is>
      </c>
      <c r="X4" s="464" t="inlineStr">
        <is>
          <t>Carbon emission allowances and covered GHG emissions of key emitting entities in the power generation sector.</t>
        </is>
      </c>
      <c r="Y4" s="464" t="inlineStr">
        <is>
          <t>N/A</t>
        </is>
      </c>
      <c r="Z4" s="464" t="inlineStr">
        <is>
          <t>Annual greenhouse gas emissions of at least 26,000 tCO2e</t>
        </is>
      </c>
      <c r="AA4" s="464" t="inlineStr">
        <is>
          <t>Firms</t>
        </is>
      </c>
      <c r="AB4" s="464" t="inlineStr">
        <is>
          <t>Key emitting entities in the power generation sector</t>
        </is>
      </c>
      <c r="AC4" s="464" t="inlineStr">
        <is>
          <t>Production, electricity generation or transformation</t>
        </is>
      </c>
      <c r="AD4" s="464" t="inlineStr">
        <is>
          <t>Power generation activities that generate covered GHG emissions.</t>
        </is>
      </c>
      <c r="AE4" s="464" t="inlineStr">
        <is>
          <t>69.30</t>
        </is>
      </c>
      <c r="AF4" s="464" t="inlineStr">
        <is>
          <t>CNY/tonne</t>
        </is>
      </c>
      <c r="AG4"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4" s="464" t="inlineStr">
        <is>
          <t>Key emitting entities in the power generation sector must report previous-year GHG emissions, undergo verification, and surrender allowances no less than verified emissions by the deadline.</t>
        </is>
      </c>
      <c r="AI4" s="464" t="inlineStr">
        <is>
          <t>Annual GHG emissions reporting and verification organised by provincial ecology and environment authorities.</t>
        </is>
      </c>
      <c r="AJ4" s="464" t="inlineStr">
        <is>
          <t>The surrender obligation is no less than the previous year's verified actual GHG emissions; China Certified Emission Reductions may be used for partial offsetting as allowed by the rules.</t>
        </is>
      </c>
      <c r="AK4" s="464" t="inlineStr">
        <is>
          <t>N/A</t>
        </is>
      </c>
      <c r="AL4" s="464" t="inlineStr">
        <is>
          <t>N/A</t>
        </is>
      </c>
      <c r="AM4" s="464" t="inlineStr">
        <is>
          <t>N/A</t>
        </is>
      </c>
      <c r="AN4" s="464" t="inlineStr">
        <is>
          <t>N/A</t>
        </is>
      </c>
      <c r="AO4" s="464" t="inlineStr">
        <is>
          <t>N/A</t>
        </is>
      </c>
      <c r="AP4" s="464" t="inlineStr">
        <is>
          <t>N/A</t>
        </is>
      </c>
      <c r="AQ4" s="464" t="inlineStr">
        <is>
          <t>N/A</t>
        </is>
      </c>
      <c r="AR4" s="464" t="inlineStr">
        <is>
          <t>N/A</t>
        </is>
      </c>
      <c r="AS4" s="464" t="inlineStr">
        <is>
          <t>N/A</t>
        </is>
      </c>
      <c r="AT4" s="464" t="inlineStr">
        <is>
          <t>Carbon emission allowance trading system</t>
        </is>
      </c>
      <c r="AU4" s="464" t="inlineStr">
        <is>
          <t>Determined by the MEE total allowance determination and allocation plan; sector-level annual totalsrequire consultation of specific annual allocation plans.</t>
        </is>
      </c>
      <c r="AV4" s="464" t="inlineStr">
        <is>
          <t>Carbon emission intensity benchmark method. 2025/2026 power generation benchmarks (tCO2/MWh): conventional coal-fired units above 300 MW class 0.7902/0.7894, conventional coal-fired units at or below 300 MW class 0.8017/0.7985, unconventional coal-fired units (including circulating fluidized bed units) 0.8162/0.8080, gas-fired units 0.3288/0.3288; heat supply benchmarks (tCO2/GJ): coal-fired 0.1027/0.1021, gas-fired 0.0533/0.0533. A new peak-shaving adjustment factor applies to conventional coal-fired units: when the load factor F&lt;50%, the factor is 7.254-0.633x(1-e^(-F/29.822))-5.643x(1-e^(-F/6.871)); when F&gt;=50%, the factor is 1. Pre-allocation is in principle 50% of the previous year's verified emissions; gas-fired units are exempted at the unit level (supplemented to verified emissions when the initial allowance is lower); a 20% compliance shortfall-rate cap exemption applies at the key emitting entity level (supplemented to 80% of verified emissions when the initial allowance is lower). (Source: Guo Huan Gui Qi Hou [2026] No. 1)</t>
        </is>
      </c>
      <c r="AW4" s="464" t="inlineStr">
        <is>
          <t>Fully free allocation for 2025 and 2026 (based on carbon emission intensity control), laying the foundation for the orderly introduction of a combined free and paid allocation approach in subsequent years. (Source: Guo Huan Gui Qi Hou [2026] No. 1)</t>
        </is>
      </c>
      <c r="AX4" s="464" t="inlineStr">
        <is>
          <t>Allowed. CCERs registered after the launch of the national voluntary GHG emission reduction trading market on 22 January 2024 may be used to offset allowance surrender for 2025 and 2026, capped at 5% of allowances due. Emission reduction projects already covered by the national carbon market allowance management cannot be used for offsetting.</t>
        </is>
      </c>
      <c r="AY4" s="464" t="inlineStr">
        <is>
          <t>N/A; key emitting entities covered by the national carbon market no longer participate in localpilot carbon emission trading markets.</t>
        </is>
      </c>
      <c r="AZ4" s="464" t="inlineStr">
        <is>
          <t>Registration, trading, risk management and information disclosure systems apply the unified nationalcarbon market rules.</t>
        </is>
      </c>
      <c r="BA4" s="464" t="inlineStr">
        <is>
          <t>N/A</t>
        </is>
      </c>
      <c r="BB4" s="464" t="inlineStr">
        <is>
          <t>N/A</t>
        </is>
      </c>
      <c r="BC4" s="464" t="inlineStr">
        <is>
          <t>Subject to the unified national carbon market penalty rules.</t>
        </is>
      </c>
      <c r="BD4" s="464" t="inlineStr">
        <is>
          <t>Approx. 5,200 MtCO2 (2023; source: ICAP ETS Map)</t>
        </is>
      </c>
      <c r="BE4" s="464" t="inlineStr">
        <is>
          <t>Approx. 41.3% (calculated as 5,200 MtCO2 / China's 2023 production-side GHG emissions of approx. 12.6 GtCO2e; sources: ICAP ETS Map and IEA/public compilation; calculated)</t>
        </is>
      </c>
      <c r="BF4" s="464" t="inlineStr">
        <is>
          <t>D35</t>
        </is>
      </c>
      <c r="BG4" s="464" t="inlineStr">
        <is>
          <t>CO2</t>
        </is>
      </c>
      <c r="BH4" s="464" t="inlineStr">
        <is>
          <t>Positive</t>
        </is>
      </c>
      <c r="BI4" s="464" t="inlineStr">
        <is>
          <t>Pollution control</t>
        </is>
      </c>
      <c r="BJ4" s="464" t="inlineStr">
        <is>
          <t>Notice on allocation and surrender work for the national carbon emission trading power generation sector allowances for 2023 and 2024; Plan for the Total Allowance Volume and Allocation of the National Carbon Emission Trading Market for the Power Generation Sector in 2025 and 2026 and for the Steel, Cement and Aluminum Smelting Sectors in 2026</t>
        </is>
      </c>
      <c r="BK4" s="464" t="inlineStr">
        <is>
          <t>https://www.mee.gov.cn/xxgk2018/xxgk/xxgk03/202609/t20260903_1165029.html</t>
        </is>
      </c>
      <c r="BL4" s="464" t="inlineStr">
        <is>
          <t>https://www.gov.cn/zhengce/content/202402/content_6930137.htm; https://www.mee.gov.cn/xxgk2018/xxgk/xxgk02/202101/t20210105_816131.html; https://www.mee.gov.cn/ywgz/ydqhbh/wsqtkz/202509/W020250927515319387445.pdf; https://icapcarbonaction.com/en/ets/china-national-ets</t>
        </is>
      </c>
      <c r="BM4" s="464" t="inlineStr"/>
    </row>
    <row r="5">
      <c r="A5" s="464" t="inlineStr">
        <is>
          <t>CHNTRAETSI01S002</t>
        </is>
      </c>
      <c r="B5" s="464" t="inlineStr">
        <is>
          <t>Subscheme</t>
        </is>
      </c>
      <c r="C5" s="464" t="inlineStr">
        <is>
          <t>Trading scheme</t>
        </is>
      </c>
      <c r="D5" s="464" t="inlineStr">
        <is>
          <t>Emissions trading system</t>
        </is>
      </c>
      <c r="E5" s="464" t="inlineStr">
        <is>
          <t>Industry</t>
        </is>
      </c>
      <c r="F5" s="464" t="inlineStr">
        <is>
          <t>Steel</t>
        </is>
      </c>
      <c r="G5" s="464" t="inlineStr">
        <is>
          <t>全国碳排放权交易市场—钢铁行业子方案</t>
        </is>
      </c>
      <c r="H5" s="464" t="inlineStr">
        <is>
          <t>National carbon emission trading market - steel sector subscheme</t>
        </is>
      </c>
      <c r="I5" s="464" t="inlineStr">
        <is>
          <t>N/A</t>
        </is>
      </c>
      <c r="J5" s="464" t="inlineStr">
        <is>
          <t>The national carbon emission trading market has expanded to cover the steel sector, applying allowance allocation, trading, verification and surrender requirements to steel-sector key emitting entities that meet the coverage threshold.</t>
        </is>
      </c>
      <c r="K5" s="464" t="inlineStr">
        <is>
          <t>Climate change mitigation</t>
        </is>
      </c>
      <c r="L5" s="464" t="inlineStr">
        <is>
          <t>Direct</t>
        </is>
      </c>
      <c r="M5" s="464" t="inlineStr">
        <is>
          <t>national</t>
        </is>
      </c>
      <c r="N5" s="464" t="inlineStr">
        <is>
          <t>N/A</t>
        </is>
      </c>
      <c r="O5" s="464" t="inlineStr">
        <is>
          <t>31/12/2020</t>
        </is>
      </c>
      <c r="P5" s="464" t="inlineStr">
        <is>
          <t>26/03/2025</t>
        </is>
      </c>
      <c r="Q5" s="464" t="inlineStr">
        <is>
          <t>N/A</t>
        </is>
      </c>
      <c r="R5" s="464" t="inlineStr">
        <is>
          <t>02/09/2026</t>
        </is>
      </c>
      <c r="S5" s="464" t="inlineStr">
        <is>
          <t>The Ministry of Ecology and Environment issued the work plan for covering steel, cement and aluminum smelting in the national carbon emission trading market; with State Council approval, these sectors were included in national carbon market management.</t>
        </is>
      </c>
      <c r="T5" s="464">
        <f>IF(P5="","In force",IF(P5="N/A","In force",IF(TODAY()&lt;DATE(VALUE(RIGHT(P5,4)),VALUE(MID(P5,4,2)),VALUE(LEFT(P5,2))),"Scheduled",IF(Q5="","In force",IF(Q5="N/A","In force",IF(TODAY()&lt;DATE(VALUE(RIGHT(Q5,4)),VALUE(MID(Q5,4,2)),VALUE(LEFT(Q5,2))),"In force","Ended"))))))</f>
        <v/>
      </c>
      <c r="U5" s="464" t="inlineStr">
        <is>
          <t>Ministry of Ecology and Environment; provincial ecology and environment authorities; national carbon emission allowance registration institution; national carbon emission allowance trading institution</t>
        </is>
      </c>
      <c r="V5" s="464" t="inlineStr">
        <is>
          <t>Greenhouse gas emissions</t>
        </is>
      </c>
      <c r="W5" s="464" t="inlineStr">
        <is>
          <t>New; Existing</t>
        </is>
      </c>
      <c r="X5" s="464" t="inlineStr">
        <is>
          <t>Carbon emission allowances and covered GHG emissions of key emitting entities in the steel sector.</t>
        </is>
      </c>
      <c r="Y5" s="464" t="inlineStr">
        <is>
          <t>N/A</t>
        </is>
      </c>
      <c r="Z5" s="464" t="inlineStr">
        <is>
          <t>Annual greenhouse gas emissions of at least 26,000 tCO2e</t>
        </is>
      </c>
      <c r="AA5" s="464" t="inlineStr">
        <is>
          <t>Firms</t>
        </is>
      </c>
      <c r="AB5" s="464" t="inlineStr">
        <is>
          <t>Key emitting entities in the steel sector</t>
        </is>
      </c>
      <c r="AC5" s="464" t="inlineStr">
        <is>
          <t>Production, electricity generation or transformation</t>
        </is>
      </c>
      <c r="AD5" s="464" t="inlineStr">
        <is>
          <t>Steel production activities that generate covered GHG emissions.</t>
        </is>
      </c>
      <c r="AE5" s="464" t="inlineStr">
        <is>
          <t>69.30</t>
        </is>
      </c>
      <c r="AF5" s="464" t="inlineStr">
        <is>
          <t>CNY/tonne</t>
        </is>
      </c>
      <c r="AG5"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5" s="464" t="inlineStr">
        <is>
          <t>Key emitting entities in the steel sector must report previous-year GHG emissions, undergo verification, and surrender allowances no less than verified emissions by the deadline.</t>
        </is>
      </c>
      <c r="AI5" s="464" t="inlineStr">
        <is>
          <t>Annual GHG emissions reporting and verification organised by provincial ecology and environment authorities.</t>
        </is>
      </c>
      <c r="AJ5" s="464" t="inlineStr">
        <is>
          <t>The surrender obligation is no less than the previous year's verified actual GHG emissions; China Certified Emission Reductions may be used for partial offsetting as allowed by the rules.</t>
        </is>
      </c>
      <c r="AK5" s="464" t="inlineStr">
        <is>
          <t>N/A</t>
        </is>
      </c>
      <c r="AL5" s="464" t="inlineStr">
        <is>
          <t>N/A</t>
        </is>
      </c>
      <c r="AM5" s="464" t="inlineStr">
        <is>
          <t>N/A</t>
        </is>
      </c>
      <c r="AN5" s="464" t="inlineStr">
        <is>
          <t>N/A</t>
        </is>
      </c>
      <c r="AO5" s="464" t="inlineStr">
        <is>
          <t>N/A</t>
        </is>
      </c>
      <c r="AP5" s="464" t="inlineStr">
        <is>
          <t>N/A</t>
        </is>
      </c>
      <c r="AQ5" s="464" t="inlineStr">
        <is>
          <t>N/A</t>
        </is>
      </c>
      <c r="AR5" s="464" t="inlineStr">
        <is>
          <t>N/A</t>
        </is>
      </c>
      <c r="AS5" s="464" t="inlineStr">
        <is>
          <t>N/A</t>
        </is>
      </c>
      <c r="AT5" s="464" t="inlineStr">
        <is>
          <t>Carbon emission allowance trading system</t>
        </is>
      </c>
      <c r="AU5" s="464" t="inlineStr">
        <is>
          <t>Determined by the MEE total allowance determination and allocation plan; sector-level annual totalsrequire consultation of specific annual allocation plans.</t>
        </is>
      </c>
      <c r="AV5" s="464" t="inlineStr">
        <is>
          <t>Carbon emission intensity coefficient method. The 2026 carbon emission intensity coefficient a is determined by the deviation rate X: a=0.15X when -20%&lt;X&lt;20%, a=0.03 when X&gt;=20%, a=-0.03 when X&lt;=-20%. The steel sector balance value is available via the national carbon market management platform. (Source: Guo Huan Gui Qi Hou [2026] No. 1)</t>
        </is>
      </c>
      <c r="AW5" s="464" t="inlineStr">
        <is>
          <t>Primarily free allocation; the specific sector-level annual free allowance proportion requiresconsultation of annual allocation plans.</t>
        </is>
      </c>
      <c r="AX5" s="464" t="inlineStr">
        <is>
          <t>Allowed. CCERs registered after the launch of the national voluntary GHG emission reduction trading market on 22 January 2024 may be used to offset allowance surrender for 2026, capped at 5% of allowances due. Emission reduction projects already covered by the national carbon market allowance management cannot be used for offsetting.</t>
        </is>
      </c>
      <c r="AY5" s="464" t="inlineStr">
        <is>
          <t>N/A; key emitting entities covered by the national carbon market no longer participate in localpilot carbon emission trading markets.</t>
        </is>
      </c>
      <c r="AZ5" s="464" t="inlineStr">
        <is>
          <t>Registration, trading, risk management and information disclosure systems apply the unified nationalcarbon market rules.</t>
        </is>
      </c>
      <c r="BA5" s="464" t="inlineStr">
        <is>
          <t>N/A</t>
        </is>
      </c>
      <c r="BB5" s="464" t="inlineStr">
        <is>
          <t>N/A</t>
        </is>
      </c>
      <c r="BC5" s="464" t="inlineStr">
        <is>
          <t>Subject to the unified national carbon market penalty rules.</t>
        </is>
      </c>
      <c r="BD5" s="464"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E5" s="464" t="inlineStr">
        <is>
          <t>Approx. 11.5% (calculated as 1,450 MtCO2e / China's 2023 production-side GHG emissions of approx. 12.6 GtCO2e; sources: ICAP and CREA/Live Science; calculated)</t>
        </is>
      </c>
      <c r="BF5" s="464" t="inlineStr">
        <is>
          <t>C24</t>
        </is>
      </c>
      <c r="BG5" s="464" t="inlineStr">
        <is>
          <t>CO2</t>
        </is>
      </c>
      <c r="BH5" s="464" t="inlineStr">
        <is>
          <t>Positive</t>
        </is>
      </c>
      <c r="BI5" s="464" t="inlineStr">
        <is>
          <t>Pollution control</t>
        </is>
      </c>
      <c r="BJ5" s="464" t="inlineStr">
        <is>
          <t>Work Plan for Covering Steel, Cement and Aluminum Smelting in the National Carbon Emission Trading Market</t>
        </is>
      </c>
      <c r="BK5" s="464" t="inlineStr">
        <is>
          <t>https://www.mee.gov.cn/xxgk2018/xxgk/xxgk03/202503/t20250326_1104736.html</t>
        </is>
      </c>
      <c r="BL5"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5" s="464" t="inlineStr"/>
    </row>
    <row r="6">
      <c r="A6" s="464" t="inlineStr">
        <is>
          <t>CHNTRAETSI01S003</t>
        </is>
      </c>
      <c r="B6" s="464" t="inlineStr">
        <is>
          <t>Subscheme</t>
        </is>
      </c>
      <c r="C6" s="464" t="inlineStr">
        <is>
          <t>Trading scheme</t>
        </is>
      </c>
      <c r="D6" s="464" t="inlineStr">
        <is>
          <t>Emissions trading system</t>
        </is>
      </c>
      <c r="E6" s="464" t="inlineStr">
        <is>
          <t>Industry</t>
        </is>
      </c>
      <c r="F6" s="464" t="inlineStr">
        <is>
          <t>Cement</t>
        </is>
      </c>
      <c r="G6" s="464" t="inlineStr">
        <is>
          <t>全国碳排放权交易市场—水泥行业子方案</t>
        </is>
      </c>
      <c r="H6" s="464" t="inlineStr">
        <is>
          <t>National carbon emission trading market - cement sector subscheme</t>
        </is>
      </c>
      <c r="I6" s="464" t="inlineStr">
        <is>
          <t>N/A</t>
        </is>
      </c>
      <c r="J6" s="464" t="inlineStr">
        <is>
          <t>The national carbon emission trading market has expanded to cover the cement sector, applying allowance allocation, trading, verification and surrender requirements to cement-sector key emitting entities that meet the coverage threshold.</t>
        </is>
      </c>
      <c r="K6" s="464" t="inlineStr">
        <is>
          <t>Climate change mitigation</t>
        </is>
      </c>
      <c r="L6" s="464" t="inlineStr">
        <is>
          <t>Direct</t>
        </is>
      </c>
      <c r="M6" s="464" t="inlineStr">
        <is>
          <t>national</t>
        </is>
      </c>
      <c r="N6" s="464" t="inlineStr">
        <is>
          <t>N/A</t>
        </is>
      </c>
      <c r="O6" s="464" t="inlineStr">
        <is>
          <t>31/12/2020</t>
        </is>
      </c>
      <c r="P6" s="464" t="inlineStr">
        <is>
          <t>26/03/2025</t>
        </is>
      </c>
      <c r="Q6" s="464" t="inlineStr">
        <is>
          <t>N/A</t>
        </is>
      </c>
      <c r="R6" s="464" t="inlineStr">
        <is>
          <t>02/09/2026</t>
        </is>
      </c>
      <c r="S6" s="464" t="inlineStr">
        <is>
          <t>The Ministry of Ecology and Environment issued the work plan for covering steel, cement and aluminum smelting in the national carbon emission trading market; with State Council approval, these sectors were included in national carbon market management.</t>
        </is>
      </c>
      <c r="T6" s="464">
        <f>IF(P6="","In force",IF(P6="N/A","In force",IF(TODAY()&lt;DATE(VALUE(RIGHT(P6,4)),VALUE(MID(P6,4,2)),VALUE(LEFT(P6,2))),"Scheduled",IF(Q6="","In force",IF(Q6="N/A","In force",IF(TODAY()&lt;DATE(VALUE(RIGHT(Q6,4)),VALUE(MID(Q6,4,2)),VALUE(LEFT(Q6,2))),"In force","Ended"))))))</f>
        <v/>
      </c>
      <c r="U6" s="464" t="inlineStr">
        <is>
          <t>Ministry of Ecology and Environment; provincial ecology and environment authorities; national carbon emission allowance registration institution; national carbon emission allowance trading institution</t>
        </is>
      </c>
      <c r="V6" s="464" t="inlineStr">
        <is>
          <t>Greenhouse gas emissions</t>
        </is>
      </c>
      <c r="W6" s="464" t="inlineStr">
        <is>
          <t>New; Existing</t>
        </is>
      </c>
      <c r="X6" s="464" t="inlineStr">
        <is>
          <t>Carbon emission allowances and covered GHG emissions of key emitting entities in the cement sector.</t>
        </is>
      </c>
      <c r="Y6" s="464" t="inlineStr">
        <is>
          <t>N/A</t>
        </is>
      </c>
      <c r="Z6" s="464" t="inlineStr">
        <is>
          <t>Annual greenhouse gas emissions of at least 26,000 tCO2e</t>
        </is>
      </c>
      <c r="AA6" s="464" t="inlineStr">
        <is>
          <t>Firms</t>
        </is>
      </c>
      <c r="AB6" s="464" t="inlineStr">
        <is>
          <t>Key emitting entities in the cement sector</t>
        </is>
      </c>
      <c r="AC6" s="464" t="inlineStr">
        <is>
          <t>Production, electricity generation or transformation</t>
        </is>
      </c>
      <c r="AD6" s="464" t="inlineStr">
        <is>
          <t>Cement production activities that generate covered GHG emissions.</t>
        </is>
      </c>
      <c r="AE6" s="464" t="inlineStr">
        <is>
          <t>69.30</t>
        </is>
      </c>
      <c r="AF6" s="464" t="inlineStr">
        <is>
          <t>CNY/tonne</t>
        </is>
      </c>
      <c r="AG6"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6" s="464" t="inlineStr">
        <is>
          <t>Key emitting entities in the cement sector must report previous-year GHG emissions, undergo verification, and surrender allowances no less than verified emissions by the deadline.</t>
        </is>
      </c>
      <c r="AI6" s="464" t="inlineStr">
        <is>
          <t>Annual GHG emissions reporting and verification organised by provincial ecology and environment authorities.</t>
        </is>
      </c>
      <c r="AJ6" s="464" t="inlineStr">
        <is>
          <t>The surrender obligation is no less than the previous year's verified actual GHG emissions; China Certified Emission Reductions may be used for partial offsetting as allowed by the rules.</t>
        </is>
      </c>
      <c r="AK6" s="464" t="inlineStr">
        <is>
          <t>N/A</t>
        </is>
      </c>
      <c r="AL6" s="464" t="inlineStr">
        <is>
          <t>N/A</t>
        </is>
      </c>
      <c r="AM6" s="464" t="inlineStr">
        <is>
          <t>N/A</t>
        </is>
      </c>
      <c r="AN6" s="464" t="inlineStr">
        <is>
          <t>N/A</t>
        </is>
      </c>
      <c r="AO6" s="464" t="inlineStr">
        <is>
          <t>N/A</t>
        </is>
      </c>
      <c r="AP6" s="464" t="inlineStr">
        <is>
          <t>N/A</t>
        </is>
      </c>
      <c r="AQ6" s="464" t="inlineStr">
        <is>
          <t>N/A</t>
        </is>
      </c>
      <c r="AR6" s="464" t="inlineStr">
        <is>
          <t>N/A</t>
        </is>
      </c>
      <c r="AS6" s="464" t="inlineStr">
        <is>
          <t>N/A</t>
        </is>
      </c>
      <c r="AT6" s="464" t="inlineStr">
        <is>
          <t>Carbon emission allowance trading system</t>
        </is>
      </c>
      <c r="AU6" s="464" t="inlineStr">
        <is>
          <t>Determined by the MEE total allowance determination and allocation plan; sector-level annual totalsrequire consultation of specific annual allocation plans.</t>
        </is>
      </c>
      <c r="AV6" s="464" t="inlineStr">
        <is>
          <t>Carbon emission intensity coefficient method. The 2026 carbon emission intensity coefficient a is determined by the deviation rate X: a=0.15X when -20%&lt;X&lt;20%, a=0.03 when X&gt;=20%, a=-0.03 when X&lt;=-20%. The cement sector balance value is available via the national carbon market management platform. (Source: Guo Huan Gui Qi Hou [2026] No. 1)</t>
        </is>
      </c>
      <c r="AW6" s="464" t="inlineStr">
        <is>
          <t>Primarily free allocation; the specific sector-level annual free allowance proportion requiresconsultation of annual allocation plans.</t>
        </is>
      </c>
      <c r="AX6" s="464" t="inlineStr">
        <is>
          <t>Allowed. CCERs registered after the launch of the national voluntary GHG emission reduction trading market on 22 January 2024 may be used to offset allowance surrender for 2026, capped at 5% of allowances due. Emission reduction projects already covered by the national carbon market allowance management cannot be used for offsetting.</t>
        </is>
      </c>
      <c r="AY6" s="464" t="inlineStr">
        <is>
          <t>N/A; key emitting entities covered by the national carbon market no longer participate in localpilot carbon emission trading markets.</t>
        </is>
      </c>
      <c r="AZ6" s="464" t="inlineStr">
        <is>
          <t>Registration, trading, risk management and information disclosure systems apply the unified nationalcarbon market rules.</t>
        </is>
      </c>
      <c r="BA6" s="464" t="inlineStr">
        <is>
          <t>N/A</t>
        </is>
      </c>
      <c r="BB6" s="464" t="inlineStr">
        <is>
          <t>N/A</t>
        </is>
      </c>
      <c r="BC6" s="464" t="inlineStr">
        <is>
          <t>Subject to the unified national carbon market penalty rules.</t>
        </is>
      </c>
      <c r="BD6" s="464"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E6" s="464" t="inlineStr">
        <is>
          <t>Approx. 11.5% (calculated as 1,450 MtCO2e / China's 2023 production-side GHG emissions of approx. 12.6 GtCO2e; sources: ICAP and CREA/Live Science; calculated)</t>
        </is>
      </c>
      <c r="BF6" s="464" t="inlineStr">
        <is>
          <t>C23</t>
        </is>
      </c>
      <c r="BG6" s="464" t="inlineStr">
        <is>
          <t>CO2</t>
        </is>
      </c>
      <c r="BH6" s="464" t="inlineStr">
        <is>
          <t>Positive</t>
        </is>
      </c>
      <c r="BI6" s="464" t="inlineStr">
        <is>
          <t>Pollution control</t>
        </is>
      </c>
      <c r="BJ6" s="464" t="inlineStr">
        <is>
          <t>Work Plan for Covering Steel, Cement and Aluminum Smelting in the National Carbon Emission Trading Market</t>
        </is>
      </c>
      <c r="BK6" s="464" t="inlineStr">
        <is>
          <t>https://www.mee.gov.cn/xxgk2018/xxgk/xxgk03/202503/t20250326_1104736.html</t>
        </is>
      </c>
      <c r="BL6"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6" s="464" t="inlineStr"/>
    </row>
    <row r="7">
      <c r="A7" s="464" t="inlineStr">
        <is>
          <t>CHNTRAETSI01S004</t>
        </is>
      </c>
      <c r="B7" s="464" t="inlineStr">
        <is>
          <t>Subscheme</t>
        </is>
      </c>
      <c r="C7" s="464" t="inlineStr">
        <is>
          <t>Trading scheme</t>
        </is>
      </c>
      <c r="D7" s="464" t="inlineStr">
        <is>
          <t>Emissions trading system</t>
        </is>
      </c>
      <c r="E7" s="464" t="inlineStr">
        <is>
          <t>Industry</t>
        </is>
      </c>
      <c r="F7" s="464" t="inlineStr">
        <is>
          <t>Aluminum smelting</t>
        </is>
      </c>
      <c r="G7" s="464" t="inlineStr">
        <is>
          <t>全国碳排放权交易市场—铝冶炼行业子方案</t>
        </is>
      </c>
      <c r="H7" s="464" t="inlineStr">
        <is>
          <t>National carbon emission trading market - aluminum smelting sector subscheme</t>
        </is>
      </c>
      <c r="I7" s="464" t="inlineStr">
        <is>
          <t>N/A</t>
        </is>
      </c>
      <c r="J7" s="464" t="inlineStr">
        <is>
          <t>The national carbon emission trading market has expanded to cover the aluminum smelting sector, applying allowance allocation, trading, verification and surrender requirements to aluminum smelting key emitting entities that meet the coverage threshold.</t>
        </is>
      </c>
      <c r="K7" s="464" t="inlineStr">
        <is>
          <t>Climate change mitigation</t>
        </is>
      </c>
      <c r="L7" s="464" t="inlineStr">
        <is>
          <t>Direct</t>
        </is>
      </c>
      <c r="M7" s="464" t="inlineStr">
        <is>
          <t>national</t>
        </is>
      </c>
      <c r="N7" s="464" t="inlineStr">
        <is>
          <t>N/A</t>
        </is>
      </c>
      <c r="O7" s="464" t="inlineStr">
        <is>
          <t>31/12/2020</t>
        </is>
      </c>
      <c r="P7" s="464" t="inlineStr">
        <is>
          <t>26/03/2025</t>
        </is>
      </c>
      <c r="Q7" s="464" t="inlineStr">
        <is>
          <t>N/A</t>
        </is>
      </c>
      <c r="R7" s="464" t="inlineStr">
        <is>
          <t>02/09/2026</t>
        </is>
      </c>
      <c r="S7" s="464" t="inlineStr">
        <is>
          <t>On 2 September 2026, the Ministry of Ecology and Environment issued the Plan for the Total Allowance Volume and Allocation of the National Carbon Emission Trading Market for the Power Generation Sector in 2025 and 2026 and for the Steel, Cement and Aluminum Smelting Sectors in 2026 (Guo Huan Gui Qi Hou [2026] No. 1). The aluminum smelting sector continues to use the carbon emission intensity coefficient method for 2026, with the allocation method unchanged from 2025; pre-allocation is in principle 50% of the previous year's verified emissions.</t>
        </is>
      </c>
      <c r="T7" s="464">
        <f>IF(P7="","In force",IF(P7="N/A","In force",IF(TODAY()&lt;DATE(VALUE(RIGHT(P7,4)),VALUE(MID(P7,4,2)),VALUE(LEFT(P7,2))),"Scheduled",IF(Q7="","In force",IF(Q7="N/A","In force",IF(TODAY()&lt;DATE(VALUE(RIGHT(Q7,4)),VALUE(MID(Q7,4,2)),VALUE(LEFT(Q7,2))),"In force","Ended"))))))</f>
        <v/>
      </c>
      <c r="U7" s="464" t="inlineStr">
        <is>
          <t>Ministry of Ecology and Environment; provincial ecology and environment authorities; national carbon emission allowance registration institution; national carbon emission allowance trading institution</t>
        </is>
      </c>
      <c r="V7" s="464" t="inlineStr">
        <is>
          <t>Greenhouse gas emissions</t>
        </is>
      </c>
      <c r="W7" s="464" t="inlineStr">
        <is>
          <t>New; Existing</t>
        </is>
      </c>
      <c r="X7" s="464" t="inlineStr">
        <is>
          <t>Carbon emission allowances and covered GHG emissions of key emitting entities in the aluminum smelting sector.</t>
        </is>
      </c>
      <c r="Y7" s="464" t="inlineStr">
        <is>
          <t>N/A</t>
        </is>
      </c>
      <c r="Z7" s="464" t="inlineStr">
        <is>
          <t>Annual greenhouse gas emissions of at least 26,000 tCO2e</t>
        </is>
      </c>
      <c r="AA7" s="464" t="inlineStr">
        <is>
          <t>Firms</t>
        </is>
      </c>
      <c r="AB7" s="464" t="inlineStr">
        <is>
          <t>Key emitting entities in the aluminum smelting sector</t>
        </is>
      </c>
      <c r="AC7" s="464" t="inlineStr">
        <is>
          <t>Production, electricity generation or transformation</t>
        </is>
      </c>
      <c r="AD7" s="464" t="inlineStr">
        <is>
          <t>Aluminum smelting production activities that generate covered GHG emissions.</t>
        </is>
      </c>
      <c r="AE7" s="464" t="inlineStr">
        <is>
          <t>69.30</t>
        </is>
      </c>
      <c r="AF7" s="464" t="inlineStr">
        <is>
          <t>CNY/tonne</t>
        </is>
      </c>
      <c r="AG7"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7" s="464" t="inlineStr">
        <is>
          <t>Key emitting entities in the aluminum smelting sector must report previous-year GHG emissions, undergo verification, and surrender allowances no less than verified emissions by the deadline.</t>
        </is>
      </c>
      <c r="AI7" s="464" t="inlineStr">
        <is>
          <t>Annual GHG emissions reporting and verification organised by provincial ecology and environment authorities.</t>
        </is>
      </c>
      <c r="AJ7" s="464" t="inlineStr">
        <is>
          <t>The surrender obligation is no less than the previous year's verified actual GHG emissions; China Certified Emission Reductions may be used for partial offsetting as allowed by the rules.</t>
        </is>
      </c>
      <c r="AK7" s="464" t="inlineStr">
        <is>
          <t>N/A</t>
        </is>
      </c>
      <c r="AL7" s="464" t="inlineStr">
        <is>
          <t>N/A</t>
        </is>
      </c>
      <c r="AM7" s="464" t="inlineStr">
        <is>
          <t>N/A</t>
        </is>
      </c>
      <c r="AN7" s="464" t="inlineStr">
        <is>
          <t>N/A</t>
        </is>
      </c>
      <c r="AO7" s="464" t="inlineStr">
        <is>
          <t>N/A</t>
        </is>
      </c>
      <c r="AP7" s="464" t="inlineStr">
        <is>
          <t>N/A</t>
        </is>
      </c>
      <c r="AQ7" s="464" t="inlineStr">
        <is>
          <t>N/A</t>
        </is>
      </c>
      <c r="AR7" s="464" t="inlineStr">
        <is>
          <t>N/A</t>
        </is>
      </c>
      <c r="AS7" s="464" t="inlineStr">
        <is>
          <t>N/A</t>
        </is>
      </c>
      <c r="AT7" s="464" t="inlineStr">
        <is>
          <t>Carbon emission allowance trading system</t>
        </is>
      </c>
      <c r="AU7" s="464" t="inlineStr">
        <is>
          <t>Determined by the MEE total allowance determination and allocation plan; sector-level annual totalsrequire consultation of specific annual allocation plans.</t>
        </is>
      </c>
      <c r="AV7" s="464" t="inlineStr">
        <is>
          <t>Carbon emission intensity coefficient method. The 2026 carbon emission intensity coefficient a is determined by the deviation rate X: a=0.15X when -20%&lt;X&lt;20%, a=0.03 when X&gt;=20%, a=-0.03 when X&lt;=-20%. The aluminum smelting sector balance value is available via the national carbon market management platform. (Source: Guo Huan Gui Qi Hou [2026] No. 1)</t>
        </is>
      </c>
      <c r="AW7" s="464" t="inlineStr">
        <is>
          <t>Primarily free allocation; the specific sector-level annual free allowance proportion requiresconsultation of annual allocation plans.</t>
        </is>
      </c>
      <c r="AX7" s="464" t="inlineStr">
        <is>
          <t>Allowed. CCERs registered after the launch of the national voluntary GHG emission reduction trading market on 22 January 2024 may be used to offset allowance surrender for 2026, capped at 5% of allowances due. Emission reduction projects already covered by the national carbon market allowance management cannot be used for offsetting.</t>
        </is>
      </c>
      <c r="AY7" s="464" t="inlineStr">
        <is>
          <t>N/A; key emitting entities covered by the national carbon market no longer participate in localpilot carbon emission trading markets.</t>
        </is>
      </c>
      <c r="AZ7" s="464" t="inlineStr">
        <is>
          <t>Registration, trading, risk management and information disclosure systems apply the unified nationalcarbon market rules.</t>
        </is>
      </c>
      <c r="BA7" s="464" t="inlineStr">
        <is>
          <t>N/A</t>
        </is>
      </c>
      <c r="BB7" s="464" t="inlineStr">
        <is>
          <t>N/A</t>
        </is>
      </c>
      <c r="BC7" s="464" t="inlineStr">
        <is>
          <t>Subject to the unified national carbon market penalty rules.</t>
        </is>
      </c>
      <c r="BD7" s="464" t="inlineStr">
        <is>
          <t>Approx. 100 MtCO2e (2024 estimate; source: FT reports China's 2024 electrolytic aluminum output at 43.8 Mt, and ETS aluminum smelting coverage includes direct CO2 and PFCs; calculated using direct emissions of approx. 2.3 tCO2e/t aluminum)</t>
        </is>
      </c>
      <c r="BE7" s="464" t="inlineStr">
        <is>
          <t>Approx. 0.8% (calculated as 100 MtCO2e / China's 2023 production-side GHG emissions of approx. 12.6 GtCO2e; sources: FT, MEE expansion work plan and Guardian/MIT explanation of PFC sources; calculated)</t>
        </is>
      </c>
      <c r="BF7" s="464" t="inlineStr">
        <is>
          <t>C24</t>
        </is>
      </c>
      <c r="BG7" s="464" t="inlineStr">
        <is>
          <t>CO2; CF4; C2F6</t>
        </is>
      </c>
      <c r="BH7" s="464" t="inlineStr">
        <is>
          <t>Positive</t>
        </is>
      </c>
      <c r="BI7" s="464" t="inlineStr">
        <is>
          <t>Pollution control</t>
        </is>
      </c>
      <c r="BJ7" s="464" t="inlineStr">
        <is>
          <t>Work Plan for Covering Steel, Cement and Aluminum Smelting in the National Carbon Emission Trading Market</t>
        </is>
      </c>
      <c r="BK7" s="464" t="inlineStr">
        <is>
          <t>https://www.mee.gov.cn/xxgk2018/xxgk/xxgk03/202503/t20250326_1104736.html</t>
        </is>
      </c>
      <c r="BL7"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M7" s="464" t="inlineStr"/>
    </row>
    <row r="8">
      <c r="A8" s="610" t="inlineStr">
        <is>
          <t>CHNTRARECI01S000</t>
        </is>
      </c>
      <c r="B8" s="610" t="inlineStr">
        <is>
          <t>Instrument</t>
        </is>
      </c>
      <c r="C8" s="610" t="inlineStr">
        <is>
          <t>Trading scheme</t>
        </is>
      </c>
      <c r="D8" s="610" t="inlineStr">
        <is>
          <t>Tradable renewable electricity credits, quota or tradable performance standards</t>
        </is>
      </c>
      <c r="E8" s="610" t="inlineStr">
        <is>
          <t>Energy</t>
        </is>
      </c>
      <c r="F8" s="610" t="inlineStr">
        <is>
          <t>Electricity; Renewable power generation</t>
        </is>
      </c>
      <c r="G8" s="610" t="inlineStr">
        <is>
          <t>可再生能源绿色电力证书市场</t>
        </is>
      </c>
      <c r="H8" s="610" t="inlineStr">
        <is>
          <t>China Green Electricity Certificate market</t>
        </is>
      </c>
      <c r="I8" s="610" t="inlineStr">
        <is>
          <t>N/A</t>
        </is>
      </c>
      <c r="J8" s="610"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610" t="inlineStr">
        <is>
          <t>Climate change mitigation</t>
        </is>
      </c>
      <c r="L8" s="610" t="inlineStr">
        <is>
          <t>Direct</t>
        </is>
      </c>
      <c r="M8" s="610" t="inlineStr">
        <is>
          <t>national</t>
        </is>
      </c>
      <c r="N8" s="610" t="inlineStr">
        <is>
          <t>N/A</t>
        </is>
      </c>
      <c r="O8" s="610" t="inlineStr">
        <is>
          <t>18/01/2017</t>
        </is>
      </c>
      <c r="P8" s="610" t="inlineStr">
        <is>
          <t>01/07/2017</t>
        </is>
      </c>
      <c r="Q8" s="610" t="inlineStr">
        <is>
          <t>N/A</t>
        </is>
      </c>
      <c r="R8" s="610" t="inlineStr">
        <is>
          <t>06/03/2025</t>
        </is>
      </c>
      <c r="S8" s="610"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T8" s="610">
        <f>IF(P8="","In force",IF(P8="N/A","In force",IF(TODAY()&lt;DATE(VALUE(RIGHT(P8,4)),VALUE(MID(P8,4,2)),VALUE(LEFT(P8,2))),"Scheduled",IF(Q8="","In force",IF(Q8="N/A","In force",IF(TODAY()&lt;DATE(VALUE(RIGHT(Q8,4)),VALUE(MID(Q8,4,2)),VALUE(LEFT(Q8,2))),"In force","Ended"))))))</f>
        <v/>
      </c>
      <c r="U8" s="610" t="inlineStr">
        <is>
          <t>National Development and Reform Commission; National Energy Administration; Ministry of Industry and Information Technology; Ministry of Commerce; National Data Administration; GEC issuance institutions; GEC trading platforms</t>
        </is>
      </c>
      <c r="V8" s="610" t="inlineStr">
        <is>
          <t>Renewable electricity generation projects</t>
        </is>
      </c>
      <c r="W8" s="610" t="inlineStr">
        <is>
          <t>New; Existing</t>
        </is>
      </c>
      <c r="X8" s="610" t="inlineStr">
        <is>
          <t>Electricity produced by registered and documented renewable energy generation projects including wind power, solar power, conventional hydropower, biomass power, geothermal power and ocean energy power.</t>
        </is>
      </c>
      <c r="Y8" s="610" t="inlineStr">
        <is>
          <t>N/A</t>
        </is>
      </c>
      <c r="Z8" s="610" t="inlineStr">
        <is>
          <t>N/A</t>
        </is>
      </c>
      <c r="AA8" s="610" t="inlineStr">
        <is>
          <t>Firms</t>
        </is>
      </c>
      <c r="AB8" s="610" t="inlineStr">
        <is>
          <t>Renewable energy generation project owners, GEC trading entities, agency institutions, key energy-using entities, data centres, electricity consumers and electricity retailers.</t>
        </is>
      </c>
      <c r="AC8" s="610" t="inlineStr">
        <is>
          <t>Production, generation or conversion; Purchase or use</t>
        </is>
      </c>
      <c r="AD8" s="610" t="inlineStr">
        <is>
          <t>Renewable electricity generation, monthly automatic GEC issuance, GEC trading, green electricity trading, green electricity consumption certification and GEC cancellation.</t>
        </is>
      </c>
      <c r="AE8" s="610" t="inlineStr">
        <is>
          <t>5.57</t>
        </is>
      </c>
      <c r="AF8" s="610" t="inlineStr">
        <is>
          <t>CNY/GEC</t>
        </is>
      </c>
      <c r="AG8" s="610"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H8" s="610"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I8" s="610" t="inlineStr">
        <is>
          <t>GECs are uniformly and automatically issued in monthly batches based on the monthly settled electricity volumes of registered and documented renewable electricity generation projects provided by grid enterprises and electricity trading institutions.</t>
        </is>
      </c>
      <c r="AJ8" s="610"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K8" s="610" t="inlineStr">
        <is>
          <t>N/A</t>
        </is>
      </c>
      <c r="AL8" s="610" t="inlineStr">
        <is>
          <t>N/A</t>
        </is>
      </c>
      <c r="AM8" s="610" t="inlineStr">
        <is>
          <t>N/A</t>
        </is>
      </c>
      <c r="AN8" s="610" t="inlineStr">
        <is>
          <t>N/A</t>
        </is>
      </c>
      <c r="AO8" s="610" t="inlineStr">
        <is>
          <t>N/A</t>
        </is>
      </c>
      <c r="AP8" s="610" t="inlineStr">
        <is>
          <t>N/A</t>
        </is>
      </c>
      <c r="AQ8" s="610" t="inlineStr">
        <is>
          <t>N/A</t>
        </is>
      </c>
      <c r="AR8" s="610" t="inlineStr">
        <is>
          <t>N/A</t>
        </is>
      </c>
      <c r="AS8" s="610" t="inlineStr">
        <is>
          <t>N/A</t>
        </is>
      </c>
      <c r="AT8" s="610" t="inlineStr">
        <is>
          <t>Tradable renewable electricity certificate market</t>
        </is>
      </c>
      <c r="AU8" s="610" t="inlineStr">
        <is>
          <t>N/A; GEC issuance volume is determined by the quantity of eligible renewable electricity generation and is not subject to a fixed emissions cap.</t>
        </is>
      </c>
      <c r="AV8" s="610"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W8" s="610" t="inlineStr">
        <is>
          <t>N/A; this instrument issues certificates for the environmental attributes of renewable electricity, not free emission allowances.</t>
        </is>
      </c>
      <c r="AX8" s="610" t="inlineStr">
        <is>
          <t>N/A; GECs are used for renewable electricity production and consumption certification, not as GHG emission offsets.</t>
        </is>
      </c>
      <c r="AY8" s="610" t="inlineStr">
        <is>
          <t>Linked with green electricity trading, renewable electricity consumption responsibility weight accounting, green electricity consumption certification, corporate carbon emission accounting and key product carbon footprint accounting.</t>
        </is>
      </c>
      <c r="AZ8" s="610"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A8" s="610" t="inlineStr">
        <is>
          <t>N/A</t>
        </is>
      </c>
      <c r="BB8" s="610" t="inlineStr">
        <is>
          <t>930 million GECs (national GEC transactions in 2025; comprising 680 million separately traded GECs and 250 million green electricity trading GECs; Source: National Energy Administration 2026 press release).</t>
        </is>
      </c>
      <c r="BC8" s="610" t="inlineStr">
        <is>
          <t>N/A</t>
        </is>
      </c>
      <c r="BD8" s="610" t="inlineStr">
        <is>
          <t>N/A</t>
        </is>
      </c>
      <c r="BE8" s="610" t="inlineStr">
        <is>
          <t>N/A</t>
        </is>
      </c>
      <c r="BF8" s="610" t="inlineStr">
        <is>
          <t>D35</t>
        </is>
      </c>
      <c r="BG8" s="610" t="inlineStr">
        <is>
          <t>CO2</t>
        </is>
      </c>
      <c r="BH8" s="610" t="inlineStr">
        <is>
          <t>Positive</t>
        </is>
      </c>
      <c r="BI8" s="610" t="inlineStr">
        <is>
          <t>Pollution control; Energy security; Technological innovation</t>
        </is>
      </c>
      <c r="BJ8" s="610" t="inlineStr">
        <is>
          <t>Opinions on Promoting the High-Quality Development of the Renewable Energy Green Electricity Certificate Market</t>
        </is>
      </c>
      <c r="BK8" s="610" t="inlineStr">
        <is>
          <t>https://www.ndrc.gov.cn/xxgk/zcfb/tz/202503/t20250318_1396627.html</t>
        </is>
      </c>
      <c r="BL8" s="610" t="inlineStr">
        <is>
          <t>https://www.ndrc.gov.cn/xxgk/zcfb/tz/201702/t20170203_962895_ext.html; https://www.gov.cn/gongbao/2024/issue_11626/202410/content_6978630.html</t>
        </is>
      </c>
      <c r="BM8" s="610" t="inlineStr"/>
    </row>
    <row r="9">
      <c r="A9" s="610" t="inlineStr">
        <is>
          <t>CHNTRARECI02S000</t>
        </is>
      </c>
      <c r="B9" s="610" t="inlineStr">
        <is>
          <t>Instrument</t>
        </is>
      </c>
      <c r="C9" s="610" t="inlineStr">
        <is>
          <t>Trading scheme</t>
        </is>
      </c>
      <c r="D9" s="610" t="inlineStr">
        <is>
          <t>Tradable renewable electricity credits, quota or tradable performance standards</t>
        </is>
      </c>
      <c r="E9" s="610" t="inlineStr">
        <is>
          <t>Energy</t>
        </is>
      </c>
      <c r="F9" s="610" t="inlineStr">
        <is>
          <t>Electricity; Renewable energy</t>
        </is>
      </c>
      <c r="G9" s="610" t="inlineStr">
        <is>
          <t>可再生能源电力消纳责任权重制度</t>
        </is>
      </c>
      <c r="H9" s="610" t="inlineStr">
        <is>
          <t>Renewable electricity consumption responsibility weight system</t>
        </is>
      </c>
      <c r="I9" s="610" t="inlineStr">
        <is>
          <t>N/A</t>
        </is>
      </c>
      <c r="J9" s="610"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610" t="inlineStr">
        <is>
          <t>Renewable energy development; Climate change mitigation</t>
        </is>
      </c>
      <c r="L9" s="610" t="inlineStr">
        <is>
          <t>Direct</t>
        </is>
      </c>
      <c r="M9" s="610" t="inlineStr">
        <is>
          <t>national</t>
        </is>
      </c>
      <c r="N9" s="610" t="inlineStr">
        <is>
          <t>N/A</t>
        </is>
      </c>
      <c r="O9" s="610" t="inlineStr">
        <is>
          <t>10/05/2019</t>
        </is>
      </c>
      <c r="P9" s="610" t="inlineStr">
        <is>
          <t>01/01/2020</t>
        </is>
      </c>
      <c r="Q9" s="610" t="inlineStr">
        <is>
          <t>N/A</t>
        </is>
      </c>
      <c r="R9" s="610" t="inlineStr">
        <is>
          <t>05/06/2026</t>
        </is>
      </c>
      <c r="S9" s="610"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T9" s="610">
        <f>IF(P9="","In force",IF(P9="N/A","In force",IF(TODAY()&lt;DATE(VALUE(RIGHT(P9,4)),VALUE(MID(P9,4,2)),VALUE(LEFT(P9,2))),"Scheduled",IF(Q9="","In force",IF(Q9="N/A","In force",IF(TODAY()&lt;DATE(VALUE(RIGHT(Q9,4)),VALUE(MID(Q9,4,2)),VALUE(LEFT(Q9,2))),"In force","Ended"))))))</f>
        <v/>
      </c>
      <c r="U9" s="610" t="inlineStr">
        <is>
          <t>National Development and Reform Commission; Ministry of Industry and Information Technology; Ministry of Housing and Urban-Rural Development; Ministry of Transport; National Energy Administration</t>
        </is>
      </c>
      <c r="V9" s="610" t="inlineStr">
        <is>
          <t>Renewable electricity consumption responsibility weights</t>
        </is>
      </c>
      <c r="W9" s="610" t="inlineStr">
        <is>
          <t>New; Existing</t>
        </is>
      </c>
      <c r="X9" s="610"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Y9" s="610" t="inlineStr">
        <is>
          <t>N/A</t>
        </is>
      </c>
      <c r="Z9" s="610" t="inlineStr">
        <is>
          <t>Agricultural electricity and electricity consumed by dedicated-metered heating are exempt from consumption responsibility weight assessment.</t>
        </is>
      </c>
      <c r="AA9" s="610" t="inlineStr">
        <is>
          <t>Firms</t>
        </is>
      </c>
      <c r="AB9" s="610"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C9" s="610" t="inlineStr">
        <is>
          <t>Purchase or use; Sales; Production, generation or conversion</t>
        </is>
      </c>
      <c r="AD9" s="610"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E9" s="610" t="inlineStr">
        <is>
          <t>Provincial-level annual minimum and incentive renewable electricity consumption responsibilityweights; the consumption amount of each obligated entity is calculated as its annual electricitysold or consumed multiplied by its assigned provincial weight.</t>
        </is>
      </c>
      <c r="AF9" s="610" t="inlineStr">
        <is>
          <t>Annual renewable electricity as a share of total electricity consumption (%)</t>
        </is>
      </c>
      <c r="AG9" s="610"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H9" s="610"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I9" s="610"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J9" s="610"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K9" s="610" t="inlineStr">
        <is>
          <t>N/A</t>
        </is>
      </c>
      <c r="AL9" s="610" t="inlineStr">
        <is>
          <t>N/A</t>
        </is>
      </c>
      <c r="AM9" s="610" t="inlineStr">
        <is>
          <t>N/A</t>
        </is>
      </c>
      <c r="AN9" s="610" t="inlineStr">
        <is>
          <t>N/A</t>
        </is>
      </c>
      <c r="AO9" s="610" t="inlineStr">
        <is>
          <t>N/A</t>
        </is>
      </c>
      <c r="AP9" s="610" t="inlineStr">
        <is>
          <t>N/A</t>
        </is>
      </c>
      <c r="AQ9" s="610" t="inlineStr">
        <is>
          <t>N/A</t>
        </is>
      </c>
      <c r="AR9" s="610" t="inlineStr">
        <is>
          <t>N/A</t>
        </is>
      </c>
      <c r="AS9" s="610" t="inlineStr">
        <is>
          <t>N/A</t>
        </is>
      </c>
      <c r="AT9" s="610" t="inlineStr">
        <is>
          <t>Renewable electricity consumption quota / Renewables Portfolio Standard (RPS) mechanism</t>
        </is>
      </c>
      <c r="AU9" s="610" t="inlineStr">
        <is>
          <t>Annual consumption responsibility weights are set by provincial-level administrative region; not aGHG emissions cap.</t>
        </is>
      </c>
      <c r="AV9" s="610"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W9" s="610" t="inlineStr">
        <is>
          <t>N/A; this system allocates renewable electricity consumption responsibilities, not free emissionallowances.</t>
        </is>
      </c>
      <c r="AX9" s="610" t="inlineStr">
        <is>
          <t>N/A; GECs and excess consumption amounts are used to fulfil renewable electricity consumptionresponsibilities, not as GHG emission offsets.</t>
        </is>
      </c>
      <c r="AY9" s="610"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AZ9" s="610"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A9" s="610" t="inlineStr">
        <is>
          <t>N/A</t>
        </is>
      </c>
      <c r="BB9" s="610" t="inlineStr">
        <is>
          <t>N/A</t>
        </is>
      </c>
      <c r="BC9" s="610"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D9" s="610" t="inlineStr">
        <is>
          <t>N/A</t>
        </is>
      </c>
      <c r="BE9" s="610" t="inlineStr">
        <is>
          <t>N/A</t>
        </is>
      </c>
      <c r="BF9" s="610" t="inlineStr">
        <is>
          <t>D35</t>
        </is>
      </c>
      <c r="BG9" s="610" t="inlineStr">
        <is>
          <t>CO2</t>
        </is>
      </c>
      <c r="BH9" s="610" t="inlineStr">
        <is>
          <t>Positive</t>
        </is>
      </c>
      <c r="BI9" s="610" t="inlineStr">
        <is>
          <t>Pollution control; Energy security</t>
        </is>
      </c>
      <c r="BJ9" s="610"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K9" s="610" t="inlineStr">
        <is>
          <t>https://www.ndrc.gov.cn/xxgk/zcfb/tz/201905/t20190515_962446.html</t>
        </is>
      </c>
      <c r="BL9" s="610" t="inlineStr">
        <is>
          <t>https://www.ndrc.gov.cn/xxgk/zcfb/tz/202503/t20250318_1396627.html; https://www.ndrc.gov.cn/xwdt/tzgg/202507/t20250711_1399143.html; https://www.ndrc.gov.cn/xxgk/zcfb/fzggwl/202606/t20260612_1405837.html</t>
        </is>
      </c>
      <c r="BM9" s="610" t="inlineStr"/>
    </row>
    <row r="10">
      <c r="A10" s="610" t="inlineStr">
        <is>
          <t>CHNTRARECI03S000</t>
        </is>
      </c>
      <c r="B10" s="610" t="inlineStr">
        <is>
          <t>Instrument</t>
        </is>
      </c>
      <c r="C10" s="610" t="inlineStr">
        <is>
          <t>Trading scheme</t>
        </is>
      </c>
      <c r="D10" s="610" t="inlineStr">
        <is>
          <t>Tradable renewable electricity credits, quota or tradable performance standards</t>
        </is>
      </c>
      <c r="E10" s="610" t="inlineStr">
        <is>
          <t>Energy</t>
        </is>
      </c>
      <c r="F10" s="610" t="inlineStr">
        <is>
          <t>Electricity; renewable energy</t>
        </is>
      </c>
      <c r="G10" s="610" t="inlineStr">
        <is>
          <t>重点用能行业可再生能源消费最低比重目标</t>
        </is>
      </c>
      <c r="H10" s="610" t="inlineStr">
        <is>
          <t>Minimum renewable energy consumption proportion targets for key energy-using industries</t>
        </is>
      </c>
      <c r="I10" s="610" t="inlineStr">
        <is>
          <t>N/A</t>
        </is>
      </c>
      <c r="J10" s="610"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610" t="inlineStr">
        <is>
          <t>Renewable energy development; Climate change mitigation</t>
        </is>
      </c>
      <c r="L10" s="610" t="inlineStr">
        <is>
          <t>Direct</t>
        </is>
      </c>
      <c r="M10" s="610" t="inlineStr">
        <is>
          <t>national</t>
        </is>
      </c>
      <c r="N10" s="610" t="inlineStr">
        <is>
          <t>N/A</t>
        </is>
      </c>
      <c r="O10" s="610" t="inlineStr">
        <is>
          <t>05/06/2026</t>
        </is>
      </c>
      <c r="P10" s="610" t="inlineStr">
        <is>
          <t>01/08/2026</t>
        </is>
      </c>
      <c r="Q10" s="610" t="inlineStr">
        <is>
          <t>N/A</t>
        </is>
      </c>
      <c r="R10" s="610" t="inlineStr">
        <is>
          <t>N/A</t>
        </is>
      </c>
      <c r="S10" s="610" t="inlineStr">
        <is>
          <t>N/A</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Ministry of Industry and Information Technology; Ministry of Housing and Urban-Rural Development; Ministry of Transport; National Energy Administration</t>
        </is>
      </c>
      <c r="V10" s="610" t="inlineStr">
        <is>
          <t>Minimum renewable energy consumption proportion targets for key energy-using industries</t>
        </is>
      </c>
      <c r="W10" s="610" t="inlineStr">
        <is>
          <t>New; Existing</t>
        </is>
      </c>
      <c r="X10" s="610"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Y10" s="610" t="inlineStr">
        <is>
          <t>N/A</t>
        </is>
      </c>
      <c r="Z10" s="610" t="inlineStr">
        <is>
          <t>N/A</t>
        </is>
      </c>
      <c r="AA10" s="610" t="inlineStr">
        <is>
          <t>Firms</t>
        </is>
      </c>
      <c r="AB10" s="610" t="inlineStr">
        <is>
          <t>Enterprises in key energy-using industries bear responsibility for meeting the minimum renewable energy consumption proportion targets.</t>
        </is>
      </c>
      <c r="AC10" s="610" t="inlineStr">
        <is>
          <t>Purchase or use; Production, generation or conversion</t>
        </is>
      </c>
      <c r="AD10" s="610" t="inlineStr">
        <is>
          <t>Self-consumption of renewable electricity, green certificate and green electricity trading, excess consumption amount transfers. Renewable energy non-electric consumption (heating/cooling, hydrogen/ammonia production, biomass-integrated fuel utilisation, etc.).</t>
        </is>
      </c>
      <c r="AE10" s="610" t="inlineStr">
        <is>
          <t>Annual minimum renewable energy consumption proportion targets for key energy-using industries;specific minimum proportion values are determined by relevant departments by industryclassification.</t>
        </is>
      </c>
      <c r="AF10" s="610" t="inlineStr">
        <is>
          <t>Annual renewable energy consumption proportion (%)</t>
        </is>
      </c>
      <c r="AG10" s="610"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H10" s="610"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I10" s="610"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J10" s="610"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K10" s="610" t="inlineStr">
        <is>
          <t>N/A</t>
        </is>
      </c>
      <c r="AL10" s="610" t="inlineStr">
        <is>
          <t>N/A</t>
        </is>
      </c>
      <c r="AM10" s="610" t="inlineStr">
        <is>
          <t>N/A</t>
        </is>
      </c>
      <c r="AN10" s="610" t="inlineStr">
        <is>
          <t>N/A</t>
        </is>
      </c>
      <c r="AO10" s="610" t="inlineStr">
        <is>
          <t>N/A</t>
        </is>
      </c>
      <c r="AP10" s="610" t="inlineStr">
        <is>
          <t>N/A</t>
        </is>
      </c>
      <c r="AQ10" s="610" t="inlineStr">
        <is>
          <t>N/A</t>
        </is>
      </c>
      <c r="AR10" s="610" t="inlineStr">
        <is>
          <t>N/A</t>
        </is>
      </c>
      <c r="AS10" s="610" t="inlineStr">
        <is>
          <t>N/A</t>
        </is>
      </c>
      <c r="AT10" s="610" t="inlineStr">
        <is>
          <t>Renewable electricity consumption quota / RPS mechanism — minimum proportion targets for keyenergy-using industries</t>
        </is>
      </c>
      <c r="AU10" s="610" t="inlineStr">
        <is>
          <t>Annual minimum renewable energy consumption proportion targets for key energy-using industries; nota GHG emissions cap.</t>
        </is>
      </c>
      <c r="AV10" s="610"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W10" s="610" t="inlineStr">
        <is>
          <t>N/A; this system allocates renewable energy consumption minimum proportion targets, not freeemission allowances.</t>
        </is>
      </c>
      <c r="AX10" s="610" t="inlineStr">
        <is>
          <t>N/A; GECs and excess consumption amounts are used to fulfil renewable energy consumption proportiontargets, not as GHG emission offsets.</t>
        </is>
      </c>
      <c r="AY10" s="610" t="inlineStr">
        <is>
          <t>Interconnects with the green certificate market under CHNTRARECI02S000 and the excess consumption responsibility weight system under CHNTRARECI01S000.</t>
        </is>
      </c>
      <c r="AZ10" s="610" t="inlineStr">
        <is>
          <t>N/A</t>
        </is>
      </c>
      <c r="BA10" s="610" t="inlineStr">
        <is>
          <t>N/A</t>
        </is>
      </c>
      <c r="BB10" s="610" t="inlineStr">
        <is>
          <t>N/A</t>
        </is>
      </c>
      <c r="BC10" s="610"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D10" s="610" t="inlineStr">
        <is>
          <t>N/A</t>
        </is>
      </c>
      <c r="BE10" s="610" t="inlineStr">
        <is>
          <t>N/A</t>
        </is>
      </c>
      <c r="BF10" s="610" t="inlineStr">
        <is>
          <t>D35</t>
        </is>
      </c>
      <c r="BG10" s="610" t="inlineStr">
        <is>
          <t>CO2</t>
        </is>
      </c>
      <c r="BH10" s="610" t="inlineStr">
        <is>
          <t>positive</t>
        </is>
      </c>
      <c r="BI10" s="610" t="inlineStr">
        <is>
          <t>Pollution control; Technological innovation</t>
        </is>
      </c>
      <c r="BJ10" s="610" t="inlineStr">
        <is>
          <t>Implementation Measures for the Renewable Energy Consumption Minimum Proportion Target and Renewable Electricity Consumption Responsibility Weight System (NDRC Order No. 42)</t>
        </is>
      </c>
      <c r="BK10" s="610" t="inlineStr">
        <is>
          <t>https://www.ndrc.gov.cn/xxgk/zcfb/fzggwl/202606/t20260612_1405837.html</t>
        </is>
      </c>
      <c r="BL10" s="610" t="inlineStr">
        <is>
          <t>https://www.ndrc.gov.cn/xxgk/zcfb/fzggwl/202606/t20260612_1405837.html</t>
        </is>
      </c>
      <c r="BM10" s="610" t="inlineStr"/>
    </row>
    <row r="11">
      <c r="A11" s="610" t="inlineStr">
        <is>
          <t>CHNTRATPSI01S000</t>
        </is>
      </c>
      <c r="B11" s="610" t="inlineStr">
        <is>
          <t>Instrument</t>
        </is>
      </c>
      <c r="C11" s="610" t="inlineStr">
        <is>
          <t>Trading scheme</t>
        </is>
      </c>
      <c r="D11" s="610" t="inlineStr">
        <is>
          <t>Tradable performance standards</t>
        </is>
      </c>
      <c r="E11" s="610" t="inlineStr">
        <is>
          <t>Transport</t>
        </is>
      </c>
      <c r="F11" s="610" t="inlineStr">
        <is>
          <t>Road transport</t>
        </is>
      </c>
      <c r="G11" s="610" t="inlineStr">
        <is>
          <t>乘用车企业平均燃料消耗量与新能源汽车积分并行管理办法</t>
        </is>
      </c>
      <c r="H11" s="610" t="inlineStr">
        <is>
          <t>Passenger vehicle CAFC and NEV dual-credit trading scheme</t>
        </is>
      </c>
      <c r="I11" s="610" t="inlineStr">
        <is>
          <t>N/A</t>
        </is>
      </c>
      <c r="J11" s="610"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610" t="inlineStr">
        <is>
          <t>Energy efficiency; Industrial development</t>
        </is>
      </c>
      <c r="L11" s="610" t="inlineStr">
        <is>
          <t>Direct</t>
        </is>
      </c>
      <c r="M11" s="610" t="inlineStr">
        <is>
          <t>national</t>
        </is>
      </c>
      <c r="N11" s="610" t="inlineStr">
        <is>
          <t>N/A</t>
        </is>
      </c>
      <c r="O11" s="610" t="inlineStr">
        <is>
          <t>27/09/2017</t>
        </is>
      </c>
      <c r="P11" s="610" t="inlineStr">
        <is>
          <t>01/04/2018</t>
        </is>
      </c>
      <c r="Q11" s="610" t="inlineStr">
        <is>
          <t>N/A</t>
        </is>
      </c>
      <c r="R11" s="610" t="inlineStr">
        <is>
          <t>07/11/2025</t>
        </is>
      </c>
      <c r="S11" s="610"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T11" s="610">
        <f>IF(P11="","In force",IF(P11="N/A","In force",IF(TODAY()&lt;DATE(VALUE(RIGHT(P11,4)),VALUE(MID(P11,4,2)),VALUE(LEFT(P11,2))),"Scheduled",IF(Q11="","In force",IF(Q11="N/A","In force",IF(TODAY()&lt;DATE(VALUE(RIGHT(Q11,4)),VALUE(MID(Q11,4,2)),VALUE(LEFT(Q11,2))),"In force","Ended"))))))</f>
        <v/>
      </c>
      <c r="U11" s="610" t="inlineStr">
        <is>
          <t>Ministry of Industry and Information Technology; Ministry of Finance;Ministry of Commerce; General Administration of Customs; StateAdministration for Market Regulation</t>
        </is>
      </c>
      <c r="V11" s="610" t="inlineStr">
        <is>
          <t>Road transport vehicles</t>
        </is>
      </c>
      <c r="W11" s="610" t="inlineStr">
        <is>
          <t>New</t>
        </is>
      </c>
      <c r="X11" s="610" t="inlineStr">
        <is>
          <t>Passenger vehicles sold in China, including domestically produced andimported passenger vehicles. The parent instrument covers both CAFC and NEVcredits.</t>
        </is>
      </c>
      <c r="Y11" s="610" t="inlineStr">
        <is>
          <t>N/A</t>
        </is>
      </c>
      <c r="Z11" s="610" t="inlineStr">
        <is>
          <t>Passenger vehicle enterprises with annual production or import volume of2,000 units or more are subject to credit accounting.</t>
        </is>
      </c>
      <c r="AA11" s="610" t="inlineStr">
        <is>
          <t>Firms</t>
        </is>
      </c>
      <c r="AB11" s="610" t="inlineStr">
        <is>
          <t>Domestic passenger vehicle manufacturers and import passenger vehiclesupply enterprises in China.</t>
        </is>
      </c>
      <c r="AC11" s="610" t="inlineStr">
        <is>
          <t>Production, manufacture, distribution or import</t>
        </is>
      </c>
      <c r="AD11" s="610" t="inlineStr">
        <is>
          <t>Passenger vehicle production, import and sales; CAFC/NEV credit accounting,carry-forward, transfer, trading, credit pool management and negativecredit offset.</t>
        </is>
      </c>
      <c r="AE11" s="610" t="inlineStr">
        <is>
          <t>N/A</t>
        </is>
      </c>
      <c r="AF11" s="610" t="inlineStr">
        <is>
          <t>N/A</t>
        </is>
      </c>
      <c r="AG11" s="610"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H11" s="610" t="inlineStr">
        <is>
          <t>Passenger vehicle enterprises must separately meet CAFC credit and NEVcredit requirements; negative credits must be offset to zero in accordancewith the measures.</t>
        </is>
      </c>
      <c r="AI11" s="610" t="inlineStr">
        <is>
          <t>CAFC credits are calculated as the difference between the enterprise CAFCcompliance value and actual value multiplied by the enterprise passengervehicle accounting quantity.</t>
        </is>
      </c>
      <c r="AJ11" s="610" t="inlineStr">
        <is>
          <t>The NEV credit target is determined by the accounting quantity ofconventional energy passenger vehicles multiplied by the annual NEV creditratio. The difference between the actual value and the target valuegenerates positive/negative credits.</t>
        </is>
      </c>
      <c r="AK11" s="610" t="inlineStr">
        <is>
          <t>N/A</t>
        </is>
      </c>
      <c r="AL11" s="610" t="inlineStr">
        <is>
          <t>N/A</t>
        </is>
      </c>
      <c r="AM11" s="610" t="inlineStr">
        <is>
          <t>N/A</t>
        </is>
      </c>
      <c r="AN11" s="610" t="inlineStr">
        <is>
          <t>N/A</t>
        </is>
      </c>
      <c r="AO11" s="610" t="inlineStr">
        <is>
          <t>N/A</t>
        </is>
      </c>
      <c r="AP11" s="610" t="inlineStr">
        <is>
          <t>N/A</t>
        </is>
      </c>
      <c r="AQ11" s="610" t="inlineStr">
        <is>
          <t>N/A</t>
        </is>
      </c>
      <c r="AR11" s="610" t="inlineStr">
        <is>
          <t>N/A</t>
        </is>
      </c>
      <c r="AS11" s="610" t="inlineStr">
        <is>
          <t>N/A</t>
        </is>
      </c>
      <c r="AT11" s="610" t="inlineStr">
        <is>
          <t>Tradable performance standard; parallel management mechanism for passengervehicle corporate average fuel consumption credits and new energy vehiclecredits.</t>
        </is>
      </c>
      <c r="AU11" s="610" t="inlineStr">
        <is>
          <t>No fixed absolute cap is set; compliance obligations are jointly determinedby corporate fuel consumption compliance values, NEV credit ratiorequirements and enterprise production/import volumes.</t>
        </is>
      </c>
      <c r="AV11" s="610" t="inlineStr">
        <is>
          <t>Credits are calculated from vehicle model fuel consumption performance, NEVmodel credits and annual production/import volumes. Positive credits may becarried forward, transferred, traded or deposited into the credit pool inaccordance with the measures.</t>
        </is>
      </c>
      <c r="AW11" s="610" t="inlineStr">
        <is>
          <t>N/A; this system does not allocate free allowances; credits are generatedfrom enterprise performance calculations.</t>
        </is>
      </c>
      <c r="AX11" s="610" t="inlineStr">
        <is>
          <t>Allowed. CAFC negative credits may be offset using CAFC positive creditsand NEV positive credits in accordance with the rules. NEV negative creditsare primarily offset through the purchase of NEV positive credits.</t>
        </is>
      </c>
      <c r="AY11" s="610" t="inlineStr">
        <is>
          <t>N/A</t>
        </is>
      </c>
      <c r="AZ11" s="610" t="inlineStr">
        <is>
          <t>The 2023 revision established a NEV credit pool management system. CAFCpositive credits are also subject to carry-forward and affiliatedenterprise transfer rules.</t>
        </is>
      </c>
      <c r="BA11" s="610" t="inlineStr">
        <is>
          <t>N/A</t>
        </is>
      </c>
      <c r="BB11" s="610" t="inlineStr">
        <is>
          <t>N/A</t>
        </is>
      </c>
      <c r="BC11" s="610"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D11" s="610" t="inlineStr">
        <is>
          <t>N/A</t>
        </is>
      </c>
      <c r="BE11" s="610" t="inlineStr">
        <is>
          <t>N/A</t>
        </is>
      </c>
      <c r="BF11" s="610" t="inlineStr">
        <is>
          <t>C29; G45</t>
        </is>
      </c>
      <c r="BG11" s="610" t="inlineStr">
        <is>
          <t>CO2</t>
        </is>
      </c>
      <c r="BH11" s="610" t="inlineStr">
        <is>
          <t>Positive</t>
        </is>
      </c>
      <c r="BI11" s="610" t="inlineStr">
        <is>
          <t>Pollution control; Energy security; Technological innovation; Industrial development</t>
        </is>
      </c>
      <c r="BJ11" s="610" t="inlineStr">
        <is>
          <t>Measures for the Parallel Management of Corporate Average Fuel Consumptionand New Energy Vehicle Credits of Passenger Vehicle Enterprises</t>
        </is>
      </c>
      <c r="BK11" s="610" t="inlineStr">
        <is>
          <t>https://www.gov.cn/zhengce/2022-11/27/content_5722693.htm</t>
        </is>
      </c>
      <c r="BL11" s="61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1" s="610" t="inlineStr"/>
    </row>
    <row r="12">
      <c r="A12" s="464" t="inlineStr">
        <is>
          <t>CHNTRATPSI01S001</t>
        </is>
      </c>
      <c r="B12" s="464" t="inlineStr">
        <is>
          <t>Subscheme</t>
        </is>
      </c>
      <c r="C12" s="464" t="inlineStr">
        <is>
          <t>Trading scheme</t>
        </is>
      </c>
      <c r="D12" s="464" t="inlineStr">
        <is>
          <t>Tradable performance standards</t>
        </is>
      </c>
      <c r="E12" s="464" t="inlineStr">
        <is>
          <t>Transport</t>
        </is>
      </c>
      <c r="F12" s="464" t="inlineStr">
        <is>
          <t>Road transport</t>
        </is>
      </c>
      <c r="G12" s="464" t="inlineStr">
        <is>
          <t>乘用车企业平均燃料消耗量积分子方案</t>
        </is>
      </c>
      <c r="H12" s="464" t="inlineStr">
        <is>
          <t>Passenger vehicle corporate average fuel consumption credit subscheme</t>
        </is>
      </c>
      <c r="I12" s="464" t="inlineStr">
        <is>
          <t>Passenger vehicle CAFC and NEV dual-credit trading scheme</t>
        </is>
      </c>
      <c r="J12" s="464"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464" t="inlineStr">
        <is>
          <t>Energy efficiency</t>
        </is>
      </c>
      <c r="L12" s="464" t="inlineStr">
        <is>
          <t>Direct</t>
        </is>
      </c>
      <c r="M12" s="464" t="inlineStr">
        <is>
          <t>national</t>
        </is>
      </c>
      <c r="N12" s="464" t="inlineStr">
        <is>
          <t>N/A</t>
        </is>
      </c>
      <c r="O12" s="464" t="inlineStr">
        <is>
          <t>27/09/2017</t>
        </is>
      </c>
      <c r="P12" s="464" t="inlineStr">
        <is>
          <t>01/04/2018</t>
        </is>
      </c>
      <c r="Q12" s="464" t="inlineStr">
        <is>
          <t>N/A</t>
        </is>
      </c>
      <c r="R12" s="464" t="inlineStr">
        <is>
          <t>07/11/2025</t>
        </is>
      </c>
      <c r="S12" s="464"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T12" s="464">
        <f>IF(P12="","In force",IF(P12="N/A","In force",IF(TODAY()&lt;DATE(VALUE(RIGHT(P12,4)),VALUE(MID(P12,4,2)),VALUE(LEFT(P12,2))),"Scheduled",IF(Q12="","In force",IF(Q12="N/A","In force",IF(TODAY()&lt;DATE(VALUE(RIGHT(Q12,4)),VALUE(MID(Q12,4,2)),VALUE(LEFT(Q12,2))),"In force","Ended"))))))</f>
        <v/>
      </c>
      <c r="U12" s="464" t="inlineStr">
        <is>
          <t>Ministry of Industry and Information Technology; Ministry of Finance;Ministry of Commerce; General Administration of Customs; StateAdministration for Market Regulation</t>
        </is>
      </c>
      <c r="V12" s="464" t="inlineStr">
        <is>
          <t>Road transport vehicles</t>
        </is>
      </c>
      <c r="W12" s="464" t="inlineStr">
        <is>
          <t>New</t>
        </is>
      </c>
      <c r="X12" s="464" t="inlineStr">
        <is>
          <t>Passenger vehicles sold in China, including domestically produced andimported passenger vehicles, for the purpose of CAFC credit accounting.</t>
        </is>
      </c>
      <c r="Y12" s="464" t="inlineStr">
        <is>
          <t>N/A</t>
        </is>
      </c>
      <c r="Z12" s="464" t="inlineStr">
        <is>
          <t>Passenger vehicle enterprises with annual production or import volume of2,000 units or more are subject to CAFC credit accounting.</t>
        </is>
      </c>
      <c r="AA12" s="464" t="inlineStr">
        <is>
          <t>Firms</t>
        </is>
      </c>
      <c r="AB12" s="464" t="inlineStr">
        <is>
          <t>Domestic passenger vehicle manufacturers and import passenger vehiclesupply enterprises in China.</t>
        </is>
      </c>
      <c r="AC12" s="464" t="inlineStr">
        <is>
          <t>Production, manufacture, distribution or import</t>
        </is>
      </c>
      <c r="AD12" s="464" t="inlineStr">
        <is>
          <t>Passenger vehicle production, import and sales; CAFC credit accounting,carry-forward, transfer and negative credit offset.</t>
        </is>
      </c>
      <c r="AE12" s="464" t="inlineStr">
        <is>
          <t>N/A</t>
        </is>
      </c>
      <c r="AF12" s="464" t="inlineStr">
        <is>
          <t>L/100 km</t>
        </is>
      </c>
      <c r="AG12" s="464" t="inlineStr">
        <is>
          <t>Enterprise-level intensity is calculated by weighting vehicle-model fuel consumption target values and actual values by production or import volume; the measures do not provide a single fixed intensity value.</t>
        </is>
      </c>
      <c r="AH12" s="464" t="inlineStr">
        <is>
          <t>Passenger vehicle enterprises must meet CAFC compliance values; CAFCnegative credits must be offset to zero through carry-forward, transfer orpurchase of positive credits in accordance with the measures.</t>
        </is>
      </c>
      <c r="AI12" s="464" t="inlineStr">
        <is>
          <t>CAFC credits are calculated as the difference between the enterprise CAFCcompliance value and actual value multiplied by the enterprise passengervehicle accounting quantity.</t>
        </is>
      </c>
      <c r="AJ12" s="464" t="inlineStr">
        <is>
          <t>CAFC negative credits may be offset using the enterprise's owncarried-forward or transferred CAFC positive credits, or NEV positivecredits. Specific accounting and offset rules are set out in the measures.</t>
        </is>
      </c>
      <c r="AK12" s="464" t="inlineStr">
        <is>
          <t>N/A</t>
        </is>
      </c>
      <c r="AL12" s="464" t="inlineStr">
        <is>
          <t>N/A</t>
        </is>
      </c>
      <c r="AM12" s="464" t="inlineStr">
        <is>
          <t>N/A</t>
        </is>
      </c>
      <c r="AN12" s="464" t="inlineStr">
        <is>
          <t>N/A</t>
        </is>
      </c>
      <c r="AO12" s="464" t="inlineStr">
        <is>
          <t>N/A</t>
        </is>
      </c>
      <c r="AP12" s="464" t="inlineStr">
        <is>
          <t>N/A</t>
        </is>
      </c>
      <c r="AQ12" s="464" t="inlineStr">
        <is>
          <t>N/A</t>
        </is>
      </c>
      <c r="AR12" s="464" t="inlineStr">
        <is>
          <t>N/A</t>
        </is>
      </c>
      <c r="AS12" s="464" t="inlineStr">
        <is>
          <t>N/A</t>
        </is>
      </c>
      <c r="AT12" s="464" t="inlineStr">
        <is>
          <t>CAFC tradable/transferable performance credit subscheme.</t>
        </is>
      </c>
      <c r="AU12" s="464" t="inlineStr">
        <is>
          <t>No fixed absolute cap is set; enterprise obligations are determined by thecorporate average fuel consumption compliance value and enterpriseproduction/import volumes.</t>
        </is>
      </c>
      <c r="AV12" s="464" t="inlineStr">
        <is>
          <t>CAFC positive/negative credits are calculated from the difference betweencorporate average fuel consumption compliance values and actual values.Positive credits may be carried forward or transferred between affiliatedenterprises.</t>
        </is>
      </c>
      <c r="AW12" s="464" t="inlineStr">
        <is>
          <t>N/A; credits are generated from enterprise fuel consumption performance calculations.</t>
        </is>
      </c>
      <c r="AX12" s="464" t="inlineStr">
        <is>
          <t>Allowed. CAFC negative credits may be offset using the enterprise's owncarried-forward or transferred CAFC positive credits and NEV positivecredits.</t>
        </is>
      </c>
      <c r="AY12" s="464" t="inlineStr">
        <is>
          <t>Linked with the NEV credit subscheme; NEV positive credits may be used tooffset CAFC negative credits.</t>
        </is>
      </c>
      <c r="AZ12" s="464" t="inlineStr">
        <is>
          <t>CAFC positive credits are subject to carry-forward and affiliatedenterprise transfer rules; negative credits may be offset by NEV positivecredits.</t>
        </is>
      </c>
      <c r="BA12" s="464" t="inlineStr">
        <is>
          <t>N/A</t>
        </is>
      </c>
      <c r="BB12" s="464" t="inlineStr">
        <is>
          <t>N/A</t>
        </is>
      </c>
      <c r="BC12" s="464" t="inlineStr">
        <is>
          <t>Enterprises with CAFC negative credits not fully offset to zero must submitan adjustment plan and may be subject to restrictions on vehicle modelnotification, product filing or import management.</t>
        </is>
      </c>
      <c r="BD12" s="464" t="inlineStr">
        <is>
          <t>N/A</t>
        </is>
      </c>
      <c r="BE12" s="464" t="inlineStr">
        <is>
          <t>N/A</t>
        </is>
      </c>
      <c r="BF12" s="464" t="inlineStr">
        <is>
          <t>C29; G45</t>
        </is>
      </c>
      <c r="BG12" s="464" t="inlineStr">
        <is>
          <t>CO2</t>
        </is>
      </c>
      <c r="BH12" s="464" t="inlineStr">
        <is>
          <t>Positive</t>
        </is>
      </c>
      <c r="BI12" s="464" t="inlineStr">
        <is>
          <t>Pollution control; Energy security; Technological innovation</t>
        </is>
      </c>
      <c r="BJ12" s="464" t="inlineStr">
        <is>
          <t>Measures for the Parallel Management of Corporate Average Fuel Consumptionand New Energy Vehicle Credits of Passenger Vehicle Enterprises</t>
        </is>
      </c>
      <c r="BK12" s="464" t="inlineStr">
        <is>
          <t>https://www.gov.cn/zhengce/2022-11/27/content_5722693.htm</t>
        </is>
      </c>
      <c r="BL12"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2" s="464" t="inlineStr"/>
    </row>
    <row r="13">
      <c r="A13" s="464" t="inlineStr">
        <is>
          <t>CHNTRATPSI01S002</t>
        </is>
      </c>
      <c r="B13" s="464" t="inlineStr">
        <is>
          <t>Subscheme</t>
        </is>
      </c>
      <c r="C13" s="464" t="inlineStr">
        <is>
          <t>Trading scheme</t>
        </is>
      </c>
      <c r="D13" s="464" t="inlineStr">
        <is>
          <t>Tradable performance standards</t>
        </is>
      </c>
      <c r="E13" s="464" t="inlineStr">
        <is>
          <t>Transport</t>
        </is>
      </c>
      <c r="F13" s="464" t="inlineStr">
        <is>
          <t>Road transport</t>
        </is>
      </c>
      <c r="G13" s="464" t="inlineStr">
        <is>
          <t>乘用车企业新能源汽车积分子方案</t>
        </is>
      </c>
      <c r="H13" s="464" t="inlineStr">
        <is>
          <t>Passenger vehicle new energy vehicle credit subscheme</t>
        </is>
      </c>
      <c r="I13" s="464" t="inlineStr">
        <is>
          <t>Passenger vehicle CAFC and NEV dual-credit trading scheme</t>
        </is>
      </c>
      <c r="J13" s="464"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464" t="inlineStr">
        <is>
          <t>Industrial development; Energy efficiency</t>
        </is>
      </c>
      <c r="L13" s="464" t="inlineStr">
        <is>
          <t>Direct</t>
        </is>
      </c>
      <c r="M13" s="464" t="inlineStr">
        <is>
          <t>national</t>
        </is>
      </c>
      <c r="N13" s="464" t="inlineStr">
        <is>
          <t>N/A</t>
        </is>
      </c>
      <c r="O13" s="464" t="inlineStr">
        <is>
          <t>27/09/2017</t>
        </is>
      </c>
      <c r="P13" s="464" t="inlineStr">
        <is>
          <t>01/04/2018</t>
        </is>
      </c>
      <c r="Q13" s="464" t="inlineStr">
        <is>
          <t>N/A</t>
        </is>
      </c>
      <c r="R13" s="464" t="inlineStr">
        <is>
          <t>07/11/2025</t>
        </is>
      </c>
      <c r="S13" s="464" t="inlineStr">
        <is>
          <t>On 7 November 2025, the Ministry of Industry and Information Technologyissued a notice on 2026-2027 credit management matters, setting NEV creditratios at 48% for 2026 and 58% for 2027, and clarifying NEV model creditcalculation methods.</t>
        </is>
      </c>
      <c r="T13" s="464">
        <f>IF(P13="","In force",IF(P13="N/A","In force",IF(TODAY()&lt;DATE(VALUE(RIGHT(P13,4)),VALUE(MID(P13,4,2)),VALUE(LEFT(P13,2))),"Scheduled",IF(Q13="","In force",IF(Q13="N/A","In force",IF(TODAY()&lt;DATE(VALUE(RIGHT(Q13,4)),VALUE(MID(Q13,4,2)),VALUE(LEFT(Q13,2))),"In force","Ended"))))))</f>
        <v/>
      </c>
      <c r="U13" s="464" t="inlineStr">
        <is>
          <t>Ministry of Industry and Information Technology; Ministry of Finance;Ministry of Commerce; General Administration of Customs; StateAdministration for Market Regulation</t>
        </is>
      </c>
      <c r="V13" s="464" t="inlineStr">
        <is>
          <t>Road transport vehicles</t>
        </is>
      </c>
      <c r="W13" s="464" t="inlineStr">
        <is>
          <t>New</t>
        </is>
      </c>
      <c r="X13" s="464" t="inlineStr">
        <is>
          <t>New energy passenger vehicles sold in China, including domesticallyproduced and imported NEVs, for the purpose of NEV credit accounting.</t>
        </is>
      </c>
      <c r="Y13" s="464" t="inlineStr">
        <is>
          <t>N/A</t>
        </is>
      </c>
      <c r="Z13" s="464" t="inlineStr">
        <is>
          <t>Passenger vehicle enterprises with annual production or import volume of2,000 units or more are subject to NEV credit accounting.</t>
        </is>
      </c>
      <c r="AA13" s="464" t="inlineStr">
        <is>
          <t>Firms</t>
        </is>
      </c>
      <c r="AB13" s="464" t="inlineStr">
        <is>
          <t>Domestic passenger vehicle manufacturers and import passenger vehiclesupply enterprises in China.</t>
        </is>
      </c>
      <c r="AC13" s="464" t="inlineStr">
        <is>
          <t>Production, manufacture, distribution or import</t>
        </is>
      </c>
      <c r="AD13" s="464" t="inlineStr">
        <is>
          <t>NEV production, import and sales; NEV credit accounting, trading, creditpool deposit/withdrawal and negative credit offset.</t>
        </is>
      </c>
      <c r="AE13" s="464" t="inlineStr">
        <is>
          <t>48; 58</t>
        </is>
      </c>
      <c r="AF13" s="464" t="inlineStr">
        <is>
          <t>As a share of the accounting quantity of conventional energy passenger vehicles</t>
        </is>
      </c>
      <c r="AG13" s="464" t="inlineStr">
        <is>
          <t>The NEV credit proportion requirements for 2026 and 2027 are 48% and 58% respectively (Source: MIIT notice of 2025).</t>
        </is>
      </c>
      <c r="AH13" s="464" t="inlineStr">
        <is>
          <t>Passenger vehicle enterprises must meet the annual NEV credit ratiorequirement; NEV negative credits must be offset to zero through thepurchase of NEV positive credits in accordance with the measures.</t>
        </is>
      </c>
      <c r="AI13" s="464" t="inlineStr">
        <is>
          <t>The NEV credit target is determined by the accounting quantity ofconventional energy passenger vehicles multiplied by the annual NEV creditratio.</t>
        </is>
      </c>
      <c r="AJ13" s="464" t="inlineStr">
        <is>
          <t>NEV negative credits are offset through the purchase of NEV positivecredits. NEV positive credits may also be used to offset CAFC negativecredits. The NEV credit pool may be used to regulate credit supply anddemand.</t>
        </is>
      </c>
      <c r="AK13" s="464" t="inlineStr">
        <is>
          <t>N/A</t>
        </is>
      </c>
      <c r="AL13" s="464" t="inlineStr">
        <is>
          <t>N/A</t>
        </is>
      </c>
      <c r="AM13" s="464" t="inlineStr">
        <is>
          <t>N/A</t>
        </is>
      </c>
      <c r="AN13" s="464" t="inlineStr">
        <is>
          <t>N/A</t>
        </is>
      </c>
      <c r="AO13" s="464" t="inlineStr">
        <is>
          <t>N/A</t>
        </is>
      </c>
      <c r="AP13" s="464" t="inlineStr">
        <is>
          <t>N/A</t>
        </is>
      </c>
      <c r="AQ13" s="464" t="inlineStr">
        <is>
          <t>N/A</t>
        </is>
      </c>
      <c r="AR13" s="464" t="inlineStr">
        <is>
          <t>N/A</t>
        </is>
      </c>
      <c r="AS13" s="464" t="inlineStr">
        <is>
          <t>N/A</t>
        </is>
      </c>
      <c r="AT13" s="464" t="inlineStr">
        <is>
          <t>NEV tradable performance credit subscheme.</t>
        </is>
      </c>
      <c r="AU13" s="464" t="inlineStr">
        <is>
          <t>No fixed absolute cap is set; annual targets are determined by theaccounting quantity of conventional energy passenger vehicles and the NEVcredit ratio requirement.</t>
        </is>
      </c>
      <c r="AV13" s="464" t="inlineStr">
        <is>
          <t>NEV positive/negative credits are calculated from enterprise NEV modelcredits and production/import volumes. NEV positive credits are tradableand may be deposited into or withdrawn from the credit pool in accordancewith the rules.</t>
        </is>
      </c>
      <c r="AW13" s="464" t="inlineStr">
        <is>
          <t>N/A; credits are generated from enterprise NEV production/import performance calculations.</t>
        </is>
      </c>
      <c r="AX13" s="464" t="inlineStr">
        <is>
          <t>Allowed. NEV negative credits are offset through the purchase of NEVpositive credits and other means. NEV positive credits may also be used tooffset CAFC negative credits.</t>
        </is>
      </c>
      <c r="AY13" s="464" t="inlineStr">
        <is>
          <t>Linked with the CAFC credit subscheme; NEV positive credits may be used tooffset CAFC negative credits.</t>
        </is>
      </c>
      <c r="AZ13" s="464" t="inlineStr">
        <is>
          <t>The 2023 revision established a NEV credit pool management system toregulate credit supply and demand.</t>
        </is>
      </c>
      <c r="BA13" s="464" t="inlineStr">
        <is>
          <t>N/A</t>
        </is>
      </c>
      <c r="BB13" s="464" t="inlineStr">
        <is>
          <t>N/A</t>
        </is>
      </c>
      <c r="BC13" s="464" t="inlineStr">
        <is>
          <t>Enterprises with NEV negative credits not fully offset to zero must submitan adjustment plan and may be subject to restrictions on vehicle modelnotification, product filing or import management.</t>
        </is>
      </c>
      <c r="BD13" s="464" t="inlineStr">
        <is>
          <t>N/A</t>
        </is>
      </c>
      <c r="BE13" s="464" t="inlineStr">
        <is>
          <t>N/A</t>
        </is>
      </c>
      <c r="BF13" s="464" t="inlineStr">
        <is>
          <t>C29; G45</t>
        </is>
      </c>
      <c r="BG13" s="464" t="inlineStr">
        <is>
          <t>CO2</t>
        </is>
      </c>
      <c r="BH13" s="464" t="inlineStr">
        <is>
          <t>Positive</t>
        </is>
      </c>
      <c r="BI13" s="464" t="inlineStr">
        <is>
          <t>Pollution control; Energy security; Technological innovation; Industrial development</t>
        </is>
      </c>
      <c r="BJ13" s="464" t="inlineStr">
        <is>
          <t>Measures for the Parallel Management of Corporate Average Fuel Consumptionand New Energy Vehicle Credits of Passenger Vehicle Enterprises</t>
        </is>
      </c>
      <c r="BK13" s="464" t="inlineStr">
        <is>
          <t>https://www.gov.cn/zhengce/2022-11/27/content_5722693.htm</t>
        </is>
      </c>
      <c r="BL13"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3" s="464" t="inlineStr"/>
    </row>
    <row r="14">
      <c r="A14" s="610" t="inlineStr">
        <is>
          <t>CHNSUBTISI01S000</t>
        </is>
      </c>
      <c r="B14" s="610" t="inlineStr">
        <is>
          <t>Instrument</t>
        </is>
      </c>
      <c r="C14" s="610" t="inlineStr">
        <is>
          <t>Subsidy</t>
        </is>
      </c>
      <c r="D14" s="610" t="inlineStr">
        <is>
          <t>Trade-in subsidy</t>
        </is>
      </c>
      <c r="E14" s="610" t="inlineStr">
        <is>
          <t>Transport</t>
        </is>
      </c>
      <c r="F14" s="610" t="inlineStr">
        <is>
          <t>Water transport; inland shipping; coastal shipping</t>
        </is>
      </c>
      <c r="G14" s="610" t="inlineStr">
        <is>
          <t>老旧营运船舶报废更新补贴</t>
        </is>
      </c>
      <c r="H14" s="610" t="inlineStr">
        <is>
          <t>Old operating ship scrapping and renewal subsidy</t>
        </is>
      </c>
      <c r="I14" s="610" t="inlineStr">
        <is>
          <t>Large-scale equipment renewal and consumer goods trade-in</t>
        </is>
      </c>
      <c r="J14" s="610"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610" t="inlineStr">
        <is>
          <t>Green economy; Climate change mitigation; Energy efficiency</t>
        </is>
      </c>
      <c r="L14" s="610" t="inlineStr">
        <is>
          <t>Direct</t>
        </is>
      </c>
      <c r="M14" s="610" t="inlineStr">
        <is>
          <t>national</t>
        </is>
      </c>
      <c r="N14" s="610" t="inlineStr">
        <is>
          <t>N/A</t>
        </is>
      </c>
      <c r="O14" s="610" t="inlineStr">
        <is>
          <t>07/03/2024</t>
        </is>
      </c>
      <c r="P14" s="610" t="inlineStr">
        <is>
          <t>01/04/2024</t>
        </is>
      </c>
      <c r="Q14" s="610" t="inlineStr">
        <is>
          <t>31/12/2028</t>
        </is>
      </c>
      <c r="R14" s="610" t="inlineStr">
        <is>
          <t>N/A</t>
        </is>
      </c>
      <c r="S14" s="610" t="inlineStr">
        <is>
          <t>No subsequent amendment documents specifically revising 交办水〔2024〕60号 were found.</t>
        </is>
      </c>
      <c r="T14" s="610">
        <f>IF(P14="","In force",IF(P14="N/A","In force",IF(TODAY()&lt;DATE(VALUE(RIGHT(P14,4)),VALUE(MID(P14,4,2)),VALUE(LEFT(P14,2))),"Scheduled",IF(Q14="","In force",IF(Q14="N/A","In force",IF(TODAY()&lt;DATE(VALUE(RIGHT(Q14,4)),VALUE(MID(Q14,4,2)),VALUE(LEFT(Q14,2))),"In force","Ended"))))))</f>
        <v/>
      </c>
      <c r="U14" s="610"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V14" s="610" t="inlineStr">
        <is>
          <t>Water vessels</t>
        </is>
      </c>
      <c r="W14" s="610" t="inlineStr">
        <is>
          <t>Existing</t>
        </is>
      </c>
      <c r="X14" s="610"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Y14" s="610" t="inlineStr">
        <is>
          <t>N/A</t>
        </is>
      </c>
      <c r="Z14" s="610" t="inlineStr">
        <is>
          <t>Coastal transport ships aged ≥20 years; inland waterway transport ships aged ≥15 years. Ships must be operating ships holding valid certificates. Retired ships must complete scrapping and obtain a scrapping certificate.</t>
        </is>
      </c>
      <c r="AA14" s="610" t="inlineStr">
        <is>
          <t>Firms</t>
        </is>
      </c>
      <c r="AB14" s="610" t="inlineStr">
        <is>
          <t>Shipping enterprises holding valid waterway transport operating permits (ship owners or operators), including state-owned and private shipping enterprises engaged in coastal and inland waterway passenger and cargo transport.</t>
        </is>
      </c>
      <c r="AC14" s="610" t="inlineStr">
        <is>
          <t>Disposal, collection or sorting (post-consumer); purchase or use</t>
        </is>
      </c>
      <c r="AD14" s="610"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E14" s="610" t="inlineStr">
        <is>
          <t>1200-3500</t>
        </is>
      </c>
      <c r="AF14" s="610" t="inlineStr">
        <is>
          <t>CNY/GT</t>
        </is>
      </c>
      <c r="AG14" s="610"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H14" s="610"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I14" s="610" t="inlineStr">
        <is>
          <t>N/A</t>
        </is>
      </c>
      <c r="AJ14" s="610"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K14" s="610" t="inlineStr">
        <is>
          <t>N/A</t>
        </is>
      </c>
      <c r="AL14" s="610" t="inlineStr">
        <is>
          <t>N/A</t>
        </is>
      </c>
      <c r="AM14" s="610" t="inlineStr">
        <is>
          <t>N/A</t>
        </is>
      </c>
      <c r="AN14" s="610" t="inlineStr">
        <is>
          <t>N/A</t>
        </is>
      </c>
      <c r="AO14" s="610"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P14" s="610" t="inlineStr">
        <is>
          <t>N/A</t>
        </is>
      </c>
      <c r="AQ14" s="610"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R14" s="610" t="inlineStr">
        <is>
          <t>Implemented from April 2024 through 31 December 2028. Subsidy applications must be submitted within the policy validity period; scrapping and newbuilding construction must be completed within prescribed time limits.</t>
        </is>
      </c>
      <c r="AS14" s="610"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T14" s="610" t="inlineStr">
        <is>
          <t>N/A</t>
        </is>
      </c>
      <c r="AU14" s="610" t="inlineStr">
        <is>
          <t>N/A</t>
        </is>
      </c>
      <c r="AV14" s="610" t="inlineStr">
        <is>
          <t>N/A</t>
        </is>
      </c>
      <c r="AW14" s="610" t="inlineStr">
        <is>
          <t>N/A</t>
        </is>
      </c>
      <c r="AX14" s="610" t="inlineStr">
        <is>
          <t>N/A</t>
        </is>
      </c>
      <c r="AY14" s="610" t="inlineStr">
        <is>
          <t>N/A</t>
        </is>
      </c>
      <c r="AZ14" s="610" t="inlineStr">
        <is>
          <t>N/A</t>
        </is>
      </c>
      <c r="BA14" s="610" t="inlineStr">
        <is>
          <t>N/A</t>
        </is>
      </c>
      <c r="BB14" s="610" t="inlineStr">
        <is>
          <t>N/A</t>
        </is>
      </c>
      <c r="BC14" s="610" t="inlineStr">
        <is>
          <t>N/A</t>
        </is>
      </c>
      <c r="BD14" s="610" t="inlineStr">
        <is>
          <t>N/A</t>
        </is>
      </c>
      <c r="BE14" s="610" t="inlineStr">
        <is>
          <t>N/A</t>
        </is>
      </c>
      <c r="BF14" s="610" t="inlineStr">
        <is>
          <t>H50</t>
        </is>
      </c>
      <c r="BG14" s="610" t="inlineStr">
        <is>
          <t>CO2</t>
        </is>
      </c>
      <c r="BH14" s="610" t="inlineStr">
        <is>
          <t>Positive</t>
        </is>
      </c>
      <c r="BI14" s="610" t="inlineStr">
        <is>
          <t>Pollution control; Energy security; Technological innovation; Industrial development</t>
        </is>
      </c>
      <c r="BJ14" s="610" t="inlineStr">
        <is>
          <t>Implementation Rules for the Transport Old Operating Ship Scrapping and Renewal Subsidy (交规划发〔2024〕95号); Action Plan for Promoting Large-scale Equipment Renewal and Consumer Goods Trade-in (国发〔2024〕7号)</t>
        </is>
      </c>
      <c r="BK14" s="610" t="inlineStr">
        <is>
          <t>https://xxgk.mot.gov.cn/2020/jigou/zhghs/202408/t20240802_4145816.html</t>
        </is>
      </c>
      <c r="BL14" s="610" t="inlineStr">
        <is>
          <t>https://www.gov.cn/zhengce/content/202403/content_6939136.htm; https://www.ndrc.gov.cn/xxgk/zcfb/tz/202404/t20240409_1364672.html</t>
        </is>
      </c>
      <c r="BM14" s="610" t="inlineStr"/>
    </row>
    <row r="15">
      <c r="A15" s="610" t="inlineStr">
        <is>
          <t>CHNSUBTISI02S000</t>
        </is>
      </c>
      <c r="B15" s="610" t="inlineStr">
        <is>
          <t>Instrument</t>
        </is>
      </c>
      <c r="C15" s="610" t="inlineStr">
        <is>
          <t>Subsidy</t>
        </is>
      </c>
      <c r="D15" s="610" t="inlineStr">
        <is>
          <t>Trade-in subsidy</t>
        </is>
      </c>
      <c r="E15" s="610" t="inlineStr">
        <is>
          <t>AFOLU</t>
        </is>
      </c>
      <c r="F15" s="610" t="inlineStr">
        <is>
          <t>Agricultural machinery</t>
        </is>
      </c>
      <c r="G15" s="610" t="inlineStr">
        <is>
          <t>农业机械报废更新补贴</t>
        </is>
      </c>
      <c r="H15" s="610" t="inlineStr">
        <is>
          <t>Agricultural machinery scrapping and renewal subsidy</t>
        </is>
      </c>
      <c r="I15" s="610" t="inlineStr">
        <is>
          <t>Large-scale equipment renewal and consumer goods trade-in</t>
        </is>
      </c>
      <c r="J15" s="610"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610" t="inlineStr">
        <is>
          <t>Green economy; Energy efficiency; Industrial development</t>
        </is>
      </c>
      <c r="L15" s="610" t="inlineStr">
        <is>
          <t>Indirect</t>
        </is>
      </c>
      <c r="M15" s="610" t="inlineStr">
        <is>
          <t>national</t>
        </is>
      </c>
      <c r="N15" s="610" t="inlineStr">
        <is>
          <t>N/A</t>
        </is>
      </c>
      <c r="O15" s="610" t="inlineStr">
        <is>
          <t>07/03/2024</t>
        </is>
      </c>
      <c r="P15" s="610" t="inlineStr">
        <is>
          <t>01/04/2024</t>
        </is>
      </c>
      <c r="Q15" s="610" t="inlineStr">
        <is>
          <t>N/A</t>
        </is>
      </c>
      <c r="R15" s="610" t="inlineStr">
        <is>
          <t>N/A</t>
        </is>
      </c>
      <c r="S15" s="610" t="inlineStr">
        <is>
          <t>No subsequent amendment documents specifically revising 农办机〔2024〕4号 were found. The notice is a long-term policy framework, and provinces formulate specific implementation plans accordingly.</t>
        </is>
      </c>
      <c r="T15" s="610">
        <f>IF(P15="","In force",IF(P15="N/A","In force",IF(TODAY()&lt;DATE(VALUE(RIGHT(P15,4)),VALUE(MID(P15,4,2)),VALUE(LEFT(P15,2))),"Scheduled",IF(Q15="","In force",IF(Q15="N/A","In force",IF(TODAY()&lt;DATE(VALUE(RIGHT(Q15,4)),VALUE(MID(Q15,4,2)),VALUE(LEFT(Q15,2))),"In force","Ended"))))))</f>
        <v/>
      </c>
      <c r="U15" s="610"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V15" s="610" t="inlineStr">
        <is>
          <t>Agricultural or forestry machinery and parts</t>
        </is>
      </c>
      <c r="W15" s="610" t="inlineStr">
        <is>
          <t>Existing</t>
        </is>
      </c>
      <c r="X15" s="610"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Y15" s="610" t="inlineStr">
        <is>
          <t>N/A</t>
        </is>
      </c>
      <c r="Z15" s="610"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A15" s="610" t="inlineStr">
        <is>
          <t>Individuals; firms</t>
        </is>
      </c>
      <c r="AB15" s="610"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C15" s="610" t="inlineStr">
        <is>
          <t>Disposal, collection or sorting (post-consumer); purchase or use</t>
        </is>
      </c>
      <c r="AD15" s="610"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E15" s="610" t="inlineStr">
        <is>
          <t>N/A</t>
        </is>
      </c>
      <c r="AF15" s="610" t="inlineStr">
        <is>
          <t>N/A</t>
        </is>
      </c>
      <c r="AG15" s="610"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H15" s="610"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I15" s="610" t="inlineStr">
        <is>
          <t>N/A</t>
        </is>
      </c>
      <c r="AJ15" s="610"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K15" s="610" t="inlineStr">
        <is>
          <t>N/A</t>
        </is>
      </c>
      <c r="AL15" s="610" t="inlineStr">
        <is>
          <t>N/A</t>
        </is>
      </c>
      <c r="AM15" s="610" t="inlineStr">
        <is>
          <t>N/A</t>
        </is>
      </c>
      <c r="AN15" s="610" t="inlineStr">
        <is>
          <t>N/A</t>
        </is>
      </c>
      <c r="AO15" s="610"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P15" s="610" t="inlineStr">
        <is>
          <t>N/A</t>
        </is>
      </c>
      <c r="AQ15" s="610"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R15" s="610"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S15" s="610"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T15" s="610" t="inlineStr">
        <is>
          <t>N/A</t>
        </is>
      </c>
      <c r="AU15" s="610" t="inlineStr">
        <is>
          <t>N/A</t>
        </is>
      </c>
      <c r="AV15" s="610" t="inlineStr">
        <is>
          <t>N/A</t>
        </is>
      </c>
      <c r="AW15" s="610" t="inlineStr">
        <is>
          <t>N/A</t>
        </is>
      </c>
      <c r="AX15" s="610" t="inlineStr">
        <is>
          <t>N/A</t>
        </is>
      </c>
      <c r="AY15" s="610" t="inlineStr">
        <is>
          <t>N/A</t>
        </is>
      </c>
      <c r="AZ15" s="610" t="inlineStr">
        <is>
          <t>N/A</t>
        </is>
      </c>
      <c r="BA15" s="610" t="inlineStr">
        <is>
          <t>N/A</t>
        </is>
      </c>
      <c r="BB15" s="610" t="inlineStr">
        <is>
          <t>N/A</t>
        </is>
      </c>
      <c r="BC15" s="610" t="inlineStr">
        <is>
          <t>N/A</t>
        </is>
      </c>
      <c r="BD15" s="610" t="inlineStr">
        <is>
          <t>N/A</t>
        </is>
      </c>
      <c r="BE15" s="610" t="inlineStr">
        <is>
          <t>N/A</t>
        </is>
      </c>
      <c r="BF15" s="610" t="inlineStr">
        <is>
          <t>A01</t>
        </is>
      </c>
      <c r="BG15" s="610" t="inlineStr">
        <is>
          <t>CO2</t>
        </is>
      </c>
      <c r="BH15" s="610" t="inlineStr">
        <is>
          <t>Positive</t>
        </is>
      </c>
      <c r="BI15" s="610" t="inlineStr">
        <is>
          <t>Pollution control; Energy security; Technological innovation; Industrial development</t>
        </is>
      </c>
      <c r="BJ15" s="610" t="inlineStr">
        <is>
          <t>Notice on Increasing Efforts to Continuously Implement the Agricultural Machinery Scrapping and Renewal Subsidy Policy (农办机〔2024〕4号); Action Plan for Promoting Large-scale Equipment Renewal and Consumer Goods Trade-in (国发〔2024〕7号)</t>
        </is>
      </c>
      <c r="BK15" s="610" t="inlineStr">
        <is>
          <t>https://www.moa.gov.cn/govpublic/NYJXHGLS/202406/t20240628_6458021.htm</t>
        </is>
      </c>
      <c r="BL15" s="610" t="inlineStr">
        <is>
          <t>https://www.gov.cn/zhengce/content/202403/content_6939136.htm; https://www.ndrc.gov.cn/xxgk/zcfb/tz/202404/t20240409_1364672.html</t>
        </is>
      </c>
      <c r="BM15" s="610" t="inlineStr"/>
    </row>
    <row r="16">
      <c r="A16" s="610" t="inlineStr">
        <is>
          <t>CHNSUBTISI03S000</t>
        </is>
      </c>
      <c r="B16" s="610" t="inlineStr">
        <is>
          <t>Instrument</t>
        </is>
      </c>
      <c r="C16" s="610" t="inlineStr">
        <is>
          <t>Subsidy</t>
        </is>
      </c>
      <c r="D16" s="610" t="inlineStr">
        <is>
          <t>Trade-in subsidy</t>
        </is>
      </c>
      <c r="E16" s="610" t="inlineStr">
        <is>
          <t>Buildings</t>
        </is>
      </c>
      <c r="F16" s="610" t="inlineStr">
        <is>
          <t>Household appliances; residential electricity consumption</t>
        </is>
      </c>
      <c r="G16" s="610" t="inlineStr">
        <is>
          <t>家电以旧换新补贴</t>
        </is>
      </c>
      <c r="H16" s="610" t="inlineStr">
        <is>
          <t>Home appliances trade-in subsidy</t>
        </is>
      </c>
      <c r="I16" s="610" t="inlineStr">
        <is>
          <t>Large-scale equipment renewal and consumer goods trade-in</t>
        </is>
      </c>
      <c r="J16" s="610"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610" t="inlineStr">
        <is>
          <t>Green economy; Energy efficiency</t>
        </is>
      </c>
      <c r="L16" s="610" t="inlineStr">
        <is>
          <t>Indirect</t>
        </is>
      </c>
      <c r="M16" s="610" t="inlineStr">
        <is>
          <t>national</t>
        </is>
      </c>
      <c r="N16" s="610" t="inlineStr">
        <is>
          <t>N/A</t>
        </is>
      </c>
      <c r="O16" s="610" t="inlineStr">
        <is>
          <t>07/03/2024</t>
        </is>
      </c>
      <c r="P16" s="610" t="inlineStr">
        <is>
          <t>01/04/2024</t>
        </is>
      </c>
      <c r="Q16" s="610" t="inlineStr">
        <is>
          <t>N/A</t>
        </is>
      </c>
      <c r="R16" s="610" t="inlineStr">
        <is>
          <t>N/A</t>
        </is>
      </c>
      <c r="S16" s="610"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T16" s="610">
        <f>IF(P16="","In force",IF(P16="N/A","In force",IF(TODAY()&lt;DATE(VALUE(RIGHT(P16,4)),VALUE(MID(P16,4,2)),VALUE(LEFT(P16,2))),"Scheduled",IF(Q16="","In force",IF(Q16="N/A","In force",IF(TODAY()&lt;DATE(VALUE(RIGHT(Q16,4)),VALUE(MID(Q16,4,2)),VALUE(LEFT(Q16,2))),"In force","Ended"))))))</f>
        <v/>
      </c>
      <c r="U16" s="610"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V16" s="610" t="inlineStr">
        <is>
          <t>Household appliances and parts</t>
        </is>
      </c>
      <c r="W16" s="610" t="inlineStr">
        <is>
          <t>Existing</t>
        </is>
      </c>
      <c r="X16" s="610"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Y16" s="610" t="inlineStr">
        <is>
          <t>N/A</t>
        </is>
      </c>
      <c r="Z16" s="610"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A16" s="610" t="inlineStr">
        <is>
          <t>Households</t>
        </is>
      </c>
      <c r="AB16" s="610"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C16" s="610" t="inlineStr">
        <is>
          <t>Disposal, collection or sorting (post-consumer); purchase or use</t>
        </is>
      </c>
      <c r="AD16" s="610"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E16" s="610" t="inlineStr">
        <is>
          <t>10-20</t>
        </is>
      </c>
      <c r="AF16" s="610" t="inlineStr">
        <is>
          <t>% of new appliance sales price</t>
        </is>
      </c>
      <c r="AG16" s="610"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H16" s="610"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I16" s="610" t="inlineStr">
        <is>
          <t>N/A</t>
        </is>
      </c>
      <c r="AJ16" s="610"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K16" s="610" t="inlineStr">
        <is>
          <t>N/A</t>
        </is>
      </c>
      <c r="AL16" s="610" t="inlineStr">
        <is>
          <t>N/A</t>
        </is>
      </c>
      <c r="AM16" s="610" t="inlineStr">
        <is>
          <t>N/A</t>
        </is>
      </c>
      <c r="AN16" s="610" t="inlineStr">
        <is>
          <t>N/A</t>
        </is>
      </c>
      <c r="AO16" s="610"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P16" s="610" t="inlineStr">
        <is>
          <t>N/A</t>
        </is>
      </c>
      <c r="AQ16" s="610"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R16" s="610" t="inlineStr">
        <is>
          <t>Implemented from April 2024 with no prescribed termination date. Central finance allocates subsidy funding by year and batch. Each province determines specific implementation cycles and batches based on local consumer market and fiscal conditions.</t>
        </is>
      </c>
      <c r="AS16" s="610"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T16" s="610" t="inlineStr">
        <is>
          <t>N/A</t>
        </is>
      </c>
      <c r="AU16" s="610" t="inlineStr">
        <is>
          <t>N/A</t>
        </is>
      </c>
      <c r="AV16" s="610" t="inlineStr">
        <is>
          <t>N/A</t>
        </is>
      </c>
      <c r="AW16" s="610" t="inlineStr">
        <is>
          <t>N/A</t>
        </is>
      </c>
      <c r="AX16" s="610" t="inlineStr">
        <is>
          <t>N/A</t>
        </is>
      </c>
      <c r="AY16" s="610" t="inlineStr">
        <is>
          <t>N/A</t>
        </is>
      </c>
      <c r="AZ16" s="610" t="inlineStr">
        <is>
          <t>N/A</t>
        </is>
      </c>
      <c r="BA16" s="610" t="inlineStr">
        <is>
          <t>N/A</t>
        </is>
      </c>
      <c r="BB16" s="610" t="inlineStr">
        <is>
          <t>N/A</t>
        </is>
      </c>
      <c r="BC16" s="610" t="inlineStr">
        <is>
          <t>N/A</t>
        </is>
      </c>
      <c r="BD16" s="610" t="inlineStr">
        <is>
          <t>N/A</t>
        </is>
      </c>
      <c r="BE16" s="610" t="inlineStr">
        <is>
          <t>N/A</t>
        </is>
      </c>
      <c r="BF16" s="610" t="inlineStr">
        <is>
          <t>G47</t>
        </is>
      </c>
      <c r="BG16" s="610" t="inlineStr">
        <is>
          <t>CO2</t>
        </is>
      </c>
      <c r="BH16" s="610" t="inlineStr">
        <is>
          <t>Positive</t>
        </is>
      </c>
      <c r="BI16" s="610" t="inlineStr">
        <is>
          <t>Pollution control; Energy security; Industrial development</t>
        </is>
      </c>
      <c r="BJ16" s="610" t="inlineStr">
        <is>
          <t>Notice on Further Improving Home Appliances Trade-in Work (商办流通函〔2024〕397号); Action Plan for Promoting Large-scale Equipment Renewal and Consumer Goods Trade-in (国发〔2024〕7号)</t>
        </is>
      </c>
      <c r="BK16" s="610" t="inlineStr">
        <is>
          <t>https://www.mofcom.gov.cn/zfxxgk/gkml/art/2024/art_885a89aad7824edfac09fa47c2145759.html</t>
        </is>
      </c>
      <c r="BL16" s="610" t="inlineStr">
        <is>
          <t>https://www.gov.cn/zhengce/content/202403/content_6939136.htm</t>
        </is>
      </c>
      <c r="BM16" s="610" t="inlineStr"/>
    </row>
    <row r="17">
      <c r="A17" s="610" t="inlineStr">
        <is>
          <t>CHNSUBCLGI01S000</t>
        </is>
      </c>
      <c r="B17" s="610" t="inlineStr">
        <is>
          <t>Instrument</t>
        </is>
      </c>
      <c r="C17" s="610" t="inlineStr">
        <is>
          <t>Subsidy</t>
        </is>
      </c>
      <c r="D17" s="610" t="inlineStr">
        <is>
          <t>Concessional loans, loan guarantees and credit support</t>
        </is>
      </c>
      <c r="E17" s="610" t="inlineStr">
        <is>
          <t>Cross-sectoral</t>
        </is>
      </c>
      <c r="F17" s="610" t="inlineStr">
        <is>
          <t>Green finance; green credit; green bonds</t>
        </is>
      </c>
      <c r="G17" s="610" t="inlineStr">
        <is>
          <t>中期借贷便利（MLF）绿色担保品范围扩容</t>
        </is>
      </c>
      <c r="H17" s="610" t="inlineStr">
        <is>
          <t>MLF green collateral eligibility expansion</t>
        </is>
      </c>
      <c r="I17" s="610" t="inlineStr">
        <is>
          <t>N/A</t>
        </is>
      </c>
      <c r="J17" s="610"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610" t="inlineStr">
        <is>
          <t>Green economy</t>
        </is>
      </c>
      <c r="L17" s="610" t="inlineStr">
        <is>
          <t>Indirect</t>
        </is>
      </c>
      <c r="M17" s="610" t="inlineStr">
        <is>
          <t>national</t>
        </is>
      </c>
      <c r="N17" s="610" t="inlineStr">
        <is>
          <t>N/A</t>
        </is>
      </c>
      <c r="O17" s="610" t="inlineStr">
        <is>
          <t>01/06/2018</t>
        </is>
      </c>
      <c r="P17" s="610" t="inlineStr">
        <is>
          <t>01/06/2018</t>
        </is>
      </c>
      <c r="Q17" s="610" t="inlineStr">
        <is>
          <t>N/A</t>
        </is>
      </c>
      <c r="R17" s="610" t="inlineStr">
        <is>
          <t>01/06/2018</t>
        </is>
      </c>
      <c r="S17" s="610" t="inlineStr">
        <is>
          <t>The PBOC notice announced the expansion of MLF collateral eligibility; no later source-specific revision for this green-collateral expansion was identified in this fill.</t>
        </is>
      </c>
      <c r="T17" s="610">
        <f>IF(P17="","In force",IF(P17="N/A","In force",IF(TODAY()&lt;DATE(VALUE(RIGHT(P17,4)),VALUE(MID(P17,4,2)),VALUE(LEFT(P17,2))),"Scheduled",IF(Q17="","In force",IF(Q17="N/A","In force",IF(TODAY()&lt;DATE(VALUE(RIGHT(Q17,4)),VALUE(MID(Q17,4,2)),VALUE(LEFT(Q17,2))),"In force","Ended"))))))</f>
        <v/>
      </c>
      <c r="U17" s="610" t="inlineStr">
        <is>
          <t>People's Bank of China</t>
        </is>
      </c>
      <c r="V17" s="610" t="inlineStr">
        <is>
          <t>Green financial bonds; Green loans</t>
        </is>
      </c>
      <c r="W17" s="610" t="inlineStr">
        <is>
          <t>existing</t>
        </is>
      </c>
      <c r="X17" s="610" t="inlineStr">
        <is>
          <t>Eligible collateral in PBOC MLF operations: green financial bonds rated AA or above and high-quality green loans.</t>
        </is>
      </c>
      <c r="Y17" s="610" t="inlineStr">
        <is>
          <t>N/A</t>
        </is>
      </c>
      <c r="Z17" s="610" t="inlineStr">
        <is>
          <t>Green financial bonds must be rated no lower than AA; green loans must be high-quality.</t>
        </is>
      </c>
      <c r="AA17" s="610" t="inlineStr">
        <is>
          <t>Firms</t>
        </is>
      </c>
      <c r="AB17" s="610" t="inlineStr">
        <is>
          <t>Financial institutions participating in MLF operations, especially commercial banks holding or originating eligible green finance assets.</t>
        </is>
      </c>
      <c r="AC17" s="610" t="inlineStr">
        <is>
          <t>Collateral acceptance and credit support</t>
        </is>
      </c>
      <c r="AD17" s="610" t="inlineStr">
        <is>
          <t>Acceptance of green financial bonds and green loans as eligible collateral for central-bank medium-term lending facility operations.</t>
        </is>
      </c>
      <c r="AE17" s="610" t="inlineStr">
        <is>
          <t>N/A</t>
        </is>
      </c>
      <c r="AF17" s="610" t="inlineStr">
        <is>
          <t>N/A</t>
        </is>
      </c>
      <c r="AG17" s="610" t="inlineStr">
        <is>
          <t>The notice changes collateral eligibility rather than setting a per-unit payment rate or emissions intensity.</t>
        </is>
      </c>
      <c r="AH17" s="610" t="inlineStr">
        <is>
          <t>Eligible green collateral newly includes AA-or-above green financial bonds and high-quality green loans.</t>
        </is>
      </c>
      <c r="AI17" s="610" t="inlineStr">
        <is>
          <t>N/A</t>
        </is>
      </c>
      <c r="AJ17" s="610" t="inlineStr">
        <is>
          <t>N/A</t>
        </is>
      </c>
      <c r="AK17" s="610" t="inlineStr">
        <is>
          <t>N/A</t>
        </is>
      </c>
      <c r="AL17" s="610" t="inlineStr">
        <is>
          <t>N/A</t>
        </is>
      </c>
      <c r="AM17" s="610" t="inlineStr">
        <is>
          <t>N/A</t>
        </is>
      </c>
      <c r="AN17" s="610" t="inlineStr">
        <is>
          <t>N/A</t>
        </is>
      </c>
      <c r="AO17" s="610" t="inlineStr">
        <is>
          <t>N/A</t>
        </is>
      </c>
      <c r="AP17" s="610" t="inlineStr">
        <is>
          <t>N/A</t>
        </is>
      </c>
      <c r="AQ17" s="610" t="inlineStr">
        <is>
          <t>Collateral eligibility in PBOC MLF operations; support is accessed through eligible financial institutions' MLF borrowing and pledged collateral.</t>
        </is>
      </c>
      <c r="AR17" s="610" t="inlineStr">
        <is>
          <t>N/A</t>
        </is>
      </c>
      <c r="AS17" s="610" t="inlineStr">
        <is>
          <t>PBOC operational eligibility and collateral acceptance controls.</t>
        </is>
      </c>
      <c r="AT17" s="610" t="inlineStr">
        <is>
          <t>N/A</t>
        </is>
      </c>
      <c r="AU17" s="610" t="inlineStr">
        <is>
          <t>N/A</t>
        </is>
      </c>
      <c r="AV17" s="610" t="inlineStr">
        <is>
          <t>N/A</t>
        </is>
      </c>
      <c r="AW17" s="610" t="inlineStr">
        <is>
          <t>N/A</t>
        </is>
      </c>
      <c r="AX17" s="610" t="inlineStr">
        <is>
          <t>N/A</t>
        </is>
      </c>
      <c r="AY17" s="610" t="inlineStr">
        <is>
          <t>N/A</t>
        </is>
      </c>
      <c r="AZ17" s="610" t="inlineStr">
        <is>
          <t>N/A</t>
        </is>
      </c>
      <c r="BA17" s="610" t="inlineStr">
        <is>
          <t>N/A</t>
        </is>
      </c>
      <c r="BB17" s="610" t="inlineStr">
        <is>
          <t>N/A</t>
        </is>
      </c>
      <c r="BC17" s="610" t="inlineStr">
        <is>
          <t>N/A</t>
        </is>
      </c>
      <c r="BD17" s="610" t="inlineStr">
        <is>
          <t>N/A</t>
        </is>
      </c>
      <c r="BE17" s="610" t="inlineStr">
        <is>
          <t>N/A</t>
        </is>
      </c>
      <c r="BF17" s="610" t="inlineStr">
        <is>
          <t>K64</t>
        </is>
      </c>
      <c r="BG17" s="610" t="inlineStr">
        <is>
          <t>CO2</t>
        </is>
      </c>
      <c r="BH17" s="610" t="inlineStr">
        <is>
          <t>positive</t>
        </is>
      </c>
      <c r="BI17" s="610" t="inlineStr">
        <is>
          <t>Energy security; Industrial development</t>
        </is>
      </c>
      <c r="BJ17" s="610" t="inlineStr">
        <is>
          <t>Decision of the People's Bank of China on Appropriately Expanding the Scope of Collateral for Medium-Term Lending Facility (MLF) Operations</t>
        </is>
      </c>
      <c r="BK17" s="610" t="inlineStr">
        <is>
          <t>https://www.pbc.gov.cn/zhengcehuobisi/125207/125213/125437/125446/125873/3d10b70283e3479bb6b4b55a38a48399/index.html</t>
        </is>
      </c>
      <c r="BL17" s="610" t="inlineStr">
        <is>
          <t>N/A</t>
        </is>
      </c>
      <c r="BM17" s="610" t="inlineStr"/>
    </row>
    <row r="18">
      <c r="A18" s="610" t="inlineStr">
        <is>
          <t>CHNSUBCLGI02S000</t>
        </is>
      </c>
      <c r="B18" s="610" t="inlineStr">
        <is>
          <t>Instrument</t>
        </is>
      </c>
      <c r="C18" s="610" t="inlineStr">
        <is>
          <t>Subsidy</t>
        </is>
      </c>
      <c r="D18" s="610" t="inlineStr">
        <is>
          <t>Concessional loans, loan guarantees and credit support</t>
        </is>
      </c>
      <c r="E18" s="610" t="inlineStr">
        <is>
          <t>Cross-sectoral</t>
        </is>
      </c>
      <c r="F18" s="610" t="inlineStr">
        <is>
          <t>Green finance; green credit; carbon-reduction projects</t>
        </is>
      </c>
      <c r="G18" s="610" t="inlineStr">
        <is>
          <t>碳减排支持工具</t>
        </is>
      </c>
      <c r="H18" s="610" t="inlineStr">
        <is>
          <t>Carbon emission reduction support tool</t>
        </is>
      </c>
      <c r="I18" s="610" t="inlineStr">
        <is>
          <t>N/A</t>
        </is>
      </c>
      <c r="J18" s="610"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610" t="inlineStr">
        <is>
          <t>Green economy; Climate change mitigation</t>
        </is>
      </c>
      <c r="L18" s="610" t="inlineStr">
        <is>
          <t>Indirect</t>
        </is>
      </c>
      <c r="M18" s="610" t="inlineStr">
        <is>
          <t>national</t>
        </is>
      </c>
      <c r="N18" s="610" t="inlineStr">
        <is>
          <t>N/A</t>
        </is>
      </c>
      <c r="O18" s="610" t="inlineStr">
        <is>
          <t>08/11/2021</t>
        </is>
      </c>
      <c r="P18" s="610" t="inlineStr">
        <is>
          <t>08/11/2021</t>
        </is>
      </c>
      <c r="Q18" s="610" t="inlineStr">
        <is>
          <t>31/12/2027</t>
        </is>
      </c>
      <c r="R18" s="610" t="inlineStr">
        <is>
          <t>15/01/2026</t>
        </is>
      </c>
      <c r="S18" s="610"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T18" s="610">
        <f>IF(P18="","In force",IF(P18="N/A","In force",IF(TODAY()&lt;DATE(VALUE(RIGHT(P18,4)),VALUE(MID(P18,4,2)),VALUE(LEFT(P18,2))),"Scheduled",IF(Q18="","In force",IF(Q18="N/A","In force",IF(TODAY()&lt;DATE(VALUE(RIGHT(Q18,4)),VALUE(MID(Q18,4,2)),VALUE(LEFT(Q18,2))),"In force","Ended"))))))</f>
        <v/>
      </c>
      <c r="U18" s="610" t="inlineStr">
        <is>
          <t>People's Bank of China</t>
        </is>
      </c>
      <c r="V18" s="610" t="inlineStr">
        <is>
          <t>Carbon-reduction loans</t>
        </is>
      </c>
      <c r="W18" s="610" t="inlineStr">
        <is>
          <t>New</t>
        </is>
      </c>
      <c r="X18" s="610" t="inlineStr">
        <is>
          <t>Qualified loans issued by eligible financial institutions to enterprises in key carbon-reduction areas, including clean energy, energy conservation and environmental protection, and carbon-reduction technologies.</t>
        </is>
      </c>
      <c r="Y18" s="610" t="inlineStr">
        <is>
          <t>N/A</t>
        </is>
      </c>
      <c r="Z18" s="610" t="inlineStr">
        <is>
          <t>PBOC funding support equals 60% of the principal of qualified carbon-reduction loans.</t>
        </is>
      </c>
      <c r="AA18" s="610" t="inlineStr">
        <is>
          <t>Firms</t>
        </is>
      </c>
      <c r="AB18" s="610" t="inlineStr">
        <is>
          <t>Eligible financial institutions that issue carbon-reduction loans and enterprises receiving loans for qualified carbon-reduction projects.</t>
        </is>
      </c>
      <c r="AC18" s="610" t="inlineStr">
        <is>
          <t>Carbon-reduction loan provision and relending support</t>
        </is>
      </c>
      <c r="AD18" s="610" t="inlineStr">
        <is>
          <t>Financial institutions issue qualified carbon-reduction loans, then apply for PBOC low-cost funds against those loans under a lend-first-borrow-later mechanism.</t>
        </is>
      </c>
      <c r="AE18" s="610" t="inlineStr">
        <is>
          <t>1.75</t>
        </is>
      </c>
      <c r="AF18" s="610" t="inlineStr">
        <is>
          <t>% annual interest rate</t>
        </is>
      </c>
      <c r="AG18" s="610" t="inlineStr">
        <is>
          <t>PBOC funds are provided to financial institutions at a 1.75% annual interest rate; the support amount is 60% of the qualified carbon-reduction loan principal.</t>
        </is>
      </c>
      <c r="AH18" s="610" t="inlineStr">
        <is>
          <t>Financial institutions make independent lending decisions and bear their own risks. Qualified loans must support key carbon-reduction areas and information on the loans and expected carbon reductions is subject to disclosure and verification requirements.</t>
        </is>
      </c>
      <c r="AI18" s="610" t="inlineStr">
        <is>
          <t>PBOC support amount = 60% of the principal of qualified carbon-reduction loans.</t>
        </is>
      </c>
      <c r="AJ18" s="610" t="inlineStr">
        <is>
          <t>Qualified loan eligibility is assessed against the PBOC's key carbon-reduction areas and project information requirements.</t>
        </is>
      </c>
      <c r="AK18" s="610" t="inlineStr">
        <is>
          <t>N/A</t>
        </is>
      </c>
      <c r="AL18" s="610" t="inlineStr">
        <is>
          <t>N/A</t>
        </is>
      </c>
      <c r="AM18" s="610" t="inlineStr">
        <is>
          <t>N/A</t>
        </is>
      </c>
      <c r="AN18" s="610" t="inlineStr">
        <is>
          <t>N/A</t>
        </is>
      </c>
      <c r="AO18" s="610" t="inlineStr">
        <is>
          <t>60% of qualified loan principal; annual operations not exceeding CNY 800 billion</t>
        </is>
      </c>
      <c r="AP18" s="610" t="inlineStr">
        <is>
          <t>PBOC funding interest rate of 1.75%; support equal to 60% of qualified loan principal.</t>
        </is>
      </c>
      <c r="AQ18" s="610" t="inlineStr">
        <is>
          <t>Lend-first-borrow-later: financial institutions issue qualified carbon-reduction loans first and then apply to the PBOC for low-cost funding support.</t>
        </is>
      </c>
      <c r="AR18" s="610" t="inlineStr">
        <is>
          <t>One-year central-bank funds, renewable twice; the tool has been extended to 31/12/2027.</t>
        </is>
      </c>
      <c r="AS18" s="610" t="inlineStr">
        <is>
          <t>PBOC eligibility review, disclosure of loan and carbon-reduction information, and third-party verification of carbon-reduction effects.</t>
        </is>
      </c>
      <c r="AT18" s="610" t="inlineStr">
        <is>
          <t>N/A</t>
        </is>
      </c>
      <c r="AU18" s="610" t="inlineStr">
        <is>
          <t>N/A</t>
        </is>
      </c>
      <c r="AV18" s="610" t="inlineStr">
        <is>
          <t>N/A</t>
        </is>
      </c>
      <c r="AW18" s="610" t="inlineStr">
        <is>
          <t>N/A</t>
        </is>
      </c>
      <c r="AX18" s="610" t="inlineStr">
        <is>
          <t>N/A</t>
        </is>
      </c>
      <c r="AY18" s="610" t="inlineStr">
        <is>
          <t>N/A</t>
        </is>
      </c>
      <c r="AZ18" s="610" t="inlineStr">
        <is>
          <t>N/A</t>
        </is>
      </c>
      <c r="BA18" s="610" t="inlineStr">
        <is>
          <t>N/A</t>
        </is>
      </c>
      <c r="BB18" s="610" t="inlineStr">
        <is>
          <t>N/A</t>
        </is>
      </c>
      <c r="BC18" s="610" t="inlineStr">
        <is>
          <t>N/A</t>
        </is>
      </c>
      <c r="BD18" s="610" t="inlineStr">
        <is>
          <t>N/A</t>
        </is>
      </c>
      <c r="BE18" s="610" t="inlineStr">
        <is>
          <t>N/A</t>
        </is>
      </c>
      <c r="BF18" s="610" t="inlineStr">
        <is>
          <t>K64</t>
        </is>
      </c>
      <c r="BG18" s="610" t="inlineStr">
        <is>
          <t>CO2</t>
        </is>
      </c>
      <c r="BH18" s="610" t="inlineStr">
        <is>
          <t>positive</t>
        </is>
      </c>
      <c r="BI18" s="610" t="inlineStr">
        <is>
          <t>Pollution control; Energy security; Technological innovation; Industrial development</t>
        </is>
      </c>
      <c r="BJ18" s="610" t="inlineStr">
        <is>
          <t>Carbon Emission Reduction Support Tool</t>
        </is>
      </c>
      <c r="BK18" s="610" t="inlineStr">
        <is>
          <t>https://www.pbc.gov.cn/goutongjiaoliu/113456/113469/2025092212552065420/index.html</t>
        </is>
      </c>
      <c r="BL18" s="610" t="inlineStr">
        <is>
          <t>https://www.pbc.gov.cn/goutongjiaoliu/113456/113469/2026011515253112924/index.html</t>
        </is>
      </c>
      <c r="BM18" s="610" t="inlineStr"/>
    </row>
    <row r="19">
      <c r="A19" s="610" t="inlineStr">
        <is>
          <t>CHNSUBCLGI03S000</t>
        </is>
      </c>
      <c r="B19" s="610" t="inlineStr">
        <is>
          <t>Instrument</t>
        </is>
      </c>
      <c r="C19" s="610" t="inlineStr">
        <is>
          <t>Subsidy</t>
        </is>
      </c>
      <c r="D19" s="610" t="inlineStr">
        <is>
          <t>Concessional loans, loan guarantees and credit support</t>
        </is>
      </c>
      <c r="E19" s="610" t="inlineStr">
        <is>
          <t>Cross-sectoral</t>
        </is>
      </c>
      <c r="F19" s="610" t="inlineStr">
        <is>
          <t>Equipment renewal; green finance; technological transformation</t>
        </is>
      </c>
      <c r="G19" s="610" t="inlineStr">
        <is>
          <t>设备更新贷款财政贴息</t>
        </is>
      </c>
      <c r="H19" s="610" t="inlineStr">
        <is>
          <t>Fiscal interest subsidy for equipment renewal loans</t>
        </is>
      </c>
      <c r="I19" s="610" t="inlineStr">
        <is>
          <t>Large-scale equipment renewal and consumer goods trade-in policy</t>
        </is>
      </c>
      <c r="J19" s="610"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610" t="inlineStr">
        <is>
          <t>Green economy; Energy efficiency</t>
        </is>
      </c>
      <c r="L19" s="610" t="inlineStr">
        <is>
          <t>Indirect</t>
        </is>
      </c>
      <c r="M19" s="610" t="inlineStr">
        <is>
          <t>national</t>
        </is>
      </c>
      <c r="N19" s="610" t="inlineStr">
        <is>
          <t>N/A</t>
        </is>
      </c>
      <c r="O19" s="610" t="inlineStr">
        <is>
          <t>21/06/2024</t>
        </is>
      </c>
      <c r="P19" s="610" t="inlineStr">
        <is>
          <t>07/03/2024</t>
        </is>
      </c>
      <c r="Q19" s="610" t="inlineStr">
        <is>
          <t>31/12/2026</t>
        </is>
      </c>
      <c r="R19" s="610" t="inlineStr">
        <is>
          <t>19/01/2026</t>
        </is>
      </c>
      <c r="S19" s="610"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T19" s="610">
        <f>IF(P19="","In force",IF(P19="N/A","In force",IF(TODAY()&lt;DATE(VALUE(RIGHT(P19,4)),VALUE(MID(P19,4,2)),VALUE(LEFT(P19,2))),"Scheduled",IF(Q19="","In force",IF(Q19="N/A","In force",IF(TODAY()&lt;DATE(VALUE(RIGHT(Q19,4)),VALUE(MID(Q19,4,2)),VALUE(LEFT(Q19,2))),"In force","Ended"))))))</f>
        <v/>
      </c>
      <c r="U19" s="610" t="inlineStr">
        <is>
          <t>Ministry of Finance; National Development and Reform Commission; People's Bank of China; National Financial Regulatory Administration; relevant sectoral authorities</t>
        </is>
      </c>
      <c r="V19" s="610" t="inlineStr">
        <is>
          <t>Equipment renewal fixed-asset loans; Technology innovation loans</t>
        </is>
      </c>
      <c r="W19" s="610" t="inlineStr">
        <is>
          <t>New; existing</t>
        </is>
      </c>
      <c r="X19" s="610"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Y19" s="610" t="inlineStr">
        <is>
          <t>N/A</t>
        </is>
      </c>
      <c r="Z19" s="610" t="inlineStr">
        <is>
          <t>Eligible loans must support covered equipment renewal fields; the 2026 policy applies through 31/12/2026, with possible extension.</t>
        </is>
      </c>
      <c r="AA19" s="610" t="inlineStr">
        <is>
          <t>Firms</t>
        </is>
      </c>
      <c r="AB19" s="610" t="inlineStr">
        <is>
          <t>Operating entities that take bank loans for eligible equipment renewal or technological transformation projects.</t>
        </is>
      </c>
      <c r="AC19" s="610" t="inlineStr">
        <is>
          <t>Equipment renewal loan financing and fiscal interest subsidy</t>
        </is>
      </c>
      <c r="AD19" s="610"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E19" s="610" t="inlineStr">
        <is>
          <t>1.5</t>
        </is>
      </c>
      <c r="AF19" s="610" t="inlineStr">
        <is>
          <t>percentage points interest subsidy</t>
        </is>
      </c>
      <c r="AG19" s="610"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H19" s="610"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I19" s="610" t="inlineStr">
        <is>
          <t>Interest subsidy = eligible loan principal and interest basis multiplied by the policy interest-subsidy rate and eligible period.</t>
        </is>
      </c>
      <c r="AJ19" s="610" t="inlineStr">
        <is>
          <t>Eligibility is assessed against the official equipment renewal loan fiscal interest subsidy policy scope and bank loan documentation.</t>
        </is>
      </c>
      <c r="AK19" s="610" t="inlineStr">
        <is>
          <t>N/A</t>
        </is>
      </c>
      <c r="AL19" s="610" t="inlineStr">
        <is>
          <t>N/A</t>
        </is>
      </c>
      <c r="AM19" s="610" t="inlineStr">
        <is>
          <t>N/A</t>
        </is>
      </c>
      <c r="AN19" s="610" t="inlineStr">
        <is>
          <t>N/A</t>
        </is>
      </c>
      <c r="AO19" s="610" t="inlineStr">
        <is>
          <t>1.5 percentage points interest subsidy under the 2026 optimization; the 2024 notice set 1 percentage point. Interest subsidy period not exceeding 2 years.</t>
        </is>
      </c>
      <c r="AP19" s="610" t="inlineStr">
        <is>
          <t>Interest subsidy rate ceiling is 1.5 percentage points under the 2026 policy; support period not exceeding 2 years.</t>
        </is>
      </c>
      <c r="AQ19" s="610" t="inlineStr">
        <is>
          <t>Central fiscal interest subsidy applied through handling banks to eligible equipment-renewal loans; the 2026 process uses pre-allocation plus settlement.</t>
        </is>
      </c>
      <c r="AR19" s="610" t="inlineStr">
        <is>
          <t>Interest subsidy period not exceeding 2 years; optimized policy implemented through 31/12/2026, with possible extension.</t>
        </is>
      </c>
      <c r="AS19" s="610"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T19" s="610" t="inlineStr">
        <is>
          <t>N/A</t>
        </is>
      </c>
      <c r="AU19" s="610" t="inlineStr">
        <is>
          <t>N/A</t>
        </is>
      </c>
      <c r="AV19" s="610" t="inlineStr">
        <is>
          <t>N/A</t>
        </is>
      </c>
      <c r="AW19" s="610" t="inlineStr">
        <is>
          <t>N/A</t>
        </is>
      </c>
      <c r="AX19" s="610" t="inlineStr">
        <is>
          <t>N/A</t>
        </is>
      </c>
      <c r="AY19" s="610" t="inlineStr">
        <is>
          <t>N/A</t>
        </is>
      </c>
      <c r="AZ19" s="610" t="inlineStr">
        <is>
          <t>N/A</t>
        </is>
      </c>
      <c r="BA19" s="610" t="inlineStr">
        <is>
          <t>N/A</t>
        </is>
      </c>
      <c r="BB19" s="610" t="inlineStr">
        <is>
          <t>N/A</t>
        </is>
      </c>
      <c r="BC19" s="610" t="inlineStr">
        <is>
          <t>N/A</t>
        </is>
      </c>
      <c r="BD19" s="610" t="inlineStr">
        <is>
          <t>N/A</t>
        </is>
      </c>
      <c r="BE19" s="610" t="inlineStr">
        <is>
          <t>N/A</t>
        </is>
      </c>
      <c r="BF19" s="610" t="inlineStr">
        <is>
          <t>K64</t>
        </is>
      </c>
      <c r="BG19" s="610" t="inlineStr">
        <is>
          <t>CO2</t>
        </is>
      </c>
      <c r="BH19" s="610" t="inlineStr">
        <is>
          <t>positive</t>
        </is>
      </c>
      <c r="BI19" s="610" t="inlineStr">
        <is>
          <t>Energy security; Technological innovation; Industrial development</t>
        </is>
      </c>
      <c r="BJ19" s="610" t="inlineStr">
        <is>
          <t>Notice on Implementing the Fiscal Interest Subsidy Policy for Equipment Renewal Loans</t>
        </is>
      </c>
      <c r="BK19" s="610" t="inlineStr">
        <is>
          <t>https://www.gov.cn/zhengce/zhengceku/202406/content_6959323.htm</t>
        </is>
      </c>
      <c r="BL19" s="610" t="inlineStr">
        <is>
          <t>https://www.gov.cn/zhengce/zhengceku/202601/content_7055549.htm</t>
        </is>
      </c>
      <c r="BM19" s="610" t="inlineStr"/>
    </row>
    <row r="20">
      <c r="A20" s="610" t="inlineStr">
        <is>
          <t>CHNSUBCLGI04S000</t>
        </is>
      </c>
      <c r="B20" s="610" t="inlineStr">
        <is>
          <t>Instrument</t>
        </is>
      </c>
      <c r="C20" s="610" t="inlineStr">
        <is>
          <t>Subsidy</t>
        </is>
      </c>
      <c r="D20" s="610" t="inlineStr">
        <is>
          <t>Concessional loans, loan guarantees and credit support</t>
        </is>
      </c>
      <c r="E20" s="610" t="inlineStr">
        <is>
          <t>Cross-sectoral</t>
        </is>
      </c>
      <c r="F20" s="610" t="inlineStr">
        <is>
          <t>Cross-sector (multi-domain projects including climate mitigation and adaptation)</t>
        </is>
      </c>
      <c r="G20" s="610" t="inlineStr">
        <is>
          <t>国家清洁发展机制基金</t>
        </is>
      </c>
      <c r="H20" s="610" t="inlineStr">
        <is>
          <t>China Clean Development Mechanism Fund</t>
        </is>
      </c>
      <c r="I20" s="610" t="inlineStr">
        <is>
          <t>N/A</t>
        </is>
      </c>
      <c r="J20" s="610"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610" t="inlineStr">
        <is>
          <t>Climate change mitigation</t>
        </is>
      </c>
      <c r="L20" s="610" t="inlineStr">
        <is>
          <t>Direct</t>
        </is>
      </c>
      <c r="M20" s="610" t="inlineStr">
        <is>
          <t>national</t>
        </is>
      </c>
      <c r="N20" s="610" t="inlineStr">
        <is>
          <t>N/A</t>
        </is>
      </c>
      <c r="O20" s="610" t="inlineStr">
        <is>
          <t>14/09/2010</t>
        </is>
      </c>
      <c r="P20" s="610" t="inlineStr">
        <is>
          <t>14/09/2010</t>
        </is>
      </c>
      <c r="Q20" s="610" t="inlineStr">
        <is>
          <t>N/A</t>
        </is>
      </c>
      <c r="R20" s="610" t="inlineStr">
        <is>
          <t>28/06/2022</t>
        </is>
      </c>
      <c r="S20" s="610"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T20" s="610">
        <f>IF(P20="","In force",IF(P20="N/A","In force",IF(TODAY()&lt;DATE(VALUE(RIGHT(P20,4)),VALUE(MID(P20,4,2)),VALUE(LEFT(P20,2))),"Scheduled",IF(Q20="","In force",IF(Q20="N/A","In force",IF(TODAY()&lt;DATE(VALUE(RIGHT(Q20,4)),VALUE(MID(Q20,4,2)),VALUE(LEFT(Q20,2))),"In force","Ended"))))))</f>
        <v/>
      </c>
      <c r="U20" s="610"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V20" s="610"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W20" s="610" t="inlineStr">
        <is>
          <t>New; existing</t>
        </is>
      </c>
      <c r="X20" s="610"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Y20" s="610"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Z20" s="610"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A20" s="610" t="inlineStr">
        <is>
          <t>Firms; Governments</t>
        </is>
      </c>
      <c r="AB20" s="610"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C20" s="610" t="inlineStr">
        <is>
          <t>Investment; Purchase or use</t>
        </is>
      </c>
      <c r="AD20" s="610"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E20" s="610" t="inlineStr">
        <is>
          <t>N/A</t>
        </is>
      </c>
      <c r="AF20" s="610" t="inlineStr">
        <is>
          <t>N/A</t>
        </is>
      </c>
      <c r="AG20" s="610"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H20" s="610"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I20" s="610" t="inlineStr">
        <is>
          <t>N/A</t>
        </is>
      </c>
      <c r="AJ20" s="610" t="inlineStr">
        <is>
          <t>N/A</t>
        </is>
      </c>
      <c r="AK20" s="610" t="inlineStr"/>
      <c r="AL20" s="610" t="inlineStr"/>
      <c r="AM20" s="610" t="inlineStr"/>
      <c r="AN20" s="610"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O20" s="610" t="inlineStr">
        <is>
          <t>N/A</t>
        </is>
      </c>
      <c r="AP20" s="610" t="inlineStr">
        <is>
          <t>N/A</t>
        </is>
      </c>
      <c r="AQ20" s="610" t="inlineStr">
        <is>
          <t>N/A</t>
        </is>
      </c>
      <c r="AR20" s="610" t="inlineStr">
        <is>
          <t>N/A</t>
        </is>
      </c>
      <c r="AS20" s="610"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T20" s="610" t="inlineStr"/>
      <c r="AU20" s="610" t="inlineStr"/>
      <c r="AV20" s="610" t="inlineStr"/>
      <c r="AW20" s="610" t="inlineStr"/>
      <c r="AX20" s="610" t="inlineStr"/>
      <c r="AY20" s="610" t="inlineStr"/>
      <c r="AZ20" s="610" t="inlineStr"/>
      <c r="BA20" s="610" t="inlineStr"/>
      <c r="BB20" s="610" t="inlineStr"/>
      <c r="BC20" s="610" t="inlineStr"/>
      <c r="BD20" s="610" t="inlineStr">
        <is>
          <t>N/A</t>
        </is>
      </c>
      <c r="BE20" s="610" t="inlineStr">
        <is>
          <t>N/A</t>
        </is>
      </c>
      <c r="BF20" s="610" t="inlineStr">
        <is>
          <t>D35; C24; C23; C19; C20; C28; H49; A01; A02; A03; E36; E37; E38; E39</t>
        </is>
      </c>
      <c r="BG20" s="610" t="inlineStr">
        <is>
          <t>CO2; CH4; N2O; HFCs</t>
        </is>
      </c>
      <c r="BH20" s="610" t="inlineStr">
        <is>
          <t>Positive</t>
        </is>
      </c>
      <c r="BI20" s="610" t="inlineStr">
        <is>
          <t>Technological innovation; Industrial development; Pollution control; Ecological protection</t>
        </is>
      </c>
      <c r="BJ20" s="610" t="inlineStr">
        <is>
          <t>Administrative Measures for the China Clean Development Mechanism Fund (seven-ministry Order No. 111, 2022)</t>
        </is>
      </c>
      <c r="BK20" s="610" t="inlineStr">
        <is>
          <t>https://www.gov.cn/zhengce/202309/content_6902627.htm</t>
        </is>
      </c>
      <c r="BL20" s="610" t="inlineStr">
        <is>
          <t>https://www.moj.gov.cn/pub/sfbgw/flfggz/flfggzbmgz/202305/t20230508_478349.html; https://www.cdmfund.cn</t>
        </is>
      </c>
      <c r="BM20" s="610" t="inlineStr"/>
    </row>
    <row r="21">
      <c r="A21" s="610" t="inlineStr">
        <is>
          <t>CHNSUBMPSI01S000</t>
        </is>
      </c>
      <c r="B21" s="610" t="inlineStr">
        <is>
          <t>Instrument</t>
        </is>
      </c>
      <c r="C21" s="610" t="inlineStr">
        <is>
          <t>Subsidy</t>
        </is>
      </c>
      <c r="D21" s="610" t="inlineStr">
        <is>
          <t>Low-emission machinery purchase subsidy</t>
        </is>
      </c>
      <c r="E21" s="610" t="inlineStr">
        <is>
          <t>AFOLU</t>
        </is>
      </c>
      <c r="F21" s="610" t="inlineStr">
        <is>
          <t>Agricultural machinery</t>
        </is>
      </c>
      <c r="G21" s="610" t="inlineStr">
        <is>
          <t>农机购置与应用补贴（新能源农机）</t>
        </is>
      </c>
      <c r="H21" s="610" t="inlineStr">
        <is>
          <t>Agricultural machinery purchase and application subsidy (new energy machinery)</t>
        </is>
      </c>
      <c r="I21" s="610" t="inlineStr">
        <is>
          <t>N/A</t>
        </is>
      </c>
      <c r="J21" s="610"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610" t="inlineStr">
        <is>
          <t>Green economy; Energy efficiency; Climate change mitigation</t>
        </is>
      </c>
      <c r="L21" s="610" t="inlineStr">
        <is>
          <t>Direct</t>
        </is>
      </c>
      <c r="M21" s="610" t="inlineStr">
        <is>
          <t>National</t>
        </is>
      </c>
      <c r="N21" s="610" t="inlineStr">
        <is>
          <t>N/A</t>
        </is>
      </c>
      <c r="O21" s="610" t="inlineStr">
        <is>
          <t>30/04/2024</t>
        </is>
      </c>
      <c r="P21" s="610" t="inlineStr">
        <is>
          <t>30/04/2024</t>
        </is>
      </c>
      <c r="Q21" s="610" t="inlineStr">
        <is>
          <t>31/12/2026</t>
        </is>
      </c>
      <c r="R21" s="610" t="inlineStr">
        <is>
          <t>06/09/2024</t>
        </is>
      </c>
      <c r="S21" s="610"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T21" s="610">
        <f>IF(P21="","In force",IF(P21="N/A","In force",IF(TODAY()&lt;DATE(VALUE(RIGHT(P21,4)),VALUE(MID(P21,4,2)),VALUE(LEFT(P21,2))),"Scheduled",IF(Q21="","In force",IF(Q21="N/A","In force",IF(TODAY()&lt;DATE(VALUE(RIGHT(Q21,4)),VALUE(MID(Q21,4,2)),VALUE(LEFT(Q21,2))),"In force","Ended"))))))</f>
        <v/>
      </c>
      <c r="U21" s="610"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V21" s="610" t="inlineStr">
        <is>
          <t>Agricultural or forestry machinery and parts thereof</t>
        </is>
      </c>
      <c r="W21" s="610" t="inlineStr">
        <is>
          <t>New</t>
        </is>
      </c>
      <c r="X21" s="610"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Y21" s="610"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Z21" s="610"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A21" s="610" t="inlineStr">
        <is>
          <t>Households; Firms</t>
        </is>
      </c>
      <c r="AB21" s="610"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C21" s="610" t="inlineStr">
        <is>
          <t>Purchase or use</t>
        </is>
      </c>
      <c r="AD21" s="610"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E21" s="610" t="inlineStr">
        <is>
          <t>35</t>
        </is>
      </c>
      <c r="AF21" s="610" t="inlineStr">
        <is>
          <t>% (subsidy calculation ratio)</t>
        </is>
      </c>
      <c r="AG21" s="610"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H21" s="610"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I21" s="610" t="inlineStr">
        <is>
          <t>N/A</t>
        </is>
      </c>
      <c r="AJ21" s="610"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K21" s="610" t="inlineStr">
        <is>
          <t>N/A</t>
        </is>
      </c>
      <c r="AL21" s="610" t="inlineStr">
        <is>
          <t>N/A</t>
        </is>
      </c>
      <c r="AM21" s="610" t="inlineStr">
        <is>
          <t>N/A</t>
        </is>
      </c>
      <c r="AN21" s="610" t="inlineStr">
        <is>
          <t>N/A</t>
        </is>
      </c>
      <c r="AO21" s="610"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P21" s="610" t="inlineStr">
        <is>
          <t>N/A</t>
        </is>
      </c>
      <c r="AQ21" s="610"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R21" s="610"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S21" s="610"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T21" s="610" t="inlineStr">
        <is>
          <t>N/A</t>
        </is>
      </c>
      <c r="AU21" s="610" t="inlineStr">
        <is>
          <t>N/A</t>
        </is>
      </c>
      <c r="AV21" s="610" t="inlineStr">
        <is>
          <t>N/A</t>
        </is>
      </c>
      <c r="AW21" s="610" t="inlineStr">
        <is>
          <t>N/A</t>
        </is>
      </c>
      <c r="AX21" s="610" t="inlineStr">
        <is>
          <t>N/A</t>
        </is>
      </c>
      <c r="AY21" s="610" t="inlineStr">
        <is>
          <t>N/A</t>
        </is>
      </c>
      <c r="AZ21" s="610" t="inlineStr">
        <is>
          <t>N/A</t>
        </is>
      </c>
      <c r="BA21" s="610" t="inlineStr">
        <is>
          <t>N/A</t>
        </is>
      </c>
      <c r="BB21" s="610" t="inlineStr">
        <is>
          <t>N/A</t>
        </is>
      </c>
      <c r="BC21" s="610" t="inlineStr">
        <is>
          <t>N/A</t>
        </is>
      </c>
      <c r="BD21" s="610" t="inlineStr">
        <is>
          <t>N/A</t>
        </is>
      </c>
      <c r="BE21" s="610" t="inlineStr">
        <is>
          <t>N/A</t>
        </is>
      </c>
      <c r="BF21" s="610" t="inlineStr">
        <is>
          <t>A01</t>
        </is>
      </c>
      <c r="BG21" s="610" t="inlineStr">
        <is>
          <t>CO2</t>
        </is>
      </c>
      <c r="BH21" s="610" t="inlineStr">
        <is>
          <t>Positive</t>
        </is>
      </c>
      <c r="BI21" s="610" t="inlineStr">
        <is>
          <t>Pollution control; Technological innovation</t>
        </is>
      </c>
      <c r="BJ21" s="610"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K21" s="610" t="inlineStr">
        <is>
          <t>https://www.moa.gov.cn/govpublic/NYJXHGLS/202406/t20240604_6456671.htm</t>
        </is>
      </c>
      <c r="BL21" s="610" t="inlineStr">
        <is>
          <t>https://www.moa.gov.cn/nybgb/2024/202410/202410/t20241022_6464800.htm</t>
        </is>
      </c>
      <c r="BM21" s="610" t="inlineStr"/>
    </row>
    <row r="22">
      <c r="A22" s="610" t="inlineStr">
        <is>
          <t>CHNSUBVPSI01S000</t>
        </is>
      </c>
      <c r="B22" s="610" t="inlineStr">
        <is>
          <t>Instrument</t>
        </is>
      </c>
      <c r="C22" s="610" t="inlineStr">
        <is>
          <t>Subsidy</t>
        </is>
      </c>
      <c r="D22" s="610" t="inlineStr">
        <is>
          <t>Vehicle purchase subsidy</t>
        </is>
      </c>
      <c r="E22" s="610" t="inlineStr">
        <is>
          <t>Transport</t>
        </is>
      </c>
      <c r="F22" s="610" t="inlineStr">
        <is>
          <t>Road freight; road transport</t>
        </is>
      </c>
      <c r="G22" s="610" t="inlineStr">
        <is>
          <t>老旧营运货车报废更新补贴</t>
        </is>
      </c>
      <c r="H22" s="610" t="inlineStr">
        <is>
          <t>Old operating truck scrapping and renewal subsidy</t>
        </is>
      </c>
      <c r="I22" s="610" t="inlineStr">
        <is>
          <t>Large-scale equipment renewal and consumer goods trade-in</t>
        </is>
      </c>
      <c r="J22" s="610"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610" t="inlineStr">
        <is>
          <t>Green economy; Climate change mitigation; Energy efficiency</t>
        </is>
      </c>
      <c r="L22" s="610" t="inlineStr">
        <is>
          <t>Direct</t>
        </is>
      </c>
      <c r="M22" s="610" t="inlineStr">
        <is>
          <t>National</t>
        </is>
      </c>
      <c r="N22" s="610" t="inlineStr">
        <is>
          <t>N/A</t>
        </is>
      </c>
      <c r="O22" s="610" t="inlineStr">
        <is>
          <t>30/07/2024</t>
        </is>
      </c>
      <c r="P22" s="610" t="inlineStr">
        <is>
          <t>31/07/2024</t>
        </is>
      </c>
      <c r="Q22" s="610" t="inlineStr">
        <is>
          <t>31/12/2026</t>
        </is>
      </c>
      <c r="R22" s="610" t="inlineStr">
        <is>
          <t>20/03/2026</t>
        </is>
      </c>
      <c r="S22" s="610" t="inlineStr">
        <is>
          <t>On 27 August 2024, the general offices of MOT, MPS, MOF and MOFCOM jointly issued the Notice on Further Improving the Scrapping and Renewal of Old Operating Trucks (交办运〔2024〕44号), detailing fund application, review and disbursement procedures.</t>
        </is>
      </c>
      <c r="T22" s="610">
        <f>IF(P22="","In force",IF(P22="N/A","In force",IF(TODAY()&lt;DATE(VALUE(RIGHT(P22,4)),VALUE(MID(P22,4,2)),VALUE(LEFT(P22,2))),"Scheduled",IF(Q22="","In force",IF(Q22="N/A","In force",IF(TODAY()&lt;DATE(VALUE(RIGHT(Q22,4)),VALUE(MID(Q22,4,2)),VALUE(LEFT(Q22,2))),"In force","Ended"))))))</f>
        <v/>
      </c>
      <c r="U22" s="610"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V22" s="610" t="inlineStr">
        <is>
          <t>Road vehicles</t>
        </is>
      </c>
      <c r="W22" s="610" t="inlineStr">
        <is>
          <t>Existing</t>
        </is>
      </c>
      <c r="X22" s="610"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Y22" s="610" t="inlineStr">
        <is>
          <t>N/A</t>
        </is>
      </c>
      <c r="Z22" s="610"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A22" s="610" t="inlineStr">
        <is>
          <t>Firms</t>
        </is>
      </c>
      <c r="AB22" s="610" t="inlineStr">
        <is>
          <t>Freight enterprises holding valid road transport operating permits (vehicle owners). Includes state-owned and private freight enterprises engaged in road general freight and specialised freight transport.</t>
        </is>
      </c>
      <c r="AC22" s="610" t="inlineStr">
        <is>
          <t>Disposal, collection or sorting (post-consumer); Purchase or use</t>
        </is>
      </c>
      <c r="AD22" s="610"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E22" s="610" t="inlineStr">
        <is>
          <t>1.0-9.5</t>
        </is>
      </c>
      <c r="AF22" s="610" t="inlineStr">
        <is>
          <t>10,000 yuan/vehicle</t>
        </is>
      </c>
      <c r="AG22" s="610"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H22" s="610"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I22" s="610" t="inlineStr">
        <is>
          <t>N/A</t>
        </is>
      </c>
      <c r="AJ22" s="610"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K22" s="610" t="inlineStr">
        <is>
          <t>N/A</t>
        </is>
      </c>
      <c r="AL22" s="610" t="inlineStr">
        <is>
          <t>N/A</t>
        </is>
      </c>
      <c r="AM22" s="610" t="inlineStr">
        <is>
          <t>N/A</t>
        </is>
      </c>
      <c r="AN22" s="610" t="inlineStr">
        <is>
          <t>N/A</t>
        </is>
      </c>
      <c r="AO22" s="610" t="inlineStr">
        <is>
          <t>Scrap-only: medium trucks 10,000–25,000 yuan/vehicle; heavy trucks 12,000–45,000 yuan/vehicle. Scrap-and-renewal total: medium trucks max 60,000 yuan/vehicle; heavy 4+-axle max 140,000 yuan/vehicle. Purchase-only new energy cold-chain distribution truck: 35,000 yuan/vehicle.</t>
        </is>
      </c>
      <c r="AP22" s="610" t="inlineStr">
        <is>
          <t>N/A</t>
        </is>
      </c>
      <c r="AQ22" s="610"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R22" s="610" t="inlineStr">
        <is>
          <t>31 July 2024 to 31 December 2024. Scrapping, renewal and new purchase must be completed within the policy period.</t>
        </is>
      </c>
      <c r="AS22" s="610"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T22" s="610" t="inlineStr">
        <is>
          <t>N/A</t>
        </is>
      </c>
      <c r="AU22" s="610" t="inlineStr">
        <is>
          <t>N/A</t>
        </is>
      </c>
      <c r="AV22" s="610" t="inlineStr">
        <is>
          <t>N/A</t>
        </is>
      </c>
      <c r="AW22" s="610" t="inlineStr">
        <is>
          <t>N/A</t>
        </is>
      </c>
      <c r="AX22" s="610" t="inlineStr">
        <is>
          <t>N/A</t>
        </is>
      </c>
      <c r="AY22" s="610" t="inlineStr">
        <is>
          <t>N/A</t>
        </is>
      </c>
      <c r="AZ22" s="610" t="inlineStr">
        <is>
          <t>N/A</t>
        </is>
      </c>
      <c r="BA22" s="610" t="inlineStr">
        <is>
          <t>N/A</t>
        </is>
      </c>
      <c r="BB22" s="610" t="inlineStr">
        <is>
          <t>N/A</t>
        </is>
      </c>
      <c r="BC22" s="610" t="inlineStr">
        <is>
          <t>N/A</t>
        </is>
      </c>
      <c r="BD22" s="610" t="inlineStr">
        <is>
          <t>N/A</t>
        </is>
      </c>
      <c r="BE22" s="610" t="inlineStr">
        <is>
          <t>N/A</t>
        </is>
      </c>
      <c r="BF22" s="610" t="inlineStr">
        <is>
          <t>H49</t>
        </is>
      </c>
      <c r="BG22" s="610" t="inlineStr">
        <is>
          <t>CO2</t>
        </is>
      </c>
      <c r="BH22" s="610" t="inlineStr">
        <is>
          <t>Positive</t>
        </is>
      </c>
      <c r="BI22" s="610" t="inlineStr">
        <is>
          <t>Pollution control; Energy security; Industrial development</t>
        </is>
      </c>
      <c r="BJ22" s="610"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K22" s="610" t="inlineStr">
        <is>
          <t>https://app.www.gov.cn/govdata/gov/202408/02/517908/article.html</t>
        </is>
      </c>
      <c r="BL22" s="610"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M22" s="610" t="inlineStr"/>
    </row>
    <row r="23">
      <c r="A23" s="610" t="inlineStr">
        <is>
          <t>CHNSUBVPSI02S000</t>
        </is>
      </c>
      <c r="B23" s="610" t="inlineStr">
        <is>
          <t>Instrument</t>
        </is>
      </c>
      <c r="C23" s="610" t="inlineStr">
        <is>
          <t>Subsidy</t>
        </is>
      </c>
      <c r="D23" s="610" t="inlineStr">
        <is>
          <t>Vehicle purchase subsidy</t>
        </is>
      </c>
      <c r="E23" s="610" t="inlineStr">
        <is>
          <t>Transport</t>
        </is>
      </c>
      <c r="F23" s="610" t="inlineStr">
        <is>
          <t>Road passenger transport; personal transport</t>
        </is>
      </c>
      <c r="G23" s="610" t="inlineStr">
        <is>
          <t>汽车报废更新补贴</t>
        </is>
      </c>
      <c r="H23" s="610" t="inlineStr">
        <is>
          <t>Car scrapping and renewal subsidy</t>
        </is>
      </c>
      <c r="I23" s="610" t="inlineStr">
        <is>
          <t>Large-scale equipment renewal and consumer goods trade-in</t>
        </is>
      </c>
      <c r="J23" s="610"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610" t="inlineStr">
        <is>
          <t>Green economy; Climate change mitigation; Energy efficiency</t>
        </is>
      </c>
      <c r="L23" s="610" t="inlineStr">
        <is>
          <t>Direct</t>
        </is>
      </c>
      <c r="M23" s="610" t="inlineStr">
        <is>
          <t>National</t>
        </is>
      </c>
      <c r="N23" s="610" t="inlineStr">
        <is>
          <t>N/A</t>
        </is>
      </c>
      <c r="O23" s="610" t="inlineStr">
        <is>
          <t>24/04/2024</t>
        </is>
      </c>
      <c r="P23" s="610" t="inlineStr">
        <is>
          <t>24/04/2024</t>
        </is>
      </c>
      <c r="Q23" s="610" t="inlineStr">
        <is>
          <t>31/12/2026</t>
        </is>
      </c>
      <c r="R23" s="610" t="inlineStr">
        <is>
          <t>30/12/2025</t>
        </is>
      </c>
      <c r="S23" s="610"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T23" s="610">
        <f>IF(P23="","In force",IF(P23="N/A","In force",IF(TODAY()&lt;DATE(VALUE(RIGHT(P23,4)),VALUE(MID(P23,4,2)),VALUE(LEFT(P23,2))),"Scheduled",IF(Q23="","In force",IF(Q23="N/A","In force",IF(TODAY()&lt;DATE(VALUE(RIGHT(Q23,4)),VALUE(MID(Q23,4,2)),VALUE(LEFT(Q23,2))),"In force","Ended"))))))</f>
        <v/>
      </c>
      <c r="U23" s="610"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V23" s="610" t="inlineStr">
        <is>
          <t>Road vehicles</t>
        </is>
      </c>
      <c r="W23" s="610" t="inlineStr">
        <is>
          <t>Existing</t>
        </is>
      </c>
      <c r="X23" s="610"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Y23" s="610" t="inlineStr">
        <is>
          <t>N/A</t>
        </is>
      </c>
      <c r="Z23" s="610" t="inlineStr">
        <is>
          <t>Old vehicles: China III and below fuel passenger cars, or NEV passenger cars registered before 30 April 2018. New fuel passenger cars: engine displacement ≤2.0 litres.</t>
        </is>
      </c>
      <c r="AA23" s="610" t="inlineStr">
        <is>
          <t>Households</t>
        </is>
      </c>
      <c r="AB23" s="610" t="inlineStr">
        <is>
          <t>Individual consumers (natural persons). The owner of the scrapped old vehicle and the new vehicle must be the same person. Enterprises and institutions are excluded.</t>
        </is>
      </c>
      <c r="AC23" s="610" t="inlineStr">
        <is>
          <t>Disposal, collection or sorting (post-consumer); Purchase or use</t>
        </is>
      </c>
      <c r="AD23" s="610"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E23" s="610" t="inlineStr">
        <is>
          <t>1.5-2.0</t>
        </is>
      </c>
      <c r="AF23" s="610" t="inlineStr">
        <is>
          <t>10,000 yuan/vehicle</t>
        </is>
      </c>
      <c r="AG23" s="610"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H23" s="610"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I23" s="610" t="inlineStr">
        <is>
          <t>N/A</t>
        </is>
      </c>
      <c r="AJ23" s="610"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K23" s="610" t="inlineStr">
        <is>
          <t>N/A</t>
        </is>
      </c>
      <c r="AL23" s="610" t="inlineStr">
        <is>
          <t>N/A</t>
        </is>
      </c>
      <c r="AM23" s="610" t="inlineStr">
        <is>
          <t>N/A</t>
        </is>
      </c>
      <c r="AN23" s="610" t="inlineStr">
        <is>
          <t>N/A</t>
        </is>
      </c>
      <c r="AO23" s="610" t="inlineStr">
        <is>
          <t>NEV passenger car: 20,000 yuan/vehicle; fuel passenger car (≤2.0L): 15,000 yuan/vehicle.</t>
        </is>
      </c>
      <c r="AP23" s="610" t="inlineStr">
        <is>
          <t>N/A</t>
        </is>
      </c>
      <c r="AQ23" s="610" t="inlineStr">
        <is>
          <t>Central finance allocates subsidy funds to provincial finance via transfer payments. Individual consumers submit online applications; after review and public announcement, finance departments disburse funds to consumers' personal bank accounts.</t>
        </is>
      </c>
      <c r="AR23" s="610" t="inlineStr">
        <is>
          <t>24 April 2024 to 31 December 2024. Supporting documents must be obtained within this period.</t>
        </is>
      </c>
      <c r="AS23" s="610"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T23" s="610" t="inlineStr">
        <is>
          <t>N/A</t>
        </is>
      </c>
      <c r="AU23" s="610" t="inlineStr">
        <is>
          <t>N/A</t>
        </is>
      </c>
      <c r="AV23" s="610" t="inlineStr">
        <is>
          <t>N/A</t>
        </is>
      </c>
      <c r="AW23" s="610" t="inlineStr">
        <is>
          <t>N/A</t>
        </is>
      </c>
      <c r="AX23" s="610" t="inlineStr">
        <is>
          <t>N/A</t>
        </is>
      </c>
      <c r="AY23" s="610" t="inlineStr">
        <is>
          <t>N/A</t>
        </is>
      </c>
      <c r="AZ23" s="610" t="inlineStr">
        <is>
          <t>N/A</t>
        </is>
      </c>
      <c r="BA23" s="610" t="inlineStr">
        <is>
          <t>N/A</t>
        </is>
      </c>
      <c r="BB23" s="610" t="inlineStr">
        <is>
          <t>N/A</t>
        </is>
      </c>
      <c r="BC23" s="610" t="inlineStr">
        <is>
          <t>N/A</t>
        </is>
      </c>
      <c r="BD23" s="610" t="inlineStr">
        <is>
          <t>N/A</t>
        </is>
      </c>
      <c r="BE23" s="610" t="inlineStr">
        <is>
          <t>N/A</t>
        </is>
      </c>
      <c r="BF23" s="610" t="inlineStr">
        <is>
          <t>H49</t>
        </is>
      </c>
      <c r="BG23" s="610" t="inlineStr">
        <is>
          <t>CO2</t>
        </is>
      </c>
      <c r="BH23" s="610" t="inlineStr">
        <is>
          <t>Positive</t>
        </is>
      </c>
      <c r="BI23" s="610" t="inlineStr">
        <is>
          <t>Pollution control; Energy security; Industrial development</t>
        </is>
      </c>
      <c r="BJ23" s="610" t="inlineStr">
        <is>
          <t>Implementation Rules for Car Trade-in Subsidies (商消费函〔2024〕75号); Notice on Further Improving Car Trade-in Work (商消费函〔2024〕392号); Action Plan for Promoting Large-scale Equipment Renewal and Consumer Goods Trade-in (国发〔2024〕7号)</t>
        </is>
      </c>
      <c r="BK23" s="610" t="inlineStr">
        <is>
          <t>http://www.mofcom.gov.cn/zfxxgk/fdzdgknr/ztfl/gnmygl/art/2024/art_00ec662a1a234fa6878308334ad0d728.html</t>
        </is>
      </c>
      <c r="BL23" s="610" t="inlineStr">
        <is>
          <t>https://www.mofcom.gov.cn/zfxxgk/gkml/art/2024/art_d4224d2ebd8b4120875bc99963538fbe.html; https://www.gov.cn/zhengce/zhengceku/202501/content_6999564.htm; https://policy.mofcom.gov.cn/claw/clawContent.shtml?id=104379; https://www.gov.cn/zhengce/content/202403/content_6939136.htm</t>
        </is>
      </c>
      <c r="BM23" s="610" t="inlineStr"/>
    </row>
    <row r="24">
      <c r="A24" s="610" t="inlineStr">
        <is>
          <t>CHNSUBVPSI03S000</t>
        </is>
      </c>
      <c r="B24" s="610" t="inlineStr">
        <is>
          <t>Instrument</t>
        </is>
      </c>
      <c r="C24" s="610" t="inlineStr">
        <is>
          <t>Subsidy</t>
        </is>
      </c>
      <c r="D24" s="610" t="inlineStr">
        <is>
          <t>Vehicle purchase subsidy</t>
        </is>
      </c>
      <c r="E24" s="610" t="inlineStr">
        <is>
          <t>Transport</t>
        </is>
      </c>
      <c r="F24" s="610" t="inlineStr">
        <is>
          <t>Road passenger transport; personal transport</t>
        </is>
      </c>
      <c r="G24" s="610" t="inlineStr">
        <is>
          <t>汽车置换更新补贴</t>
        </is>
      </c>
      <c r="H24" s="610" t="inlineStr">
        <is>
          <t>Car replacement subsidy</t>
        </is>
      </c>
      <c r="I24" s="610" t="inlineStr">
        <is>
          <t>Large-scale equipment renewal and consumer goods trade-in</t>
        </is>
      </c>
      <c r="J24" s="610"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610" t="inlineStr">
        <is>
          <t>Green economy; Climate change mitigation; Energy efficiency</t>
        </is>
      </c>
      <c r="L24" s="610" t="inlineStr">
        <is>
          <t>Direct</t>
        </is>
      </c>
      <c r="M24" s="610" t="inlineStr">
        <is>
          <t>National</t>
        </is>
      </c>
      <c r="N24" s="610" t="inlineStr">
        <is>
          <t>N/A</t>
        </is>
      </c>
      <c r="O24" s="610" t="inlineStr">
        <is>
          <t>15/08/2024</t>
        </is>
      </c>
      <c r="P24" s="610" t="inlineStr">
        <is>
          <t>15/08/2024</t>
        </is>
      </c>
      <c r="Q24" s="610" t="inlineStr">
        <is>
          <t>31/12/2026</t>
        </is>
      </c>
      <c r="R24" s="610" t="inlineStr">
        <is>
          <t>30/12/2025</t>
        </is>
      </c>
      <c r="S24" s="610" t="inlineStr">
        <is>
          <t>No subsequent amendment specifically revising the car replacement provisions of 商消费函〔2024〕392号 has been identified.</t>
        </is>
      </c>
      <c r="T24" s="610">
        <f>IF(P24="","In force",IF(P24="N/A","In force",IF(TODAY()&lt;DATE(VALUE(RIGHT(P24,4)),VALUE(MID(P24,4,2)),VALUE(LEFT(P24,2))),"Scheduled",IF(Q24="","In force",IF(Q24="N/A","In force",IF(TODAY()&lt;DATE(VALUE(RIGHT(Q24,4)),VALUE(MID(Q24,4,2)),VALUE(LEFT(Q24,2))),"In force","Ended"))))))</f>
        <v/>
      </c>
      <c r="U24" s="610"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V24" s="610" t="inlineStr">
        <is>
          <t>Road vehicles</t>
        </is>
      </c>
      <c r="W24" s="610" t="inlineStr">
        <is>
          <t>Existing</t>
        </is>
      </c>
      <c r="X24" s="610"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Y24" s="610" t="inlineStr">
        <is>
          <t>Each province determines its own old vehicle transfer conditions and new vehicle purchase requirements.</t>
        </is>
      </c>
      <c r="Z24" s="610" t="inlineStr">
        <is>
          <t>Old vehicles must be passenger cars registered in individual consumers' names. New passenger car restrictions determined by each province. Replacement and scrapping subsidies are mutually exclusive.</t>
        </is>
      </c>
      <c r="AA24" s="610" t="inlineStr">
        <is>
          <t>Households</t>
        </is>
      </c>
      <c r="AB24" s="610" t="inlineStr">
        <is>
          <t>Individual consumers (natural persons). The owner transferring the old vehicle and purchasing the new vehicle must be the same person. Enterprises and institutions are excluded.</t>
        </is>
      </c>
      <c r="AC24" s="610" t="inlineStr">
        <is>
          <t>Purchase or use; Transfer, assignment or trading</t>
        </is>
      </c>
      <c r="AD24" s="610"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E24" s="610" t="inlineStr">
        <is>
          <t>0.8-2.0</t>
        </is>
      </c>
      <c r="AF24" s="610" t="inlineStr">
        <is>
          <t>10,000 yuan/vehicle</t>
        </is>
      </c>
      <c r="AG24" s="610"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H24" s="610" t="inlineStr">
        <is>
          <t>Applicants must be individual consumers; old and new vehicle owners must be the same person. Old vehicles transferred through legal second-hand car trading channels. Replacement and scrapping subsidies cannot be claimed simultaneously.</t>
        </is>
      </c>
      <c r="AI24" s="610" t="inlineStr">
        <is>
          <t>N/A</t>
        </is>
      </c>
      <c r="AJ24" s="610" t="inlineStr">
        <is>
          <t>Subsidy amounts determined by each province under its local scheme, generally graded by new vehicle fuel type and engine displacement. Provinces generally impose a total fund cap; new applications not accepted once budget is exhausted.</t>
        </is>
      </c>
      <c r="AK24" s="610" t="inlineStr">
        <is>
          <t>N/A</t>
        </is>
      </c>
      <c r="AL24" s="610" t="inlineStr">
        <is>
          <t>N/A</t>
        </is>
      </c>
      <c r="AM24" s="610" t="inlineStr">
        <is>
          <t>N/A</t>
        </is>
      </c>
      <c r="AN24" s="610" t="inlineStr">
        <is>
          <t>N/A</t>
        </is>
      </c>
      <c r="AO24" s="610" t="inlineStr">
        <is>
          <t>Each province sets its own total budget cap and per-vehicle caps. Generally NEV ≤20,000 yuan/vehicle; fuel vehicle ≤15,000 yuan/vehicle.</t>
        </is>
      </c>
      <c r="AP24" s="610" t="inlineStr">
        <is>
          <t>N/A</t>
        </is>
      </c>
      <c r="AQ24" s="610" t="inlineStr">
        <is>
          <t>Each province determines its own fund-sharing ratio and disbursement method. Individual consumers apply through provincial platforms; after review, funds disbursed to personal bank accounts.</t>
        </is>
      </c>
      <c r="AR24" s="610" t="inlineStr">
        <is>
          <t>Provincial periods generally aligned with car scrapping subsidy, August 2024 to 31 December 2024.</t>
        </is>
      </c>
      <c r="AS24" s="610" t="inlineStr">
        <is>
          <t>Provincial commerce authorities responsible for application review. Public security authorities responsible for vehicle registration verification. Replacement and scrapping subsidy information cross-checked to prevent duplicate claims.</t>
        </is>
      </c>
      <c r="AT24" s="610" t="inlineStr">
        <is>
          <t>N/A</t>
        </is>
      </c>
      <c r="AU24" s="610" t="inlineStr">
        <is>
          <t>N/A</t>
        </is>
      </c>
      <c r="AV24" s="610" t="inlineStr">
        <is>
          <t>N/A</t>
        </is>
      </c>
      <c r="AW24" s="610" t="inlineStr">
        <is>
          <t>N/A</t>
        </is>
      </c>
      <c r="AX24" s="610" t="inlineStr">
        <is>
          <t>N/A</t>
        </is>
      </c>
      <c r="AY24" s="610" t="inlineStr">
        <is>
          <t>N/A</t>
        </is>
      </c>
      <c r="AZ24" s="610" t="inlineStr">
        <is>
          <t>N/A</t>
        </is>
      </c>
      <c r="BA24" s="610" t="inlineStr">
        <is>
          <t>N/A</t>
        </is>
      </c>
      <c r="BB24" s="610" t="inlineStr">
        <is>
          <t>N/A</t>
        </is>
      </c>
      <c r="BC24" s="610" t="inlineStr">
        <is>
          <t>N/A</t>
        </is>
      </c>
      <c r="BD24" s="610" t="inlineStr">
        <is>
          <t>N/A</t>
        </is>
      </c>
      <c r="BE24" s="610" t="inlineStr">
        <is>
          <t>N/A</t>
        </is>
      </c>
      <c r="BF24" s="610" t="inlineStr">
        <is>
          <t>H49</t>
        </is>
      </c>
      <c r="BG24" s="610" t="inlineStr">
        <is>
          <t>CO2</t>
        </is>
      </c>
      <c r="BH24" s="610" t="inlineStr">
        <is>
          <t>Positive</t>
        </is>
      </c>
      <c r="BI24" s="610" t="inlineStr">
        <is>
          <t>Pollution control; Industrial development</t>
        </is>
      </c>
      <c r="BJ24" s="610" t="inlineStr">
        <is>
          <t>Notice on Further Improving Car Trade-in Work (商消费函〔2024〕392号); Action Plan for Promoting Large-scale Equipment Renewal and Consumer Goods Trade-in (国发〔2024〕7号)</t>
        </is>
      </c>
      <c r="BK24" s="610" t="inlineStr">
        <is>
          <t>https://www.mofcom.gov.cn/zfxxgk/gkml/art/2024/art_d4224d2ebd8b4120875bc99963538fbe.html</t>
        </is>
      </c>
      <c r="BL24" s="610" t="inlineStr">
        <is>
          <t>https://www.mofcom.gov.cn/zfxxgk/gkml/art/2024/art_d4224d2ebd8b4120875bc99963538fbe.html; https://www.gov.cn/zhengce/zhengceku/202501/content_6999564.htm; https://policy.mofcom.gov.cn/claw/clawContent.shtml?id=104379; https://www.gov.cn/zhengce/content/202403/content_6939136.htm</t>
        </is>
      </c>
      <c r="BM24" s="610" t="inlineStr"/>
    </row>
    <row r="25">
      <c r="A25" s="610" t="inlineStr">
        <is>
          <t>CHNSUBVPSI04S000</t>
        </is>
      </c>
      <c r="B25" s="610" t="inlineStr">
        <is>
          <t>Instrument</t>
        </is>
      </c>
      <c r="C25" s="610" t="inlineStr">
        <is>
          <t>Subsidy</t>
        </is>
      </c>
      <c r="D25" s="610" t="inlineStr">
        <is>
          <t>Vehicle purchase subsidy</t>
        </is>
      </c>
      <c r="E25" s="610" t="inlineStr">
        <is>
          <t>Transport</t>
        </is>
      </c>
      <c r="F25" s="610" t="inlineStr">
        <is>
          <t>Urban public transport</t>
        </is>
      </c>
      <c r="G25" s="610" t="inlineStr">
        <is>
          <t>新能源城市公交车及动力电池更新补贴</t>
        </is>
      </c>
      <c r="H25" s="610" t="inlineStr">
        <is>
          <t>New energy city bus and power battery renewal subsidy</t>
        </is>
      </c>
      <c r="I25" s="610" t="inlineStr">
        <is>
          <t>Large-scale equipment renewal and consumer goods trade-in</t>
        </is>
      </c>
      <c r="J25" s="610"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610" t="inlineStr">
        <is>
          <t>Green economy; Climate change mitigation; Energy efficiency</t>
        </is>
      </c>
      <c r="L25" s="610" t="inlineStr">
        <is>
          <t>Direct</t>
        </is>
      </c>
      <c r="M25" s="610" t="inlineStr">
        <is>
          <t>National</t>
        </is>
      </c>
      <c r="N25" s="610" t="inlineStr">
        <is>
          <t>N/A</t>
        </is>
      </c>
      <c r="O25" s="610" t="inlineStr">
        <is>
          <t>29/07/2024</t>
        </is>
      </c>
      <c r="P25" s="610" t="inlineStr">
        <is>
          <t>29/07/2024</t>
        </is>
      </c>
      <c r="Q25" s="610" t="inlineStr">
        <is>
          <t>31/12/2026</t>
        </is>
      </c>
      <c r="R25" s="610" t="inlineStr">
        <is>
          <t>01/05/2026</t>
        </is>
      </c>
      <c r="S25" s="610"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T25" s="610">
        <f>IF(P25="","In force",IF(P25="N/A","In force",IF(TODAY()&lt;DATE(VALUE(RIGHT(P25,4)),VALUE(MID(P25,4,2)),VALUE(LEFT(P25,2))),"Scheduled",IF(Q25="","In force",IF(Q25="N/A","In force",IF(TODAY()&lt;DATE(VALUE(RIGHT(Q25,4)),VALUE(MID(Q25,4,2)),VALUE(LEFT(Q25,2))),"In force","Ended"))))))</f>
        <v/>
      </c>
      <c r="U25" s="610"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V25" s="610" t="inlineStr">
        <is>
          <t>Road vehicles; Batteries</t>
        </is>
      </c>
      <c r="W25" s="610" t="inlineStr">
        <is>
          <t>Existing</t>
        </is>
      </c>
      <c r="X25" s="610"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Y25" s="610" t="inlineStr">
        <is>
          <t>N/A</t>
        </is>
      </c>
      <c r="Z25" s="610" t="inlineStr">
        <is>
          <t>Buses aged ≥8 years (registered on or before 31 December 2016). New buses must be listed in the national NEV catalogues. Battery replacement subsidy capped at 50% of new battery purchase price.</t>
        </is>
      </c>
      <c r="AA25" s="610" t="inlineStr">
        <is>
          <t>Firms</t>
        </is>
      </c>
      <c r="AB25" s="610" t="inlineStr">
        <is>
          <t>City bus enterprises legally holding urban bus route operating rights.</t>
        </is>
      </c>
      <c r="AC25" s="610" t="inlineStr">
        <is>
          <t>Disposal, collection or sorting (post-consumer); Purchase or use</t>
        </is>
      </c>
      <c r="AD25" s="610" t="inlineStr">
        <is>
          <t>City bus enterprises scrap and deregister old buses aged 8 years or above and purchase eligible new energy city buses, or replace full sets of power batteries in existing buses. Battery replacement must be carried out by qualified enterprises.</t>
        </is>
      </c>
      <c r="AE25" s="610" t="inlineStr">
        <is>
          <t>4.2-8.0</t>
        </is>
      </c>
      <c r="AF25" s="610" t="inlineStr">
        <is>
          <t>10,000 yuan/vehicle</t>
        </is>
      </c>
      <c r="AG25" s="610" t="inlineStr">
        <is>
          <t>New energy city bus renewal: average 80,000 yuan/vehicle. Power battery replacement: 42,000 yuan/vehicle, capped at 50% of new battery price. Source: 交运函〔2024〕390号.</t>
        </is>
      </c>
      <c r="AH25" s="610"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I25" s="610" t="inlineStr">
        <is>
          <t>N/A</t>
        </is>
      </c>
      <c r="AJ25" s="610" t="inlineStr">
        <is>
          <t>Bus renewal subsidy = number of vehicles × per-vehicle rate set by each locality. Battery replacement subsidy = number of vehicles × 42,000 yuan/vehicle, capped at 50% of new battery price.</t>
        </is>
      </c>
      <c r="AK25" s="610" t="inlineStr">
        <is>
          <t>N/A</t>
        </is>
      </c>
      <c r="AL25" s="610" t="inlineStr">
        <is>
          <t>N/A</t>
        </is>
      </c>
      <c r="AM25" s="610" t="inlineStr">
        <is>
          <t>N/A</t>
        </is>
      </c>
      <c r="AN25" s="610" t="inlineStr">
        <is>
          <t>N/A</t>
        </is>
      </c>
      <c r="AO25" s="610" t="inlineStr">
        <is>
          <t>Bus renewal: average 80,000 yuan/vehicle. Battery replacement: 42,000 yuan/vehicle, capped at 50% of new battery price. Localities shall not require scrapped assets to be delivered to designated enterprises.</t>
        </is>
      </c>
      <c r="AP25" s="610" t="inlineStr">
        <is>
          <t>N/A</t>
        </is>
      </c>
      <c r="AQ25" s="610" t="inlineStr">
        <is>
          <t>MOF pre-disburses 60% of subsidy funds to provincial finance. City bus enterprises apply to local transport authorities; after review, funds disbursed to enterprise accounts. Central-local sharing: East 85:15, Central 90:10, West 95:5.</t>
        </is>
      </c>
      <c r="AR25" s="610" t="inlineStr">
        <is>
          <t>29 July 2024 to 31 December 2024. Documents must be dated 1 July 2024 to 31 December 2024. Application deadline: 20 January 2025. Provincial aggregation deadline: 28 February 2025.</t>
        </is>
      </c>
      <c r="AS25" s="610" t="inlineStr">
        <is>
          <t>Transport authorities responsible for eligibility review; finance authorities for fund management. False declarations subject to recovery of funds and legal liability.</t>
        </is>
      </c>
      <c r="AT25" s="610" t="inlineStr">
        <is>
          <t>N/A</t>
        </is>
      </c>
      <c r="AU25" s="610" t="inlineStr">
        <is>
          <t>N/A</t>
        </is>
      </c>
      <c r="AV25" s="610" t="inlineStr">
        <is>
          <t>N/A</t>
        </is>
      </c>
      <c r="AW25" s="610" t="inlineStr">
        <is>
          <t>N/A</t>
        </is>
      </c>
      <c r="AX25" s="610" t="inlineStr">
        <is>
          <t>N/A</t>
        </is>
      </c>
      <c r="AY25" s="610" t="inlineStr">
        <is>
          <t>N/A</t>
        </is>
      </c>
      <c r="AZ25" s="610" t="inlineStr">
        <is>
          <t>N/A</t>
        </is>
      </c>
      <c r="BA25" s="610" t="inlineStr">
        <is>
          <t>N/A</t>
        </is>
      </c>
      <c r="BB25" s="610" t="inlineStr">
        <is>
          <t>N/A</t>
        </is>
      </c>
      <c r="BC25" s="610" t="inlineStr">
        <is>
          <t>N/A</t>
        </is>
      </c>
      <c r="BD25" s="610" t="inlineStr">
        <is>
          <t>N/A</t>
        </is>
      </c>
      <c r="BE25" s="610" t="inlineStr">
        <is>
          <t>N/A</t>
        </is>
      </c>
      <c r="BF25" s="610" t="inlineStr">
        <is>
          <t>H49</t>
        </is>
      </c>
      <c r="BG25" s="610" t="inlineStr">
        <is>
          <t>CO2</t>
        </is>
      </c>
      <c r="BH25" s="610" t="inlineStr">
        <is>
          <t>Positive</t>
        </is>
      </c>
      <c r="BI25" s="610" t="inlineStr">
        <is>
          <t>Pollution control; Energy security; Public health</t>
        </is>
      </c>
      <c r="BJ25" s="610"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K25" s="610" t="inlineStr">
        <is>
          <t>https://www.ndrc.gov.cn/xwdt/ztzl/tddgmsbgxhxfpyjhx/gzdt/202410/t20241031_1394144_ext.html</t>
        </is>
      </c>
      <c r="BL25" s="610" t="inlineStr">
        <is>
          <t>https://xxgk.mot.gov.cn/2020/jigou/ysfws/202409/t20240925_4156949.html; https://policy.mofcom.gov.cn/claw/clawContent.shtml?id=103251; https://www.gov.cn/zhengce/content/202403/content_6939136.htm; https://www.ndrc.gov.cn/xxgk/zcfb/tz/202404/t20240409_1364672.html</t>
        </is>
      </c>
      <c r="BM25" s="610" t="inlineStr"/>
    </row>
    <row r="26">
      <c r="A26" s="610" t="inlineStr">
        <is>
          <t>CHNSUBECDI01S000</t>
        </is>
      </c>
      <c r="B26" s="610" t="inlineStr">
        <is>
          <t>Instrument</t>
        </is>
      </c>
      <c r="C26" s="610" t="inlineStr">
        <is>
          <t>Subsidy</t>
        </is>
      </c>
      <c r="D26" s="610" t="inlineStr">
        <is>
          <t>Renewable electricity contract for difference</t>
        </is>
      </c>
      <c r="E26" s="610" t="inlineStr">
        <is>
          <t>Energy</t>
        </is>
      </c>
      <c r="F26" s="610" t="inlineStr">
        <is>
          <t>Renewable electricity; wind power; solar power; new energy power generation</t>
        </is>
      </c>
      <c r="G26" s="610" t="inlineStr">
        <is>
          <t>新能源可持续发展价格结算机制</t>
        </is>
      </c>
      <c r="H26" s="610" t="inlineStr">
        <is>
          <t>New energy sustainable price settlement mechanism</t>
        </is>
      </c>
      <c r="I26" s="610" t="inlineStr">
        <is>
          <t>N/A</t>
        </is>
      </c>
      <c r="J26" s="610"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610" t="inlineStr">
        <is>
          <t>Renewable energy development; Green economy</t>
        </is>
      </c>
      <c r="L26" s="610" t="inlineStr">
        <is>
          <t>Direct</t>
        </is>
      </c>
      <c r="M26" s="610" t="inlineStr">
        <is>
          <t>national</t>
        </is>
      </c>
      <c r="N26" s="610" t="inlineStr">
        <is>
          <t>N/A</t>
        </is>
      </c>
      <c r="O26" s="610" t="inlineStr">
        <is>
          <t>27/01/2025</t>
        </is>
      </c>
      <c r="P26" s="610" t="inlineStr">
        <is>
          <t>01/06/2025</t>
        </is>
      </c>
      <c r="Q26" s="610" t="inlineStr">
        <is>
          <t>N/A</t>
        </is>
      </c>
      <c r="R26" s="610" t="inlineStr">
        <is>
          <t>27/01/2025</t>
        </is>
      </c>
      <c r="S26" s="610"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T26" s="610">
        <f>IF(P26="","In force",IF(P26="N/A","In force",IF(TODAY()&lt;DATE(VALUE(RIGHT(P26,4)),VALUE(MID(P26,4,2)),VALUE(LEFT(P26,2))),"Scheduled",IF(Q26="","In force",IF(Q26="N/A","In force",IF(TODAY()&lt;DATE(VALUE(RIGHT(Q26,4)),VALUE(MID(Q26,4,2)),VALUE(LEFT(Q26,2))),"In force","Ended"))))))</f>
        <v/>
      </c>
      <c r="U26" s="610" t="inlineStr">
        <is>
          <t>National Development and Reform Commission; National Energy Administration; provincial pricing and energy authorities; power market operators</t>
        </is>
      </c>
      <c r="V26" s="610" t="inlineStr">
        <is>
          <t>Electricity; Solar energy; Wind energy; Other renewable energies</t>
        </is>
      </c>
      <c r="W26" s="610" t="inlineStr">
        <is>
          <t>New; existing</t>
        </is>
      </c>
      <c r="X26" s="610" t="inlineStr">
        <is>
          <t>Eligible on-grid electricity from new energy projects, including stock projects and incremental projects such as wind and solar power generation.</t>
        </is>
      </c>
      <c r="Y26" s="610" t="inlineStr">
        <is>
          <t>N/A</t>
        </is>
      </c>
      <c r="Z26" s="610" t="inlineStr">
        <is>
          <t>Electricity quantity included in the settlement mechanism; stock and incremental projects are treated under differentiated rules, with incremental project mechanism prices determined through competitive mechanisms.</t>
        </is>
      </c>
      <c r="AA26" s="610" t="inlineStr">
        <is>
          <t>Firms</t>
        </is>
      </c>
      <c r="AB26" s="610" t="inlineStr">
        <is>
          <t>New energy power generation enterprises and electricity market participants subject to settlement or cost sharing.</t>
        </is>
      </c>
      <c r="AC26" s="610" t="inlineStr">
        <is>
          <t>Renewable electricity generation and price settlement</t>
        </is>
      </c>
      <c r="AD26" s="610" t="inlineStr">
        <is>
          <t>Generation and market sale of eligible new energy electricity, plus difference settlement against the mechanism electricity price.</t>
        </is>
      </c>
      <c r="AE26" s="610" t="inlineStr">
        <is>
          <t>formula</t>
        </is>
      </c>
      <c r="AF26" s="610" t="inlineStr">
        <is>
          <t>CNY/MWh price difference</t>
        </is>
      </c>
      <c r="AG26" s="610"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H26" s="610" t="inlineStr">
        <is>
          <t>New energy feed-in electricity enters electricity markets and prices are formed through market transactions. Eligible mechanism electricity is settled against a mechanism price under stock-project and incremental-project rules.</t>
        </is>
      </c>
      <c r="AI26" s="610" t="inlineStr">
        <is>
          <t>Settlement difference = mechanism electricity quantity x (mechanism electricity price - market transaction average price).</t>
        </is>
      </c>
      <c r="AJ26" s="610" t="inlineStr">
        <is>
          <t>If the market transaction average price is below the mechanism electricity price, the difference is paid to the new energy generator; if it is above, the generator pays the difference back.</t>
        </is>
      </c>
      <c r="AK26" s="610" t="inlineStr">
        <is>
          <t>N/A</t>
        </is>
      </c>
      <c r="AL26" s="610" t="inlineStr">
        <is>
          <t>N/A</t>
        </is>
      </c>
      <c r="AM26" s="610" t="inlineStr">
        <is>
          <t>N/A</t>
        </is>
      </c>
      <c r="AN26" s="610" t="inlineStr">
        <is>
          <t>N/A</t>
        </is>
      </c>
      <c r="AO26" s="610" t="inlineStr">
        <is>
          <t>Mechanism electricity quantity and mechanism electricity price are determined under stock-project and incremental-project rules; fixed national budget not specified.</t>
        </is>
      </c>
      <c r="AP26" s="610" t="inlineStr">
        <is>
          <t>Incremental project mechanism electricity prices are determined through competitive mechanisms; specific provincial prices not found in this national notice.</t>
        </is>
      </c>
      <c r="AQ26" s="610" t="inlineStr">
        <is>
          <t>Two-way difference settlement between market transaction average price and mechanism electricity price for included new energy electricity.</t>
        </is>
      </c>
      <c r="AR26" s="610" t="inlineStr">
        <is>
          <t>N/A</t>
        </is>
      </c>
      <c r="AS26" s="610" t="inlineStr">
        <is>
          <t>Implemented through electricity market settlement and provincial mechanisms for mechanism quantity, mechanism price and cost sharing.</t>
        </is>
      </c>
      <c r="AT26" s="610" t="inlineStr">
        <is>
          <t>N/A</t>
        </is>
      </c>
      <c r="AU26" s="610" t="inlineStr">
        <is>
          <t>N/A</t>
        </is>
      </c>
      <c r="AV26" s="610" t="inlineStr">
        <is>
          <t>N/A</t>
        </is>
      </c>
      <c r="AW26" s="610" t="inlineStr">
        <is>
          <t>N/A</t>
        </is>
      </c>
      <c r="AX26" s="610" t="inlineStr">
        <is>
          <t>N/A</t>
        </is>
      </c>
      <c r="AY26" s="610" t="inlineStr">
        <is>
          <t>N/A</t>
        </is>
      </c>
      <c r="AZ26" s="610" t="inlineStr">
        <is>
          <t>N/A</t>
        </is>
      </c>
      <c r="BA26" s="610" t="inlineStr">
        <is>
          <t>N/A</t>
        </is>
      </c>
      <c r="BB26" s="610" t="inlineStr">
        <is>
          <t>N/A</t>
        </is>
      </c>
      <c r="BC26" s="610" t="inlineStr">
        <is>
          <t>N/A</t>
        </is>
      </c>
      <c r="BD26" s="610" t="inlineStr">
        <is>
          <t>N/A</t>
        </is>
      </c>
      <c r="BE26" s="610" t="inlineStr">
        <is>
          <t>N/A</t>
        </is>
      </c>
      <c r="BF26" s="610" t="inlineStr">
        <is>
          <t>D35</t>
        </is>
      </c>
      <c r="BG26" s="610" t="inlineStr">
        <is>
          <t>CO2</t>
        </is>
      </c>
      <c r="BH26" s="610" t="inlineStr">
        <is>
          <t>positive</t>
        </is>
      </c>
      <c r="BI26" s="610" t="inlineStr">
        <is>
          <t>Energy security; Technological innovation; Industrial development</t>
        </is>
      </c>
      <c r="BJ26" s="610" t="inlineStr">
        <is>
          <t>Notice of the National Development and Reform Commission and the National Energy Administration on Deepening Market-Based Reform of New Energy Feed-In Tariffs and Promoting High-Quality Development of New Energy</t>
        </is>
      </c>
      <c r="BK26" s="610" t="inlineStr">
        <is>
          <t>https://www.ndrc.gov.cn/xxgk/zcfb/tz/202502/t20250209_1396066.html</t>
        </is>
      </c>
      <c r="BL26" s="610" t="inlineStr">
        <is>
          <t>N/A</t>
        </is>
      </c>
      <c r="BM26" s="610" t="inlineStr"/>
    </row>
    <row r="27">
      <c r="A27" s="610" t="inlineStr">
        <is>
          <t>CHNSUBRTSI01S000</t>
        </is>
      </c>
      <c r="B27" s="610" t="inlineStr">
        <is>
          <t>Instrument</t>
        </is>
      </c>
      <c r="C27" s="610" t="inlineStr">
        <is>
          <t>Subsidy</t>
        </is>
      </c>
      <c r="D27" s="610" t="inlineStr">
        <is>
          <t>Recycling and treatment subsidy</t>
        </is>
      </c>
      <c r="E27" s="610" t="inlineStr">
        <is>
          <t>Waste</t>
        </is>
      </c>
      <c r="F27" s="610" t="inlineStr">
        <is>
          <t>Waste electrical and electronic equipment recycling and treatment</t>
        </is>
      </c>
      <c r="G27" s="610" t="inlineStr">
        <is>
          <t>废弃电器电子产品回收处理奖补</t>
        </is>
      </c>
      <c r="H27" s="610" t="inlineStr">
        <is>
          <t>Waste electrical and electronic equipment recycling and treatment reward/subsidy</t>
        </is>
      </c>
      <c r="I27" s="610" t="inlineStr">
        <is>
          <t>N/A</t>
        </is>
      </c>
      <c r="J27" s="610"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610" t="inlineStr">
        <is>
          <t>Circular economy; Resource conservation</t>
        </is>
      </c>
      <c r="L27" s="610" t="inlineStr">
        <is>
          <t>Indirect</t>
        </is>
      </c>
      <c r="M27" s="610" t="inlineStr">
        <is>
          <t>National</t>
        </is>
      </c>
      <c r="N27" s="610" t="inlineStr">
        <is>
          <t>N/A</t>
        </is>
      </c>
      <c r="O27" s="610" t="inlineStr">
        <is>
          <t>13/09/2024</t>
        </is>
      </c>
      <c r="P27" s="610" t="inlineStr">
        <is>
          <t>01/01/2024</t>
        </is>
      </c>
      <c r="Q27" s="610" t="inlineStr">
        <is>
          <t>31/12/2027</t>
        </is>
      </c>
      <c r="R27" s="610" t="inlineStr">
        <is>
          <t>N/A</t>
        </is>
      </c>
      <c r="S27" s="610"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T27" s="610">
        <f>IF(P27="","In force",IF(P27="N/A","In force",IF(TODAY()&lt;DATE(VALUE(RIGHT(P27,4)),VALUE(MID(P27,4,2)),VALUE(LEFT(P27,2))),"Scheduled",IF(Q27="","In force",IF(Q27="N/A","In force",IF(TODAY()&lt;DATE(VALUE(RIGHT(Q27,4)),VALUE(MID(Q27,4,2)),VALUE(LEFT(Q27,2))),"In force","Ended"))))))</f>
        <v/>
      </c>
      <c r="U27" s="610"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V27" s="610" t="inlineStr">
        <is>
          <t>Municipal waste</t>
        </is>
      </c>
      <c r="W27" s="610" t="inlineStr">
        <is>
          <t>Existing</t>
        </is>
      </c>
      <c r="X27" s="610"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Y27" s="610"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Z27" s="610"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A27" s="610" t="inlineStr">
        <is>
          <t>Firms</t>
        </is>
      </c>
      <c r="AB27" s="610"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C27" s="610" t="inlineStr">
        <is>
          <t>Recovery, reuse or other post-consumer treatment</t>
        </is>
      </c>
      <c r="AD27" s="610"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E27" s="610" t="inlineStr">
        <is>
          <t>N/A</t>
        </is>
      </c>
      <c r="AF27" s="610" t="inlineStr">
        <is>
          <t>N/A</t>
        </is>
      </c>
      <c r="AG27" s="610"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H27" s="610"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I27" s="610" t="inlineStr">
        <is>
          <t>N/A</t>
        </is>
      </c>
      <c r="AJ27" s="610"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K27" s="610" t="inlineStr">
        <is>
          <t>N/A</t>
        </is>
      </c>
      <c r="AL27" s="610" t="inlineStr">
        <is>
          <t>N/A</t>
        </is>
      </c>
      <c r="AM27" s="610" t="inlineStr">
        <is>
          <t>N/A</t>
        </is>
      </c>
      <c r="AN27" s="610" t="inlineStr">
        <is>
          <t>Central budget allocation: CNY 7.5 billion (2024); CNY 5.0 billion (2025); Source: Ministry of Finance annual central-to-local transfer payment budget. Implemented through 2027; subsequent-year budgets are allocated annually according to the factor-based formula.</t>
        </is>
      </c>
      <c r="AO27" s="610"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P27" s="610" t="inlineStr">
        <is>
          <t>N/A</t>
        </is>
      </c>
      <c r="AQ27" s="610"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R27" s="610"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S27" s="610"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T27" s="610" t="inlineStr">
        <is>
          <t>N/A</t>
        </is>
      </c>
      <c r="AU27" s="610" t="inlineStr">
        <is>
          <t>N/A</t>
        </is>
      </c>
      <c r="AV27" s="610" t="inlineStr">
        <is>
          <t>N/A</t>
        </is>
      </c>
      <c r="AW27" s="610" t="inlineStr">
        <is>
          <t>N/A</t>
        </is>
      </c>
      <c r="AX27" s="610" t="inlineStr">
        <is>
          <t>N/A</t>
        </is>
      </c>
      <c r="AY27" s="610" t="inlineStr">
        <is>
          <t>N/A</t>
        </is>
      </c>
      <c r="AZ27" s="610" t="inlineStr">
        <is>
          <t>N/A</t>
        </is>
      </c>
      <c r="BA27" s="610" t="inlineStr">
        <is>
          <t>N/A</t>
        </is>
      </c>
      <c r="BB27" s="610" t="inlineStr">
        <is>
          <t>N/A</t>
        </is>
      </c>
      <c r="BC27" s="610" t="inlineStr">
        <is>
          <t>N/A</t>
        </is>
      </c>
      <c r="BD27" s="610" t="inlineStr">
        <is>
          <t>N/A</t>
        </is>
      </c>
      <c r="BE27" s="610" t="inlineStr">
        <is>
          <t>N/A</t>
        </is>
      </c>
      <c r="BF27" s="610" t="inlineStr">
        <is>
          <t>E38</t>
        </is>
      </c>
      <c r="BG27" s="610" t="inlineStr">
        <is>
          <t>CO2; HFCs</t>
        </is>
      </c>
      <c r="BH27" s="610" t="inlineStr">
        <is>
          <t>Positive</t>
        </is>
      </c>
      <c r="BI27" s="610" t="inlineStr">
        <is>
          <t>Circular economy; Pollution control; Resource conservation</t>
        </is>
      </c>
      <c r="BJ27" s="610"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K27" s="610" t="inlineStr">
        <is>
          <t>https://www.mof.gov.cn/zhengceguizhang/202409/t20240927_3944614.htm</t>
        </is>
      </c>
      <c r="BL27" s="610" t="inlineStr">
        <is>
          <t>http://m.mof.gov.cn/zcfb/202409/t20240929_3944775.htm</t>
        </is>
      </c>
      <c r="BM27" s="610" t="inlineStr"/>
    </row>
    <row r="28">
      <c r="A28" s="610" t="inlineStr">
        <is>
          <t>CHNSUBCHSI01S000</t>
        </is>
      </c>
      <c r="B28" s="610" t="inlineStr">
        <is>
          <t>Instrument</t>
        </is>
      </c>
      <c r="C28" s="610" t="inlineStr">
        <is>
          <t>Subsidy</t>
        </is>
      </c>
      <c r="D28" s="610" t="inlineStr">
        <is>
          <t>Clean heating subsidy</t>
        </is>
      </c>
      <c r="E28" s="610" t="inlineStr">
        <is>
          <t>Buildings</t>
        </is>
      </c>
      <c r="F28" s="610" t="inlineStr">
        <is>
          <t>Rural residential; urban residential</t>
        </is>
      </c>
      <c r="G28" s="610" t="inlineStr">
        <is>
          <t>北方地区冬季清洁取暖补贴</t>
        </is>
      </c>
      <c r="H28" s="610" t="inlineStr">
        <is>
          <t>Northern winter clean heating subsidy</t>
        </is>
      </c>
      <c r="I28" s="610" t="inlineStr">
        <is>
          <t>N/A</t>
        </is>
      </c>
      <c r="J28" s="610"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610" t="inlineStr">
        <is>
          <t>Climate change mitigation; Pollution control; Energy efficiency</t>
        </is>
      </c>
      <c r="L28" s="610" t="inlineStr">
        <is>
          <t>Direct</t>
        </is>
      </c>
      <c r="M28" s="610" t="inlineStr">
        <is>
          <t>National</t>
        </is>
      </c>
      <c r="N28" s="610" t="inlineStr">
        <is>
          <t>N/A</t>
        </is>
      </c>
      <c r="O28" s="610" t="inlineStr">
        <is>
          <t>01/01/2017</t>
        </is>
      </c>
      <c r="P28" s="610" t="inlineStr">
        <is>
          <t>01/01/2017</t>
        </is>
      </c>
      <c r="Q28" s="610" t="inlineStr">
        <is>
          <t>31/12/2030</t>
        </is>
      </c>
      <c r="R28" s="610" t="inlineStr">
        <is>
          <t>01/01/2026</t>
        </is>
      </c>
      <c r="S28" s="610"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T28" s="610">
        <f>IF(P28="","In force",IF(P28="N/A","In force",IF(TODAY()&lt;DATE(VALUE(RIGHT(P28,4)),VALUE(MID(P28,4,2)),VALUE(LEFT(P28,2))),"Scheduled",IF(Q28="","In force",IF(Q28="N/A","In force",IF(TODAY()&lt;DATE(VALUE(RIGHT(Q28,4)),VALUE(MID(Q28,4,2)),VALUE(LEFT(Q28,2))),"In force","Ended"))))))</f>
        <v/>
      </c>
      <c r="U28" s="610"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V28" s="610" t="inlineStr">
        <is>
          <t>Space heating systems; Buildings</t>
        </is>
      </c>
      <c r="W28" s="610" t="inlineStr">
        <is>
          <t>Existing</t>
        </is>
      </c>
      <c r="X28" s="610"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Y28" s="610"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Z28" s="610" t="inlineStr">
        <is>
          <t>Number of actual completed and operating rural coal-to-gas and coal-to-electricity households. The new measures tier per-household subsidy standards by heating degree-day bands, favouring rural disadvantaged groups.</t>
        </is>
      </c>
      <c r="AA28" s="610" t="inlineStr">
        <is>
          <t>Households</t>
        </is>
      </c>
      <c r="AB28" s="610"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C28" s="610" t="inlineStr">
        <is>
          <t>Purchase or use; Production, generation or transformation</t>
        </is>
      </c>
      <c r="AD28" s="610"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E28" s="610" t="inlineStr">
        <is>
          <t>N/A</t>
        </is>
      </c>
      <c r="AF28" s="610" t="inlineStr">
        <is>
          <t>CNY/household/heating season</t>
        </is>
      </c>
      <c r="AG28" s="610"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H28" s="610"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I28" s="610" t="inlineStr">
        <is>
          <t>N/A</t>
        </is>
      </c>
      <c r="AJ28" s="610"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K28" s="610" t="inlineStr">
        <is>
          <t>N/A</t>
        </is>
      </c>
      <c r="AL28" s="610" t="inlineStr">
        <is>
          <t>N/A</t>
        </is>
      </c>
      <c r="AM28" s="610" t="inlineStr">
        <is>
          <t>N/A</t>
        </is>
      </c>
      <c r="AN28" s="610"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O28" s="610"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P28" s="610" t="inlineStr">
        <is>
          <t>N/A</t>
        </is>
      </c>
      <c r="AQ28" s="610"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R28" s="610"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S28" s="610"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T28" s="610" t="inlineStr">
        <is>
          <t>N/A</t>
        </is>
      </c>
      <c r="AU28" s="610" t="inlineStr">
        <is>
          <t>N/A</t>
        </is>
      </c>
      <c r="AV28" s="610" t="inlineStr">
        <is>
          <t>N/A</t>
        </is>
      </c>
      <c r="AW28" s="610" t="inlineStr">
        <is>
          <t>N/A</t>
        </is>
      </c>
      <c r="AX28" s="610" t="inlineStr">
        <is>
          <t>N/A</t>
        </is>
      </c>
      <c r="AY28" s="610" t="inlineStr">
        <is>
          <t>N/A</t>
        </is>
      </c>
      <c r="AZ28" s="610" t="inlineStr">
        <is>
          <t>N/A</t>
        </is>
      </c>
      <c r="BA28" s="610" t="inlineStr">
        <is>
          <t>N/A</t>
        </is>
      </c>
      <c r="BB28" s="610" t="inlineStr">
        <is>
          <t>N/A</t>
        </is>
      </c>
      <c r="BC28" s="610" t="inlineStr">
        <is>
          <t>N/A</t>
        </is>
      </c>
      <c r="BD28" s="610" t="inlineStr">
        <is>
          <t>N/A</t>
        </is>
      </c>
      <c r="BE28" s="610" t="inlineStr">
        <is>
          <t>N/A</t>
        </is>
      </c>
      <c r="BF28" s="610" t="inlineStr">
        <is>
          <t>D35</t>
        </is>
      </c>
      <c r="BG28" s="610" t="inlineStr">
        <is>
          <t>CO2</t>
        </is>
      </c>
      <c r="BH28" s="610" t="inlineStr">
        <is>
          <t>Positive</t>
        </is>
      </c>
      <c r="BI28" s="610" t="inlineStr">
        <is>
          <t>Pollution control; Energy security; Industrial development</t>
        </is>
      </c>
      <c r="BJ28" s="610"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K28" s="610" t="inlineStr">
        <is>
          <t>https://www.cenews.com.cn/news.html?aid=1183051</t>
        </is>
      </c>
      <c r="BL28" s="610" t="inlineStr">
        <is>
          <t>https://www.gov.cn/zhengce/content/2018-07/03/content_5303158.htm; http://zyhj.mof.gov.cn/zxzyzf/dqwrfzzj/</t>
        </is>
      </c>
      <c r="BM28" s="610" t="inlineStr"/>
    </row>
    <row r="29">
      <c r="A29" s="610" t="inlineStr">
        <is>
          <t>CHNSUBESPI01S000</t>
        </is>
      </c>
      <c r="B29" s="610" t="inlineStr">
        <is>
          <t>Instrument</t>
        </is>
      </c>
      <c r="C29" s="610" t="inlineStr">
        <is>
          <t>Subsidy</t>
        </is>
      </c>
      <c r="D29" s="610" t="inlineStr">
        <is>
          <t>Ecosystem service payments</t>
        </is>
      </c>
      <c r="E29" s="610" t="inlineStr">
        <is>
          <t>AFOLU</t>
        </is>
      </c>
      <c r="F29" s="610" t="inlineStr">
        <is>
          <t>Agriculture; forestry; grassland</t>
        </is>
      </c>
      <c r="G29" s="610" t="inlineStr">
        <is>
          <t>退耕还林还草</t>
        </is>
      </c>
      <c r="H29" s="610" t="inlineStr">
        <is>
          <t>Grain for Green / Sloping Land Conversion Program</t>
        </is>
      </c>
      <c r="I29" s="610" t="inlineStr">
        <is>
          <t>N/A</t>
        </is>
      </c>
      <c r="J29" s="610"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610" t="inlineStr">
        <is>
          <t>Ecological protection; Employment and poverty reduction</t>
        </is>
      </c>
      <c r="L29" s="610" t="inlineStr">
        <is>
          <t>Indirect</t>
        </is>
      </c>
      <c r="M29" s="610" t="inlineStr">
        <is>
          <t>national</t>
        </is>
      </c>
      <c r="N29" s="610" t="inlineStr">
        <is>
          <t>N/A</t>
        </is>
      </c>
      <c r="O29" s="610" t="inlineStr">
        <is>
          <t>14/12/2002</t>
        </is>
      </c>
      <c r="P29" s="610" t="inlineStr">
        <is>
          <t>20/01/2003</t>
        </is>
      </c>
      <c r="Q29" s="610" t="inlineStr">
        <is>
          <t>N/A</t>
        </is>
      </c>
      <c r="R29" s="610" t="inlineStr">
        <is>
          <t>2022</t>
        </is>
      </c>
      <c r="S29" s="610"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T29" s="610">
        <f>IF(P29="","In force",IF(P29="N/A","In force",IF(TODAY()&lt;DATE(VALUE(RIGHT(P29,4)),VALUE(MID(P29,4,2)),VALUE(LEFT(P29,2))),"Scheduled",IF(Q29="","In force",IF(Q29="N/A","In force",IF(TODAY()&lt;DATE(VALUE(RIGHT(Q29,4)),VALUE(MID(Q29,4,2)),VALUE(LEFT(Q29,2))),"In force","Ended"))))))</f>
        <v/>
      </c>
      <c r="U29" s="610"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V29" s="610" t="inlineStr">
        <is>
          <t>Cropland; forestland; grassland</t>
        </is>
      </c>
      <c r="W29" s="610" t="inlineStr">
        <is>
          <t>New; existing</t>
        </is>
      </c>
      <c r="X29" s="610"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Y29" s="610" t="inlineStr">
        <is>
          <t>N/A</t>
        </is>
      </c>
      <c r="Z29" s="610" t="inlineStr">
        <is>
          <t>Steep sloping cropland with slope greater than 25° (or greater than 15° in northwest China); severely desertified, salinised or rocky desertified cropland; 15°-25° sloping cropland in important water source areas.</t>
        </is>
      </c>
      <c r="AA29" s="610" t="inlineStr">
        <is>
          <t>Individuals; firms</t>
        </is>
      </c>
      <c r="AB29" s="610"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C29" s="610" t="inlineStr">
        <is>
          <t>Conservation, protection or storage; production, electricity generation or transformation</t>
        </is>
      </c>
      <c r="AD29" s="610"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E29" s="610" t="inlineStr">
        <is>
          <t>100</t>
        </is>
      </c>
      <c r="AF29" s="610" t="inlineStr">
        <is>
          <t>CNY/mu/year</t>
        </is>
      </c>
      <c r="AG29" s="610"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H29" s="610"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I29" s="610" t="inlineStr">
        <is>
          <t>N/A</t>
        </is>
      </c>
      <c r="AJ29" s="610"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K29" s="610" t="inlineStr">
        <is>
          <t>N/A</t>
        </is>
      </c>
      <c r="AL29" s="610" t="inlineStr">
        <is>
          <t>N/A</t>
        </is>
      </c>
      <c r="AM29" s="610" t="inlineStr">
        <is>
          <t>N/A</t>
        </is>
      </c>
      <c r="AN29" s="610" t="inlineStr">
        <is>
          <t>N/A</t>
        </is>
      </c>
      <c r="AO29" s="610"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P29" s="610" t="inlineStr">
        <is>
          <t>N/A</t>
        </is>
      </c>
      <c r="AQ29" s="610"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R29" s="610"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S29" s="610"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T29" s="610" t="inlineStr">
        <is>
          <t>N/A</t>
        </is>
      </c>
      <c r="AU29" s="610" t="inlineStr">
        <is>
          <t>N/A</t>
        </is>
      </c>
      <c r="AV29" s="610" t="inlineStr">
        <is>
          <t>N/A</t>
        </is>
      </c>
      <c r="AW29" s="610" t="inlineStr">
        <is>
          <t>N/A</t>
        </is>
      </c>
      <c r="AX29" s="610" t="inlineStr">
        <is>
          <t>N/A</t>
        </is>
      </c>
      <c r="AY29" s="610" t="inlineStr">
        <is>
          <t>N/A</t>
        </is>
      </c>
      <c r="AZ29" s="610" t="inlineStr">
        <is>
          <t>N/A</t>
        </is>
      </c>
      <c r="BA29" s="610" t="inlineStr">
        <is>
          <t>N/A</t>
        </is>
      </c>
      <c r="BB29" s="610" t="inlineStr">
        <is>
          <t>N/A</t>
        </is>
      </c>
      <c r="BC29" s="610" t="inlineStr">
        <is>
          <t>N/A</t>
        </is>
      </c>
      <c r="BD29" s="610" t="inlineStr">
        <is>
          <t>N/A</t>
        </is>
      </c>
      <c r="BE29" s="610" t="inlineStr">
        <is>
          <t>N/A</t>
        </is>
      </c>
      <c r="BF29" s="610" t="inlineStr">
        <is>
          <t>A02</t>
        </is>
      </c>
      <c r="BG29" s="610" t="inlineStr">
        <is>
          <t>CO2</t>
        </is>
      </c>
      <c r="BH29" s="610" t="inlineStr">
        <is>
          <t>Positive</t>
        </is>
      </c>
      <c r="BI29" s="610" t="inlineStr">
        <is>
          <t>Pollution control; Technological innovation; Industrial development; Ecological protection; Biodiversity conservation; Climate change adaptation</t>
        </is>
      </c>
      <c r="BJ29" s="610" t="inlineStr">
        <is>
          <t>Grain for Green Regulation ( promulgated by State Council Decree No. 367 on 14 December 2002, revised under the Decision of the State Council on Amending Certain Administrative Regulations on 6 February 2016, currently in force)</t>
        </is>
      </c>
      <c r="BK29" s="610" t="inlineStr">
        <is>
          <t>https://www.gov.cn/gongbao/content/2016/content_5139491.htm</t>
        </is>
      </c>
      <c r="BL29" s="610" t="inlineStr">
        <is>
          <t>https://www.gov.cn/zhengce/zhengceku/2008-03/28/content_2767.htm; http://app.www.gov.cn/govdata/gov/202211/12/494165/article.html</t>
        </is>
      </c>
      <c r="BM29" s="610" t="inlineStr"/>
    </row>
    <row r="30">
      <c r="A30" s="610" t="inlineStr">
        <is>
          <t>CHNSUBESPI02S000</t>
        </is>
      </c>
      <c r="B30" s="610" t="inlineStr">
        <is>
          <t>Instrument</t>
        </is>
      </c>
      <c r="C30" s="610" t="inlineStr">
        <is>
          <t>Subsidy</t>
        </is>
      </c>
      <c r="D30" s="610" t="inlineStr">
        <is>
          <t>Ecosystem service payments</t>
        </is>
      </c>
      <c r="E30" s="610" t="inlineStr">
        <is>
          <t>AFOLU</t>
        </is>
      </c>
      <c r="F30" s="610" t="inlineStr">
        <is>
          <t>Forestry; forest</t>
        </is>
      </c>
      <c r="G30" s="610" t="inlineStr">
        <is>
          <t>森林生态保护修复补偿</t>
        </is>
      </c>
      <c r="H30" s="610" t="inlineStr">
        <is>
          <t>Forest Ecological Protection and Restoration Compensation</t>
        </is>
      </c>
      <c r="I30" s="610" t="inlineStr">
        <is>
          <t>N/A</t>
        </is>
      </c>
      <c r="J30" s="610"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610" t="inlineStr">
        <is>
          <t>Ecological protection; Biodiversity conservation; Climate change mitigation</t>
        </is>
      </c>
      <c r="L30" s="610" t="inlineStr">
        <is>
          <t>Indirect</t>
        </is>
      </c>
      <c r="M30" s="610" t="inlineStr">
        <is>
          <t>national</t>
        </is>
      </c>
      <c r="N30" s="610" t="inlineStr">
        <is>
          <t>N/A</t>
        </is>
      </c>
      <c r="O30" s="610" t="inlineStr">
        <is>
          <t>10/12/2004</t>
        </is>
      </c>
      <c r="P30" s="610" t="inlineStr">
        <is>
          <t>20/11/2001</t>
        </is>
      </c>
      <c r="Q30" s="610" t="inlineStr">
        <is>
          <t>N/A</t>
        </is>
      </c>
      <c r="R30" s="610" t="inlineStr">
        <is>
          <t>05/12/2024</t>
        </is>
      </c>
      <c r="S30" s="610"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T30" s="610">
        <f>IF(P30="","In force",IF(P30="N/A","In force",IF(TODAY()&lt;DATE(VALUE(RIGHT(P30,4)),VALUE(MID(P30,4,2)),VALUE(LEFT(P30,2))),"Scheduled",IF(Q30="","In force",IF(Q30="N/A","In force",IF(TODAY()&lt;DATE(VALUE(RIGHT(Q30,4)),VALUE(MID(Q30,4,2)),VALUE(LEFT(Q30,2))),"In force","Ended"))))))</f>
        <v/>
      </c>
      <c r="U30" s="610" t="inlineStr">
        <is>
          <t>National Forestry and Grassland Administration (responsible for national public welfare forest delineation and management); Ministry of Finance (responsible for compensation fund management); provincial and county forestry and finance authorities</t>
        </is>
      </c>
      <c r="V30" s="610" t="inlineStr">
        <is>
          <t>Forest</t>
        </is>
      </c>
      <c r="W30" s="610" t="inlineStr">
        <is>
          <t>Existing</t>
        </is>
      </c>
      <c r="X30" s="610"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Y30" s="610" t="inlineStr">
        <is>
          <t>N/A</t>
        </is>
      </c>
      <c r="Z30" s="610"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A30" s="610" t="inlineStr">
        <is>
          <t>Individuals; firms; government</t>
        </is>
      </c>
      <c r="AB30" s="610"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C30" s="610" t="inlineStr">
        <is>
          <t>Conservation, protection or storage</t>
        </is>
      </c>
      <c r="AD30" s="610"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E30" s="610" t="inlineStr">
        <is>
          <t>10; 16</t>
        </is>
      </c>
      <c r="AF30" s="610" t="inlineStr">
        <is>
          <t>CNY/mu/year</t>
        </is>
      </c>
      <c r="AG30" s="610"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H30" s="610"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I30" s="610" t="inlineStr">
        <is>
          <t>N/A</t>
        </is>
      </c>
      <c r="AJ30" s="610"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K30" s="610" t="inlineStr">
        <is>
          <t>N/A</t>
        </is>
      </c>
      <c r="AL30" s="610" t="inlineStr">
        <is>
          <t>N/A</t>
        </is>
      </c>
      <c r="AM30" s="610" t="inlineStr">
        <is>
          <t>N/A</t>
        </is>
      </c>
      <c r="AN30" s="610"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O30" s="610"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P30" s="610" t="inlineStr">
        <is>
          <t>N/A</t>
        </is>
      </c>
      <c r="AQ30" s="610"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R30" s="610" t="inlineStr">
        <is>
          <t>Annual ongoing disbursement with no prescribed end date. The system has operated continuously for more than 20 years since its formal establishment in 2004 and is a long-term institutional arrangement.</t>
        </is>
      </c>
      <c r="AS30" s="610"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T30" s="610" t="inlineStr">
        <is>
          <t>N/A</t>
        </is>
      </c>
      <c r="AU30" s="610" t="inlineStr">
        <is>
          <t>N/A</t>
        </is>
      </c>
      <c r="AV30" s="610" t="inlineStr">
        <is>
          <t>N/A</t>
        </is>
      </c>
      <c r="AW30" s="610" t="inlineStr">
        <is>
          <t>N/A</t>
        </is>
      </c>
      <c r="AX30" s="610" t="inlineStr">
        <is>
          <t>https://www.gov.cn/gongbao/2024/issue_11506/202408/content_6966478.html</t>
        </is>
      </c>
      <c r="AY30" s="610" t="inlineStr">
        <is>
          <t>N/A</t>
        </is>
      </c>
      <c r="AZ30" s="610" t="inlineStr">
        <is>
          <t>N/A</t>
        </is>
      </c>
      <c r="BA30" s="610" t="inlineStr">
        <is>
          <t>N/A</t>
        </is>
      </c>
      <c r="BB30" s="610" t="inlineStr">
        <is>
          <t>N/A</t>
        </is>
      </c>
      <c r="BC30" s="610" t="inlineStr">
        <is>
          <t>N/A</t>
        </is>
      </c>
      <c r="BD30" s="610"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E30" s="610" t="inlineStr">
        <is>
          <t>N/A</t>
        </is>
      </c>
      <c r="BF30" s="610" t="inlineStr">
        <is>
          <t>A02</t>
        </is>
      </c>
      <c r="BG30" s="610" t="inlineStr">
        <is>
          <t>CO2</t>
        </is>
      </c>
      <c r="BH30" s="610" t="inlineStr">
        <is>
          <t>Positive</t>
        </is>
      </c>
      <c r="BI30" s="610" t="inlineStr">
        <is>
          <t>Pollution control; Biodiversity conservation; Ecological protection; Climate change adaptation</t>
        </is>
      </c>
      <c r="BJ30" s="610" t="inlineStr">
        <is>
          <t>Forest Law of the People's Republic of China (2019 revision) Articles 7 and 29; Administrative Measures for Forestry, Grassland and Ecological Protection and Restoration Funds (财资环〔2024〕159号)</t>
        </is>
      </c>
      <c r="BK30" s="610" t="inlineStr">
        <is>
          <t>https://www.gov.cn/gongbao/2024/issue_11506/202408/content_6966478.html</t>
        </is>
      </c>
      <c r="BL30" s="610" t="inlineStr">
        <is>
          <t>https://www.forestry.gov.cn/main/3949/20191228/204438950228990.html; http://www.mof.gov.cn/gkml/caizhengwengao/caizhengbuwengao2007/caizhengbuwengao20075/200805/t20080519_26401.htm; https://www.forestry.gov.cn/c/www/gkgfxwj/300449.jhtml</t>
        </is>
      </c>
      <c r="BM30" s="610" t="inlineStr"/>
    </row>
    <row r="31">
      <c r="A31" s="610" t="inlineStr">
        <is>
          <t>CHNSUBESPI03S000</t>
        </is>
      </c>
      <c r="B31" s="610" t="inlineStr">
        <is>
          <t>Instrument</t>
        </is>
      </c>
      <c r="C31" s="610" t="inlineStr">
        <is>
          <t>Subsidy</t>
        </is>
      </c>
      <c r="D31" s="610" t="inlineStr">
        <is>
          <t>Ecosystem service payments</t>
        </is>
      </c>
      <c r="E31" s="610" t="inlineStr">
        <is>
          <t>AFOLU</t>
        </is>
      </c>
      <c r="F31" s="610" t="inlineStr">
        <is>
          <t>Grassland; livestock</t>
        </is>
      </c>
      <c r="G31" s="610" t="inlineStr">
        <is>
          <t>草原生态保护补助奖励</t>
        </is>
      </c>
      <c r="H31" s="610" t="inlineStr">
        <is>
          <t>Grassland Ecological Protection Subsidy and Reward</t>
        </is>
      </c>
      <c r="I31" s="610" t="inlineStr">
        <is>
          <t>N/A</t>
        </is>
      </c>
      <c r="J31" s="610"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610" t="inlineStr">
        <is>
          <t>Ecological protection; Employment and poverty reduction</t>
        </is>
      </c>
      <c r="L31" s="610" t="inlineStr">
        <is>
          <t>Indirect</t>
        </is>
      </c>
      <c r="M31" s="610" t="inlineStr">
        <is>
          <t>national</t>
        </is>
      </c>
      <c r="N31" s="610" t="inlineStr">
        <is>
          <t>N/A</t>
        </is>
      </c>
      <c r="O31" s="610" t="inlineStr">
        <is>
          <t>12/10/2010</t>
        </is>
      </c>
      <c r="P31" s="610" t="inlineStr">
        <is>
          <t>01/01/2011</t>
        </is>
      </c>
      <c r="Q31" s="610" t="inlineStr">
        <is>
          <t>N/A</t>
        </is>
      </c>
      <c r="R31" s="610" t="inlineStr">
        <is>
          <t>2021</t>
        </is>
      </c>
      <c r="S31" s="610"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T31" s="610">
        <f>IF(P31="","In force",IF(P31="N/A","In force",IF(TODAY()&lt;DATE(VALUE(RIGHT(P31,4)),VALUE(MID(P31,4,2)),VALUE(LEFT(P31,2))),"Scheduled",IF(Q31="","In force",IF(Q31="N/A","In force",IF(TODAY()&lt;DATE(VALUE(RIGHT(Q31,4)),VALUE(MID(Q31,4,2)),VALUE(LEFT(Q31,2))),"In force","Ended"))))))</f>
        <v/>
      </c>
      <c r="U31" s="610"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V31" s="610" t="inlineStr">
        <is>
          <t>Grassland</t>
        </is>
      </c>
      <c r="W31" s="610" t="inlineStr">
        <is>
          <t>Existing</t>
        </is>
      </c>
      <c r="X31" s="610"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Y31" s="610" t="inlineStr">
        <is>
          <t>N/A</t>
        </is>
      </c>
      <c r="Z31" s="610"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A31" s="610" t="inlineStr">
        <is>
          <t>Households</t>
        </is>
      </c>
      <c r="AB31" s="610" t="inlineStr">
        <is>
          <t>Herder households holding grassland contracting and management rights certificates or having signed grassland contracting and management contracts. The programme covers more than 12 million herder households.</t>
        </is>
      </c>
      <c r="AC31" s="610" t="inlineStr">
        <is>
          <t>Conservation, protection or storage</t>
        </is>
      </c>
      <c r="AD31" s="610"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E31" s="610" t="inlineStr">
        <is>
          <t>7.5; 2.5</t>
        </is>
      </c>
      <c r="AF31" s="610" t="inlineStr">
        <is>
          <t>CNY/mu/year</t>
        </is>
      </c>
      <c r="AG31" s="610"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H31" s="610"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I31" s="610" t="inlineStr">
        <is>
          <t>N/A</t>
        </is>
      </c>
      <c r="AJ31" s="610"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K31" s="610" t="inlineStr">
        <is>
          <t>N/A</t>
        </is>
      </c>
      <c r="AL31" s="610" t="inlineStr">
        <is>
          <t>N/A</t>
        </is>
      </c>
      <c r="AM31" s="610" t="inlineStr">
        <is>
          <t>N/A</t>
        </is>
      </c>
      <c r="AN31" s="610" t="inlineStr">
        <is>
          <t>Approximately CNY 16.8 billion/year (third-round 2021-2025 annual central fiscal allocation; source: Ministry of Finance). Cumulative investment across three rounds exceeds CNY 230 billion.</t>
        </is>
      </c>
      <c r="AO31" s="610"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P31" s="610" t="inlineStr">
        <is>
          <t>N/A</t>
        </is>
      </c>
      <c r="AQ31" s="610"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R31" s="610" t="inlineStr">
        <is>
          <t>Implemented in rounds of five years: first round 2011-2015, second round 2016-2020, third round 2021-2025. The fourth round 2026-2030 has been announced. Payments are disbursed annually.</t>
        </is>
      </c>
      <c r="AS31" s="610"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T31" s="610" t="inlineStr">
        <is>
          <t>N/A</t>
        </is>
      </c>
      <c r="AU31" s="610" t="inlineStr">
        <is>
          <t>N/A</t>
        </is>
      </c>
      <c r="AV31" s="610" t="inlineStr">
        <is>
          <t>N/A</t>
        </is>
      </c>
      <c r="AW31" s="610" t="inlineStr">
        <is>
          <t>N/A</t>
        </is>
      </c>
      <c r="AX31" s="610" t="inlineStr">
        <is>
          <t>N/A</t>
        </is>
      </c>
      <c r="AY31" s="610" t="inlineStr">
        <is>
          <t>N/A</t>
        </is>
      </c>
      <c r="AZ31" s="610" t="inlineStr">
        <is>
          <t>N/A</t>
        </is>
      </c>
      <c r="BA31" s="610" t="inlineStr">
        <is>
          <t>N/A</t>
        </is>
      </c>
      <c r="BB31" s="610" t="inlineStr">
        <is>
          <t>N/A</t>
        </is>
      </c>
      <c r="BC31" s="610" t="inlineStr">
        <is>
          <t>N/A</t>
        </is>
      </c>
      <c r="BD31" s="610" t="inlineStr">
        <is>
          <t>N/A</t>
        </is>
      </c>
      <c r="BE31" s="610" t="inlineStr">
        <is>
          <t>N/A</t>
        </is>
      </c>
      <c r="BF31" s="610" t="inlineStr">
        <is>
          <t>A01</t>
        </is>
      </c>
      <c r="BG31" s="610" t="inlineStr">
        <is>
          <t>CO2; CH4; N2O</t>
        </is>
      </c>
      <c r="BH31" s="610" t="inlineStr">
        <is>
          <t>Positive</t>
        </is>
      </c>
      <c r="BI31" s="610" t="inlineStr">
        <is>
          <t>Pollution control; Biodiversity conservation; Ecological protection; Climate change adaptation</t>
        </is>
      </c>
      <c r="BJ31" s="610" t="inlineStr">
        <is>
          <t>Grassland Law of the People's Republic of China Articles 35, 45, 47 and 48; Implementation Guidance for the Third-Round Grassland Ecological Protection Subsidy and Reward Policy (财农〔2021〕82号)</t>
        </is>
      </c>
      <c r="BK31" s="610" t="inlineStr">
        <is>
          <t>https://www.moa.gov.cn/govpublic/CWS/201112/t20111222_2441035.htm</t>
        </is>
      </c>
      <c r="BL31" s="610" t="inlineStr">
        <is>
          <t>http://www.mof.gov.cn/gp/xxgkml/nys/201201/t20120116_2500355.htm; https://jcs.moa.gov.cn/trzgl/201603/t20160304_5040527.htm; http://www.mof.gov.cn/zhengwuxinxi/caijingshidian/zyzfmhwz/201010/t20101013_342428.htm; https://www.moa.gov.cn/govpublic/CWS/202407/t20240711_6458804.htm</t>
        </is>
      </c>
      <c r="BM31" s="610" t="inlineStr"/>
    </row>
    <row r="32">
      <c r="A32" s="464" t="inlineStr">
        <is>
          <t>CHNSUBESPI03S001</t>
        </is>
      </c>
      <c r="B32" s="464" t="inlineStr">
        <is>
          <t>Subscheme</t>
        </is>
      </c>
      <c r="C32" s="464" t="inlineStr">
        <is>
          <t>Subsidy</t>
        </is>
      </c>
      <c r="D32" s="464" t="inlineStr">
        <is>
          <t>Ecosystem service payments</t>
        </is>
      </c>
      <c r="E32" s="464" t="inlineStr">
        <is>
          <t>AFOLU</t>
        </is>
      </c>
      <c r="F32" s="464" t="inlineStr">
        <is>
          <t>Grassland; livestock</t>
        </is>
      </c>
      <c r="G32" s="464" t="inlineStr">
        <is>
          <t>草原生态保护补助奖励—禁牧补助子方案</t>
        </is>
      </c>
      <c r="H32" s="464" t="inlineStr">
        <is>
          <t>Grassland Ecological Protection Subsidy and Reward - Grazing Ban Subsidy subscheme</t>
        </is>
      </c>
      <c r="I32" s="464" t="inlineStr">
        <is>
          <t>Grassland Ecological Protection Subsidy and Reward</t>
        </is>
      </c>
      <c r="J32" s="464"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464" t="inlineStr">
        <is>
          <t>Ecological protection; Employment and poverty reduction</t>
        </is>
      </c>
      <c r="L32" s="464" t="inlineStr">
        <is>
          <t>Indirect</t>
        </is>
      </c>
      <c r="M32" s="464" t="inlineStr">
        <is>
          <t>national</t>
        </is>
      </c>
      <c r="N32" s="464" t="inlineStr">
        <is>
          <t>N/A</t>
        </is>
      </c>
      <c r="O32" s="464" t="inlineStr">
        <is>
          <t>12/10/2010</t>
        </is>
      </c>
      <c r="P32" s="464" t="inlineStr">
        <is>
          <t>01/01/2011</t>
        </is>
      </c>
      <c r="Q32" s="464" t="inlineStr">
        <is>
          <t>N/A</t>
        </is>
      </c>
      <c r="R32" s="464" t="inlineStr">
        <is>
          <t>2021</t>
        </is>
      </c>
      <c r="S32" s="464"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T32" s="464">
        <f>IF(P32="","In force",IF(P32="N/A","In force",IF(TODAY()&lt;DATE(VALUE(RIGHT(P32,4)),VALUE(MID(P32,4,2)),VALUE(LEFT(P32,2))),"Scheduled",IF(Q32="","In force",IF(Q32="N/A","In force",IF(TODAY()&lt;DATE(VALUE(RIGHT(Q32,4)),VALUE(MID(Q32,4,2)),VALUE(LEFT(Q32,2))),"In force","Ended"))))))</f>
        <v/>
      </c>
      <c r="U32" s="464" t="inlineStr">
        <is>
          <t>Ministry of Finance; Ministry of Agriculture and Rural Affairs; National Forestry and Grassland Administration; provincial and county agriculture/livestock and finance authorities</t>
        </is>
      </c>
      <c r="V32" s="464" t="inlineStr">
        <is>
          <t>Grassland</t>
        </is>
      </c>
      <c r="W32" s="464" t="inlineStr">
        <is>
          <t>Existing</t>
        </is>
      </c>
      <c r="X32" s="464"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Y32" s="464" t="inlineStr">
        <is>
          <t>N/A</t>
        </is>
      </c>
      <c r="Z32" s="464" t="inlineStr">
        <is>
          <t>Grazing-ban areas are delineated by provincial governments within the national guidance framework based on factors such as grassland degradation degree and ecological function importance.</t>
        </is>
      </c>
      <c r="AA32" s="464" t="inlineStr">
        <is>
          <t>Households</t>
        </is>
      </c>
      <c r="AB32" s="464" t="inlineStr">
        <is>
          <t>Herder households holding grazing-ban area grassland contracting and management rights certificates. The programme covers millions of grazing-ban area herder households nationwide.</t>
        </is>
      </c>
      <c r="AC32" s="464" t="inlineStr">
        <is>
          <t>Conservation, protection or storage</t>
        </is>
      </c>
      <c r="AD32" s="464" t="inlineStr">
        <is>
          <t>Herders completely cease grazing activities on grazing-ban grasslands, which are enclosed for protection and recovery. Herders must sign grazing-ban agreements committing not to graze on grazing-ban grasslands during the ban period.</t>
        </is>
      </c>
      <c r="AE32" s="464" t="inlineStr">
        <is>
          <t>7.5</t>
        </is>
      </c>
      <c r="AF32" s="464" t="inlineStr">
        <is>
          <t>CNY/mu/year</t>
        </is>
      </c>
      <c r="AG32" s="464"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H32" s="464"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I32" s="464" t="inlineStr">
        <is>
          <t>N/A</t>
        </is>
      </c>
      <c r="AJ32" s="464"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K32" s="464" t="inlineStr">
        <is>
          <t>N/A</t>
        </is>
      </c>
      <c r="AL32" s="464" t="inlineStr">
        <is>
          <t>N/A</t>
        </is>
      </c>
      <c r="AM32" s="464" t="inlineStr">
        <is>
          <t>N/A</t>
        </is>
      </c>
      <c r="AN32" s="464" t="inlineStr">
        <is>
          <t>N/A</t>
        </is>
      </c>
      <c r="AO32" s="464" t="inlineStr">
        <is>
          <t>National standard ceiling CNY 7.5/mu/year. Provinces may set their own rates within the ceiling; a few areas may significantly exceed the ceiling due to ecological importance. Most areas impose per-household ceilings (not exceeding CNY 8,000-9,000/year).</t>
        </is>
      </c>
      <c r="AP32" s="464" t="inlineStr">
        <is>
          <t>N/A</t>
        </is>
      </c>
      <c r="AQ32" s="464" t="inlineStr">
        <is>
          <t>Central fiscal funds allocated by grazing-ban area → provincial disaggregation → county-level verification of each household's grazing-ban area → direct disbursement to herders' bank accounts via 'one-card'. Village-level public notification.</t>
        </is>
      </c>
      <c r="AR32" s="464" t="inlineStr">
        <is>
          <t>Implemented in rounds of five years. First round 2011-2015, second round 2016-2020, third round 2021-2025, fourth round 2026-2030 announced. Subsidies are disbursed annually during the ban period.</t>
        </is>
      </c>
      <c r="AS32" s="464"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T32" s="464" t="inlineStr">
        <is>
          <t>N/A</t>
        </is>
      </c>
      <c r="AU32" s="464" t="inlineStr">
        <is>
          <t>N/A</t>
        </is>
      </c>
      <c r="AV32" s="464" t="inlineStr">
        <is>
          <t>N/A</t>
        </is>
      </c>
      <c r="AW32" s="464" t="inlineStr">
        <is>
          <t>N/A</t>
        </is>
      </c>
      <c r="AX32" s="464" t="inlineStr">
        <is>
          <t>N/A</t>
        </is>
      </c>
      <c r="AY32" s="464" t="inlineStr">
        <is>
          <t>N/A</t>
        </is>
      </c>
      <c r="AZ32" s="464" t="inlineStr">
        <is>
          <t>N/A</t>
        </is>
      </c>
      <c r="BA32" s="464" t="inlineStr">
        <is>
          <t>N/A</t>
        </is>
      </c>
      <c r="BB32" s="464" t="inlineStr">
        <is>
          <t>N/A</t>
        </is>
      </c>
      <c r="BC32" s="464" t="inlineStr">
        <is>
          <t>N/A</t>
        </is>
      </c>
      <c r="BD32" s="464" t="inlineStr">
        <is>
          <t>N/A</t>
        </is>
      </c>
      <c r="BE32" s="464" t="inlineStr">
        <is>
          <t>N/A</t>
        </is>
      </c>
      <c r="BF32" s="464" t="inlineStr">
        <is>
          <t>A01</t>
        </is>
      </c>
      <c r="BG32" s="464" t="inlineStr">
        <is>
          <t>CO2; CH4; N2O</t>
        </is>
      </c>
      <c r="BH32" s="464" t="inlineStr">
        <is>
          <t>Positive</t>
        </is>
      </c>
      <c r="BI32" s="464" t="inlineStr">
        <is>
          <t>Biodiversity conservation; Ecological protection; Climate change adaptation</t>
        </is>
      </c>
      <c r="BJ32" s="464" t="inlineStr">
        <is>
          <t>Grassland Law Articles 35 and 47; 财农〔2021〕82号</t>
        </is>
      </c>
      <c r="BK32" s="464" t="inlineStr">
        <is>
          <t>https://www.moa.gov.cn/govpublic/CWS/201112/t20111222_2441035.htm</t>
        </is>
      </c>
      <c r="BL32" s="464" t="inlineStr">
        <is>
          <t>http://www.mof.gov.cn/gp/xxgkml/nys/201201/t20120116_2500355.htm</t>
        </is>
      </c>
      <c r="BM32" s="464" t="inlineStr"/>
    </row>
    <row r="33">
      <c r="A33" s="464" t="inlineStr">
        <is>
          <t>CHNSUBESPI03S002</t>
        </is>
      </c>
      <c r="B33" s="464" t="inlineStr">
        <is>
          <t>Subscheme</t>
        </is>
      </c>
      <c r="C33" s="464" t="inlineStr">
        <is>
          <t>Subsidy</t>
        </is>
      </c>
      <c r="D33" s="464" t="inlineStr">
        <is>
          <t>Ecosystem service payments</t>
        </is>
      </c>
      <c r="E33" s="464" t="inlineStr">
        <is>
          <t>AFOLU</t>
        </is>
      </c>
      <c r="F33" s="464" t="inlineStr">
        <is>
          <t>Grassland; livestock</t>
        </is>
      </c>
      <c r="G33" s="464" t="inlineStr">
        <is>
          <t>草原生态保护补助奖励—草畜平衡奖励子方案</t>
        </is>
      </c>
      <c r="H33" s="464" t="inlineStr">
        <is>
          <t>Grassland Ecological Protection Subsidy and Reward - Grass-Livestock Balance Reward subscheme</t>
        </is>
      </c>
      <c r="I33" s="464" t="inlineStr">
        <is>
          <t>Grassland Ecological Protection Subsidy and Reward</t>
        </is>
      </c>
      <c r="J33" s="464"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464" t="inlineStr">
        <is>
          <t>Ecological protection; Employment and poverty reduction</t>
        </is>
      </c>
      <c r="L33" s="464" t="inlineStr">
        <is>
          <t>Indirect</t>
        </is>
      </c>
      <c r="M33" s="464" t="inlineStr">
        <is>
          <t>national</t>
        </is>
      </c>
      <c r="N33" s="464" t="inlineStr">
        <is>
          <t>N/A</t>
        </is>
      </c>
      <c r="O33" s="464" t="inlineStr">
        <is>
          <t>12/10/2010</t>
        </is>
      </c>
      <c r="P33" s="464" t="inlineStr">
        <is>
          <t>01/01/2011</t>
        </is>
      </c>
      <c r="Q33" s="464" t="inlineStr">
        <is>
          <t>N/A</t>
        </is>
      </c>
      <c r="R33" s="464" t="inlineStr">
        <is>
          <t>2021</t>
        </is>
      </c>
      <c r="S33" s="464"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T33" s="464">
        <f>IF(P33="","In force",IF(P33="N/A","In force",IF(TODAY()&lt;DATE(VALUE(RIGHT(P33,4)),VALUE(MID(P33,4,2)),VALUE(LEFT(P33,2))),"Scheduled",IF(Q33="","In force",IF(Q33="N/A","In force",IF(TODAY()&lt;DATE(VALUE(RIGHT(Q33,4)),VALUE(MID(Q33,4,2)),VALUE(LEFT(Q33,2))),"In force","Ended"))))))</f>
        <v/>
      </c>
      <c r="U33" s="464" t="inlineStr">
        <is>
          <t>Ministry of Finance; Ministry of Agriculture and Rural Affairs; National Forestry and Grassland Administration; provincial and county agriculture/livestock and finance authorities</t>
        </is>
      </c>
      <c r="V33" s="464" t="inlineStr">
        <is>
          <t>Grassland</t>
        </is>
      </c>
      <c r="W33" s="464" t="inlineStr">
        <is>
          <t>Existing</t>
        </is>
      </c>
      <c r="X33" s="464"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Y33" s="464" t="inlineStr">
        <is>
          <t>N/A</t>
        </is>
      </c>
      <c r="Z33" s="464" t="inlineStr">
        <is>
          <t>Grass-livestock balance areas are determined by provincial governments outside the delineated grazing-ban areas, based on usable grassland distribution and carrying capacity.</t>
        </is>
      </c>
      <c r="AA33" s="464" t="inlineStr">
        <is>
          <t>Households</t>
        </is>
      </c>
      <c r="AB33" s="464" t="inlineStr">
        <is>
          <t>Herder households holding grass-livestock balance area grassland contracting and management rights certificates. The programme covers millions of herder households nationwide.</t>
        </is>
      </c>
      <c r="AC33" s="464" t="inlineStr">
        <is>
          <t>Conservation, protection or storage; production, electricity generation or transformation</t>
        </is>
      </c>
      <c r="AD33" s="464"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E33" s="464" t="inlineStr">
        <is>
          <t>2.5</t>
        </is>
      </c>
      <c r="AF33" s="464" t="inlineStr">
        <is>
          <t>CNY/mu/year</t>
        </is>
      </c>
      <c r="AG33" s="464"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H33" s="464"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I33" s="464" t="inlineStr">
        <is>
          <t>N/A</t>
        </is>
      </c>
      <c r="AJ33" s="464"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K33" s="464" t="inlineStr">
        <is>
          <t>N/A</t>
        </is>
      </c>
      <c r="AL33" s="464" t="inlineStr">
        <is>
          <t>N/A</t>
        </is>
      </c>
      <c r="AM33" s="464" t="inlineStr">
        <is>
          <t>N/A</t>
        </is>
      </c>
      <c r="AN33" s="464" t="inlineStr">
        <is>
          <t>N/A</t>
        </is>
      </c>
      <c r="AO33" s="464" t="inlineStr">
        <is>
          <t>National standard ceiling CNY 2.5/mu/year. Provinces may set their own rates within the ceiling. Per-household ceilings apply (in most areas not exceeding CNY 8,000-9,000/year).</t>
        </is>
      </c>
      <c r="AP33" s="464" t="inlineStr">
        <is>
          <t>N/A</t>
        </is>
      </c>
      <c r="AQ33" s="464" t="inlineStr">
        <is>
          <t>Central fiscal funds allocated by grass-livestock balance area → provincial disaggregation → county-level verification of each household's grass-livestock balance area → direct disbursement via 'one-card'. Village-level public notification.</t>
        </is>
      </c>
      <c r="AR33" s="464" t="inlineStr">
        <is>
          <t>Implemented in rounds of five years. First round 2011-2015, second round 2016-2020, third round 2021-2025, fourth round 2026-2030 announced. Grass-livestock balance rewards are disbursed annually.</t>
        </is>
      </c>
      <c r="AS33" s="464"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T33" s="464" t="inlineStr">
        <is>
          <t>N/A</t>
        </is>
      </c>
      <c r="AU33" s="464" t="inlineStr">
        <is>
          <t>N/A</t>
        </is>
      </c>
      <c r="AV33" s="464" t="inlineStr">
        <is>
          <t>N/A</t>
        </is>
      </c>
      <c r="AW33" s="464" t="inlineStr">
        <is>
          <t>N/A</t>
        </is>
      </c>
      <c r="AX33" s="464" t="inlineStr">
        <is>
          <t>N/A</t>
        </is>
      </c>
      <c r="AY33" s="464" t="inlineStr">
        <is>
          <t>N/A</t>
        </is>
      </c>
      <c r="AZ33" s="464" t="inlineStr">
        <is>
          <t>N/A</t>
        </is>
      </c>
      <c r="BA33" s="464" t="inlineStr">
        <is>
          <t>N/A</t>
        </is>
      </c>
      <c r="BB33" s="464" t="inlineStr">
        <is>
          <t>N/A</t>
        </is>
      </c>
      <c r="BC33" s="464" t="inlineStr">
        <is>
          <t>N/A</t>
        </is>
      </c>
      <c r="BD33" s="464" t="inlineStr">
        <is>
          <t>N/A</t>
        </is>
      </c>
      <c r="BE33" s="464" t="inlineStr">
        <is>
          <t>N/A</t>
        </is>
      </c>
      <c r="BF33" s="464" t="inlineStr">
        <is>
          <t>A01</t>
        </is>
      </c>
      <c r="BG33" s="464" t="inlineStr">
        <is>
          <t>CO2; CH4; N2O</t>
        </is>
      </c>
      <c r="BH33" s="464" t="inlineStr">
        <is>
          <t>Positive</t>
        </is>
      </c>
      <c r="BI33" s="464" t="inlineStr">
        <is>
          <t>Biodiversity conservation; Ecological protection; Climate change adaptation; Industrial development</t>
        </is>
      </c>
      <c r="BJ33" s="464" t="inlineStr">
        <is>
          <t>Grassland Law Articles 35 and 45; 财农〔2021〕82号</t>
        </is>
      </c>
      <c r="BK33" s="464" t="inlineStr">
        <is>
          <t>https://www.moa.gov.cn/govpublic/CWS/201112/t20111222_2441035.htm</t>
        </is>
      </c>
      <c r="BL33" s="464" t="inlineStr">
        <is>
          <t>http://www.mof.gov.cn/gp/xxgkml/nys/201201/t20120116_2500355.htm</t>
        </is>
      </c>
      <c r="BM33" s="464" t="inlineStr"/>
    </row>
    <row r="34">
      <c r="A34" s="610" t="inlineStr">
        <is>
          <t>CHNSUBESPI04S000</t>
        </is>
      </c>
      <c r="B34" s="610" t="inlineStr">
        <is>
          <t>Instrument</t>
        </is>
      </c>
      <c r="C34" s="610" t="inlineStr">
        <is>
          <t>Subsidy</t>
        </is>
      </c>
      <c r="D34" s="610" t="inlineStr">
        <is>
          <t>Ecosystem service payments</t>
        </is>
      </c>
      <c r="E34" s="610" t="inlineStr">
        <is>
          <t>AFOLU</t>
        </is>
      </c>
      <c r="F34" s="610" t="inlineStr">
        <is>
          <t>Grassland; livestock</t>
        </is>
      </c>
      <c r="G34" s="610" t="inlineStr">
        <is>
          <t>退牧还草</t>
        </is>
      </c>
      <c r="H34" s="610" t="inlineStr">
        <is>
          <t>Returning Grazing Land to Grassland</t>
        </is>
      </c>
      <c r="I34" s="610" t="inlineStr">
        <is>
          <t>N/A</t>
        </is>
      </c>
      <c r="J34" s="610"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610" t="inlineStr">
        <is>
          <t>Ecological protection; Desertification control; Employment and poverty reduction</t>
        </is>
      </c>
      <c r="L34" s="610" t="inlineStr">
        <is>
          <t>Indirect</t>
        </is>
      </c>
      <c r="M34" s="610" t="inlineStr">
        <is>
          <t>national</t>
        </is>
      </c>
      <c r="N34" s="610" t="inlineStr">
        <is>
          <t>N/A</t>
        </is>
      </c>
      <c r="O34" s="610" t="inlineStr">
        <is>
          <t>16/09/2002</t>
        </is>
      </c>
      <c r="P34" s="610" t="inlineStr">
        <is>
          <t>18/03/2003</t>
        </is>
      </c>
      <c r="Q34" s="610" t="inlineStr">
        <is>
          <t>N/A</t>
        </is>
      </c>
      <c r="R34" s="610" t="inlineStr">
        <is>
          <t>2021</t>
        </is>
      </c>
      <c r="S34" s="610"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T34" s="610">
        <f>IF(P34="","In force",IF(P34="N/A","In force",IF(TODAY()&lt;DATE(VALUE(RIGHT(P34,4)),VALUE(MID(P34,4,2)),VALUE(LEFT(P34,2))),"Scheduled",IF(Q34="","In force",IF(Q34="N/A","In force",IF(TODAY()&lt;DATE(VALUE(RIGHT(Q34,4)),VALUE(MID(Q34,4,2)),VALUE(LEFT(Q34,2))),"In force","Ended"))))))</f>
        <v/>
      </c>
      <c r="U34" s="610"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V34" s="610" t="inlineStr">
        <is>
          <t>Grassland</t>
        </is>
      </c>
      <c r="W34" s="610" t="inlineStr">
        <is>
          <t>Existing</t>
        </is>
      </c>
      <c r="X34" s="610"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Y34" s="610" t="inlineStr">
        <is>
          <t>N/A</t>
        </is>
      </c>
      <c r="Z34" s="610"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A34" s="610" t="inlineStr">
        <is>
          <t>Individuals; firms</t>
        </is>
      </c>
      <c r="AB34" s="610"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C34" s="610" t="inlineStr">
        <is>
          <t>Conservation, protection or storage; production, electricity generation or transformation</t>
        </is>
      </c>
      <c r="AD34" s="610"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E34" s="610" t="inlineStr">
        <is>
          <t>20; 160; 3000</t>
        </is>
      </c>
      <c r="AF34" s="610" t="inlineStr">
        <is>
          <t>CNY/mu; CNY/mu; CNY/household</t>
        </is>
      </c>
      <c r="AG34" s="610"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H34" s="610"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I34" s="610" t="inlineStr">
        <is>
          <t>N/A</t>
        </is>
      </c>
      <c r="AJ34" s="610"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K34" s="610" t="inlineStr">
        <is>
          <t>N/A</t>
        </is>
      </c>
      <c r="AL34" s="610" t="inlineStr">
        <is>
          <t>N/A</t>
        </is>
      </c>
      <c r="AM34" s="610" t="inlineStr">
        <is>
          <t>N/A</t>
        </is>
      </c>
      <c r="AN34" s="610" t="inlineStr">
        <is>
          <t>N/A</t>
        </is>
      </c>
      <c r="AO34" s="610"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P34" s="610" t="inlineStr">
        <is>
          <t>N/A</t>
        </is>
      </c>
      <c r="AQ34" s="610"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R34" s="610"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S34" s="610"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T34" s="610" t="inlineStr">
        <is>
          <t>N/A</t>
        </is>
      </c>
      <c r="AU34" s="610" t="inlineStr">
        <is>
          <t>N/A</t>
        </is>
      </c>
      <c r="AV34" s="610" t="inlineStr">
        <is>
          <t>N/A</t>
        </is>
      </c>
      <c r="AW34" s="610" t="inlineStr">
        <is>
          <t>N/A</t>
        </is>
      </c>
      <c r="AX34" s="610" t="inlineStr">
        <is>
          <t>N/A</t>
        </is>
      </c>
      <c r="AY34" s="610" t="inlineStr">
        <is>
          <t>N/A</t>
        </is>
      </c>
      <c r="AZ34" s="610" t="inlineStr">
        <is>
          <t>N/A</t>
        </is>
      </c>
      <c r="BA34" s="610" t="inlineStr">
        <is>
          <t>N/A</t>
        </is>
      </c>
      <c r="BB34" s="610" t="inlineStr">
        <is>
          <t>N/A</t>
        </is>
      </c>
      <c r="BC34" s="610" t="inlineStr">
        <is>
          <t>N/A</t>
        </is>
      </c>
      <c r="BD34" s="610" t="inlineStr">
        <is>
          <t>N/A</t>
        </is>
      </c>
      <c r="BE34" s="610" t="inlineStr">
        <is>
          <t>N/A</t>
        </is>
      </c>
      <c r="BF34" s="610" t="inlineStr">
        <is>
          <t>A01</t>
        </is>
      </c>
      <c r="BG34" s="610" t="inlineStr">
        <is>
          <t>CO2; CH4; N2O</t>
        </is>
      </c>
      <c r="BH34" s="610" t="inlineStr">
        <is>
          <t>Positive</t>
        </is>
      </c>
      <c r="BI34" s="610" t="inlineStr">
        <is>
          <t>Biodiversity conservation; Ecological protection; Climate change adaptation; Technological innovation</t>
        </is>
      </c>
      <c r="BJ34" s="610" t="inlineStr">
        <is>
          <t>Grassland Law of the People's Republic of China Articles 35, 46, 47 and 48; Several Opinions of the State Council on Strengthening Grassland Protection and Construction (国发〔2002〕19号)</t>
        </is>
      </c>
      <c r="BK34" s="610" t="inlineStr">
        <is>
          <t>http://www.gov.cn/gongbao/content/2002/content_61781.htm</t>
        </is>
      </c>
      <c r="BL34" s="610" t="inlineStr">
        <is>
          <t>https://www.ndrc.gov.cn/xxgk/zcfb/tz/201109/t20110919_964818.html; http://www.gov.cn/gongbao/content/2021/content_5600082.htm; https://www.moa.gov.cn/govpublic/XMYS/201006/t20100606_1534930.htm</t>
        </is>
      </c>
      <c r="BM34" s="610" t="inlineStr"/>
    </row>
    <row r="35">
      <c r="A35" s="610" t="inlineStr">
        <is>
          <t>CHNSUBESPI05S000</t>
        </is>
      </c>
      <c r="B35" s="610" t="inlineStr">
        <is>
          <t>Instrument</t>
        </is>
      </c>
      <c r="C35" s="610" t="inlineStr">
        <is>
          <t>Subsidy</t>
        </is>
      </c>
      <c r="D35" s="610" t="inlineStr">
        <is>
          <t>Ecosystem service payments</t>
        </is>
      </c>
      <c r="E35" s="610" t="inlineStr">
        <is>
          <t>AFOLU</t>
        </is>
      </c>
      <c r="F35" s="610" t="inlineStr">
        <is>
          <t>Forestry; forest</t>
        </is>
      </c>
      <c r="G35" s="610" t="inlineStr">
        <is>
          <t>天然林资源保护工程</t>
        </is>
      </c>
      <c r="H35" s="610" t="inlineStr">
        <is>
          <t>Natural Forest Protection Program</t>
        </is>
      </c>
      <c r="I35" s="610" t="inlineStr">
        <is>
          <t>N/A</t>
        </is>
      </c>
      <c r="J35" s="610"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610" t="inlineStr">
        <is>
          <t>Ecological protection; Biodiversity protection; Natural resource protection</t>
        </is>
      </c>
      <c r="L35" s="610" t="inlineStr">
        <is>
          <t>Indirect</t>
        </is>
      </c>
      <c r="M35" s="610" t="inlineStr">
        <is>
          <t>national</t>
        </is>
      </c>
      <c r="N35" s="610" t="inlineStr">
        <is>
          <t>N/A</t>
        </is>
      </c>
      <c r="O35" s="610" t="inlineStr">
        <is>
          <t>24/10/2000</t>
        </is>
      </c>
      <c r="P35" s="610" t="inlineStr">
        <is>
          <t>01/12/2000</t>
        </is>
      </c>
      <c r="Q35" s="610" t="inlineStr">
        <is>
          <t>N/A</t>
        </is>
      </c>
      <c r="R35" s="610" t="inlineStr">
        <is>
          <t>23/07/2019</t>
        </is>
      </c>
      <c r="S35" s="610"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T35" s="610">
        <f>IF(P35="","In force",IF(P35="N/A","In force",IF(TODAY()&lt;DATE(VALUE(RIGHT(P35,4)),VALUE(MID(P35,4,2)),VALUE(LEFT(P35,2))),"Scheduled",IF(Q35="","In force",IF(Q35="N/A","In force",IF(TODAY()&lt;DATE(VALUE(RIGHT(Q35,4)),VALUE(MID(Q35,4,2)),VALUE(LEFT(Q35,2))),"In force","Ended"))))))</f>
        <v/>
      </c>
      <c r="U35" s="610"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V35" s="610" t="inlineStr">
        <is>
          <t>Forest</t>
        </is>
      </c>
      <c r="W35" s="610" t="inlineStr">
        <is>
          <t>Existing</t>
        </is>
      </c>
      <c r="X35" s="610"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Y35" s="610" t="inlineStr">
        <is>
          <t>N/A</t>
        </is>
      </c>
      <c r="Z35" s="610"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A35" s="610" t="inlineStr">
        <is>
          <t>Individuals; firms; government</t>
        </is>
      </c>
      <c r="AB35" s="610"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C35" s="610" t="inlineStr">
        <is>
          <t>Conservation, protection or storage; production, electricity generation or transformation</t>
        </is>
      </c>
      <c r="AD35" s="610"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E35" s="610" t="inlineStr">
        <is>
          <t>500; 100; 120</t>
        </is>
      </c>
      <c r="AF35" s="610" t="inlineStr">
        <is>
          <t>CNY/mu</t>
        </is>
      </c>
      <c r="AG35" s="610"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H35" s="610"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I35" s="610" t="inlineStr">
        <is>
          <t>N/A</t>
        </is>
      </c>
      <c r="AJ35" s="610"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K35" s="610" t="inlineStr">
        <is>
          <t>N/A</t>
        </is>
      </c>
      <c r="AL35" s="610" t="inlineStr">
        <is>
          <t>N/A</t>
        </is>
      </c>
      <c r="AM35" s="610" t="inlineStr">
        <is>
          <t>N/A</t>
        </is>
      </c>
      <c r="AN35" s="610" t="inlineStr">
        <is>
          <t>Approximately CNY 25 billion/year (NFPP Phase II 2011-2020 average annual central investment CNY 24.4 billion; source: NDRC NFPP Phase II Implementation Plan. Cumulative central investment from 1998 to 2020 exceeded CNY 500 billion).</t>
        </is>
      </c>
      <c r="AO35" s="610"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P35" s="610" t="inlineStr">
        <is>
          <t>N/A</t>
        </is>
      </c>
      <c r="AQ35" s="610"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R35" s="610"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S35" s="610"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T35" s="610" t="inlineStr">
        <is>
          <t>N/A</t>
        </is>
      </c>
      <c r="AU35" s="610" t="inlineStr">
        <is>
          <t>N/A</t>
        </is>
      </c>
      <c r="AV35" s="610" t="inlineStr">
        <is>
          <t>N/A</t>
        </is>
      </c>
      <c r="AW35" s="610" t="inlineStr">
        <is>
          <t>N/A</t>
        </is>
      </c>
      <c r="AX35" s="610" t="inlineStr">
        <is>
          <t>N/A</t>
        </is>
      </c>
      <c r="AY35" s="610" t="inlineStr">
        <is>
          <t>N/A</t>
        </is>
      </c>
      <c r="AZ35" s="610" t="inlineStr">
        <is>
          <t>N/A</t>
        </is>
      </c>
      <c r="BA35" s="610" t="inlineStr">
        <is>
          <t>N/A</t>
        </is>
      </c>
      <c r="BB35" s="610" t="inlineStr">
        <is>
          <t>N/A</t>
        </is>
      </c>
      <c r="BC35" s="610" t="inlineStr">
        <is>
          <t>N/A</t>
        </is>
      </c>
      <c r="BD35" s="610"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E35" s="610" t="inlineStr">
        <is>
          <t>N/A</t>
        </is>
      </c>
      <c r="BF35" s="610" t="inlineStr">
        <is>
          <t>A02</t>
        </is>
      </c>
      <c r="BG35" s="610" t="inlineStr">
        <is>
          <t>CO2</t>
        </is>
      </c>
      <c r="BH35" s="610" t="inlineStr">
        <is>
          <t>Positive</t>
        </is>
      </c>
      <c r="BI35" s="610" t="inlineStr">
        <is>
          <t>Pollution control; Biodiversity conservation; Ecological protection; Climate change adaptation; Employment and poverty reduction</t>
        </is>
      </c>
      <c r="BJ35" s="610"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K35" s="610" t="inlineStr">
        <is>
          <t>https://www.gov.cn/zhengce/2019-07/23/content_5413850.htm</t>
        </is>
      </c>
      <c r="BL35" s="610" t="inlineStr">
        <is>
          <t>https://www.forestry.gov.cn/c/www/gkgfxwj/300304.jhtml; https://www.forestry.gov.cn/c/www/stgtlh/608745.jhtml; http://big5.www.gov.cn/gate/big5/www.gov.cn/govweb/gzdt/2011-05/17/content_1865437.htm</t>
        </is>
      </c>
      <c r="BM35" s="610" t="inlineStr"/>
    </row>
    <row r="36">
      <c r="A36" s="610" t="inlineStr">
        <is>
          <t>CHNTAXCITI01S000</t>
        </is>
      </c>
      <c r="B36" s="610" t="inlineStr">
        <is>
          <t>Instrument</t>
        </is>
      </c>
      <c r="C36" s="610" t="inlineStr">
        <is>
          <t>Tax</t>
        </is>
      </c>
      <c r="D36" s="610" t="inlineStr">
        <is>
          <t>CIT incentive</t>
        </is>
      </c>
      <c r="E36" s="610" t="inlineStr">
        <is>
          <t>Industry; buildings</t>
        </is>
      </c>
      <c r="F36" s="610" t="inlineStr">
        <is>
          <t>Industrial energy efficiency; building energy efficiency</t>
        </is>
      </c>
      <c r="G36" s="610" t="inlineStr">
        <is>
          <t>节能服务公司实施合同能源管理项目的所得定期减免企业所得税</t>
        </is>
      </c>
      <c r="H36" s="610" t="inlineStr">
        <is>
          <t>CIT incentive for energy performance contracting</t>
        </is>
      </c>
      <c r="I36" s="610" t="inlineStr">
        <is>
          <t>N/A</t>
        </is>
      </c>
      <c r="J36" s="610"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610" t="inlineStr">
        <is>
          <t>Energy efficiency; Industrial development</t>
        </is>
      </c>
      <c r="L36" s="610" t="inlineStr">
        <is>
          <t>Direct</t>
        </is>
      </c>
      <c r="M36" s="610" t="inlineStr">
        <is>
          <t>national</t>
        </is>
      </c>
      <c r="N36" s="610" t="inlineStr">
        <is>
          <t>N/A</t>
        </is>
      </c>
      <c r="O36" s="610" t="inlineStr">
        <is>
          <t>30/12/2010</t>
        </is>
      </c>
      <c r="P36" s="610" t="inlineStr">
        <is>
          <t>01/01/2011</t>
        </is>
      </c>
      <c r="Q36" s="610" t="inlineStr">
        <is>
          <t>N/A</t>
        </is>
      </c>
      <c r="R36" s="610" t="inlineStr">
        <is>
          <t>17/12/2013</t>
        </is>
      </c>
      <c r="S36" s="610" t="inlineStr">
        <is>
          <t>N/A</t>
        </is>
      </c>
      <c r="T36" s="610">
        <f>IF(P36="","In force",IF(P36="N/A","In force",IF(TODAY()&lt;DATE(VALUE(RIGHT(P36,4)),VALUE(MID(P36,4,2)),VALUE(LEFT(P36,2))),"Scheduled",IF(Q36="","In force",IF(Q36="N/A","In force",IF(TODAY()&lt;DATE(VALUE(RIGHT(Q36,4)),VALUE(MID(Q36,4,2)),VALUE(LEFT(Q36,2))),"In force","Ended"))))))</f>
        <v/>
      </c>
      <c r="U36" s="610"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V36" s="610" t="inlineStr">
        <is>
          <t>Energy-saving projects; Energy-using equipment</t>
        </is>
      </c>
      <c r="W36" s="610" t="inlineStr">
        <is>
          <t>Existing</t>
        </is>
      </c>
      <c r="X36" s="610"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Y36" s="610" t="inlineStr">
        <is>
          <t>N/A</t>
        </is>
      </c>
      <c r="Z36" s="610" t="inlineStr">
        <is>
          <t>ESCO investment share no less than 70% of total project investment</t>
        </is>
      </c>
      <c r="AA36" s="610" t="inlineStr">
        <is>
          <t>Firms</t>
        </is>
      </c>
      <c r="AB36" s="610"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C36" s="610" t="inlineStr">
        <is>
          <t>Production, electricity generation or transformation</t>
        </is>
      </c>
      <c r="AD36" s="610" t="inlineStr">
        <is>
          <t>The ESCO, through an energy-savings benefit-sharing contract with the energy-using enterprise, invests in energy-saving equipment and technology, retrofits the client's existing energy-consuming equipment and systems, and implements operation management.</t>
        </is>
      </c>
      <c r="AE36" s="610" t="inlineStr">
        <is>
          <t>100; 50</t>
        </is>
      </c>
      <c r="AF36" s="610" t="inlineStr">
        <is>
          <t>% (percentage of CIT rate)</t>
        </is>
      </c>
      <c r="AG36" s="610" t="inlineStr">
        <is>
          <t>Years 1-3: CIT exempt (100% relief). Years 4-6: CIT reduced by 50%, levied at 12.5% (50% relief, statutory rate 25%). If the benefit-sharing period is shorter than 6 years, the incentive applies for the actual benefit-sharing period.</t>
        </is>
      </c>
      <c r="AH36" s="610"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I36" s="610"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J36" s="610" t="inlineStr">
        <is>
          <t>Where the actual benefit-sharing period is shorter than 6 years, the incentive applies for the actual period. If the project is transferred during the incentive period, the transferee may continue to enjoy the incentive for the remaining period.</t>
        </is>
      </c>
      <c r="AK36" s="610" t="inlineStr">
        <is>
          <t>N/A</t>
        </is>
      </c>
      <c r="AL36" s="610" t="inlineStr">
        <is>
          <t>N/A</t>
        </is>
      </c>
      <c r="AM36" s="610" t="inlineStr">
        <is>
          <t>N/A</t>
        </is>
      </c>
      <c r="AN36" s="610" t="inlineStr">
        <is>
          <t>N/A</t>
        </is>
      </c>
      <c r="AO36" s="610" t="inlineStr">
        <is>
          <t>N/A</t>
        </is>
      </c>
      <c r="AP36" s="610" t="inlineStr">
        <is>
          <t>N/A</t>
        </is>
      </c>
      <c r="AQ36" s="610" t="inlineStr">
        <is>
          <t>N/A</t>
        </is>
      </c>
      <c r="AR36" s="610" t="inlineStr">
        <is>
          <t>N/A</t>
        </is>
      </c>
      <c r="AS36" s="610" t="inlineStr">
        <is>
          <t>N/A</t>
        </is>
      </c>
      <c r="AT36" s="610" t="inlineStr">
        <is>
          <t>N/A</t>
        </is>
      </c>
      <c r="AU36" s="610" t="inlineStr">
        <is>
          <t>N/A</t>
        </is>
      </c>
      <c r="AV36" s="610" t="inlineStr">
        <is>
          <t>N/A</t>
        </is>
      </c>
      <c r="AW36" s="610" t="inlineStr">
        <is>
          <t>N/A</t>
        </is>
      </c>
      <c r="AX36" s="610" t="inlineStr">
        <is>
          <t>N/A</t>
        </is>
      </c>
      <c r="AY36" s="610" t="inlineStr">
        <is>
          <t>N/A</t>
        </is>
      </c>
      <c r="AZ36" s="610" t="inlineStr">
        <is>
          <t>N/A</t>
        </is>
      </c>
      <c r="BA36" s="610" t="inlineStr">
        <is>
          <t>N/A</t>
        </is>
      </c>
      <c r="BB36" s="610" t="inlineStr">
        <is>
          <t>N/A</t>
        </is>
      </c>
      <c r="BC36" s="610" t="inlineStr">
        <is>
          <t>N/A</t>
        </is>
      </c>
      <c r="BD36" s="610" t="inlineStr">
        <is>
          <t>N/A</t>
        </is>
      </c>
      <c r="BE36" s="610" t="inlineStr">
        <is>
          <t>N/A</t>
        </is>
      </c>
      <c r="BF36" s="610" t="inlineStr">
        <is>
          <t>M74</t>
        </is>
      </c>
      <c r="BG36" s="610" t="inlineStr">
        <is>
          <t>CO2</t>
        </is>
      </c>
      <c r="BH36" s="610" t="inlineStr">
        <is>
          <t>positive</t>
        </is>
      </c>
      <c r="BI36" s="610" t="inlineStr">
        <is>
          <t>Industrial development; Technological innovation; Energy security</t>
        </is>
      </c>
      <c r="BJ36" s="610" t="inlineStr">
        <is>
          <t>Enterprise Income Tax Law of the People's Republic of China, Art. 27; Implementation Regulations for the Enterprise Income Tax Law, Art. 88; Cai Shui [2010] No. 110; STA/NDRC Announcement [2013] No. 77</t>
        </is>
      </c>
      <c r="BK36" s="610" t="inlineStr">
        <is>
          <t>https://fgk.chinatax.gov.cn/zcfgk/c102416/c5203598/content.html</t>
        </is>
      </c>
      <c r="BL36" s="610" t="inlineStr">
        <is>
          <t>https://www.chinatax.gov.cn/chinatax/n810341/n810765/n812146/n812300/c1080063/content.html</t>
        </is>
      </c>
      <c r="BM36" s="610" t="inlineStr"/>
    </row>
    <row r="37">
      <c r="A37" s="610" t="inlineStr">
        <is>
          <t>CHNTAXCITI02S000</t>
        </is>
      </c>
      <c r="B37" s="610" t="inlineStr">
        <is>
          <t>Instrument</t>
        </is>
      </c>
      <c r="C37" s="610" t="inlineStr">
        <is>
          <t>Tax</t>
        </is>
      </c>
      <c r="D37" s="610" t="inlineStr">
        <is>
          <t>CIT incentive</t>
        </is>
      </c>
      <c r="E37" s="610" t="inlineStr">
        <is>
          <t>Industry; waste</t>
        </is>
      </c>
      <c r="F37" s="610" t="inlineStr">
        <is>
          <t>Wastewater treatment; waste treatment; biogas utilisation; carbon capture, utilisation and storage; energy-saving retrofit; seawater desalination</t>
        </is>
      </c>
      <c r="G37" s="610" t="inlineStr">
        <is>
          <t>环境保护、节能节水项目企业所得税优惠</t>
        </is>
      </c>
      <c r="H37" s="610" t="inlineStr">
        <is>
          <t>CIT incentive for environmental protection, energy-saving and water-saving projects</t>
        </is>
      </c>
      <c r="I37" s="610" t="inlineStr">
        <is>
          <t>N/A</t>
        </is>
      </c>
      <c r="J37" s="610"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610" t="inlineStr">
        <is>
          <t>Pollution control; Energy efficiency; Resource conservation</t>
        </is>
      </c>
      <c r="L37" s="610" t="inlineStr">
        <is>
          <t>Direct</t>
        </is>
      </c>
      <c r="M37" s="610" t="inlineStr">
        <is>
          <t>national</t>
        </is>
      </c>
      <c r="N37" s="610" t="inlineStr">
        <is>
          <t>N/A</t>
        </is>
      </c>
      <c r="O37" s="610" t="inlineStr">
        <is>
          <t>16/03/2007</t>
        </is>
      </c>
      <c r="P37" s="610" t="inlineStr">
        <is>
          <t>01/01/2008</t>
        </is>
      </c>
      <c r="Q37" s="610" t="inlineStr">
        <is>
          <t>N/A</t>
        </is>
      </c>
      <c r="R37" s="610" t="inlineStr">
        <is>
          <t>01/01/2021</t>
        </is>
      </c>
      <c r="S37" s="610" t="inlineStr">
        <is>
          <t>N/A</t>
        </is>
      </c>
      <c r="T37" s="610">
        <f>IF(P37="","In force",IF(P37="N/A","In force",IF(TODAY()&lt;DATE(VALUE(RIGHT(P37,4)),VALUE(MID(P37,4,2)),VALUE(LEFT(P37,2))),"Scheduled",IF(Q37="","In force",IF(Q37="N/A","In force",IF(TODAY()&lt;DATE(VALUE(RIGHT(Q37,4)),VALUE(MID(Q37,4,2)),VALUE(LEFT(Q37,2))),"In force","Ended"))))))</f>
        <v/>
      </c>
      <c r="U37" s="610"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V37" s="610" t="inlineStr">
        <is>
          <t>Wastewater treatment facilities; waste treatment facilities; biogas projects; carbon capture, utilisation and storage facilities; building energy-saving systems; communication base station and data centre energy-saving systems; seawater desalination facilities</t>
        </is>
      </c>
      <c r="W37" s="610" t="inlineStr">
        <is>
          <t>Existing; New</t>
        </is>
      </c>
      <c r="X37" s="610"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Y37" s="610" t="inlineStr">
        <is>
          <t>N/A</t>
        </is>
      </c>
      <c r="Z37" s="610" t="inlineStr">
        <is>
          <t>N/A</t>
        </is>
      </c>
      <c r="AA37" s="610" t="inlineStr">
        <is>
          <t>Firms</t>
        </is>
      </c>
      <c r="AB37" s="610"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C37" s="610" t="inlineStr">
        <is>
          <t>Production, electricity generation or transformation</t>
        </is>
      </c>
      <c r="AD37" s="610"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E37" s="610" t="inlineStr">
        <is>
          <t>100; 50</t>
        </is>
      </c>
      <c r="AF37" s="610" t="inlineStr">
        <is>
          <t>% (percentage of CIT rate)</t>
        </is>
      </c>
      <c r="AG37" s="610"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H37" s="610"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I37" s="610"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J37" s="610"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K37" s="610" t="inlineStr">
        <is>
          <t>N/A</t>
        </is>
      </c>
      <c r="AL37" s="610" t="inlineStr">
        <is>
          <t>N/A</t>
        </is>
      </c>
      <c r="AM37" s="610" t="inlineStr">
        <is>
          <t>N/A</t>
        </is>
      </c>
      <c r="AN37" s="610" t="inlineStr">
        <is>
          <t>N/A</t>
        </is>
      </c>
      <c r="AO37" s="610" t="inlineStr">
        <is>
          <t>N/A</t>
        </is>
      </c>
      <c r="AP37" s="610" t="inlineStr">
        <is>
          <t>N/A</t>
        </is>
      </c>
      <c r="AQ37" s="610" t="inlineStr">
        <is>
          <t>N/A</t>
        </is>
      </c>
      <c r="AR37" s="610" t="inlineStr">
        <is>
          <t>N/A</t>
        </is>
      </c>
      <c r="AS37" s="610" t="inlineStr">
        <is>
          <t>N/A</t>
        </is>
      </c>
      <c r="AT37" s="610" t="inlineStr">
        <is>
          <t>N/A</t>
        </is>
      </c>
      <c r="AU37" s="610" t="inlineStr">
        <is>
          <t>N/A</t>
        </is>
      </c>
      <c r="AV37" s="610" t="inlineStr">
        <is>
          <t>N/A</t>
        </is>
      </c>
      <c r="AW37" s="610" t="inlineStr">
        <is>
          <t>N/A</t>
        </is>
      </c>
      <c r="AX37" s="610" t="inlineStr">
        <is>
          <t>N/A</t>
        </is>
      </c>
      <c r="AY37" s="610" t="inlineStr">
        <is>
          <t>N/A</t>
        </is>
      </c>
      <c r="AZ37" s="610" t="inlineStr">
        <is>
          <t>N/A</t>
        </is>
      </c>
      <c r="BA37" s="610" t="inlineStr">
        <is>
          <t>N/A</t>
        </is>
      </c>
      <c r="BB37" s="610" t="inlineStr">
        <is>
          <t>N/A</t>
        </is>
      </c>
      <c r="BC37" s="610" t="inlineStr">
        <is>
          <t>N/A</t>
        </is>
      </c>
      <c r="BD37" s="610" t="inlineStr">
        <is>
          <t>N/A</t>
        </is>
      </c>
      <c r="BE37" s="610" t="inlineStr">
        <is>
          <t>N/A</t>
        </is>
      </c>
      <c r="BF37" s="610" t="inlineStr">
        <is>
          <t>E36; E37; E38; E39</t>
        </is>
      </c>
      <c r="BG37" s="610" t="inlineStr">
        <is>
          <t>CO2; CH4; N2O</t>
        </is>
      </c>
      <c r="BH37" s="610" t="inlineStr">
        <is>
          <t>positive</t>
        </is>
      </c>
      <c r="BI37" s="610" t="inlineStr">
        <is>
          <t>Pollution control; Resource conservation; Circular economy; Technological innovation</t>
        </is>
      </c>
      <c r="BJ37" s="610" t="inlineStr">
        <is>
          <t>Enterprise Income Tax Law of the People's Republic of China, Art. 27; Implementation Regulations, Art. 88; Cai Shui [2009] No. 59; STA Announcement [2012] No. 30; MOF/STA/NDRC/MEE Announcement [2021] No. 36</t>
        </is>
      </c>
      <c r="BK37" s="610" t="inlineStr">
        <is>
          <t>https://www.gov.cn/zhengce/zhengceku/2021-12/29/content_5665116.htm</t>
        </is>
      </c>
      <c r="BL37" s="610" t="inlineStr">
        <is>
          <t>https://www.gov.cn/zhengce/zhengceku/2021-12/29/content_5665116.htm</t>
        </is>
      </c>
      <c r="BM37" s="610" t="inlineStr"/>
    </row>
    <row r="38">
      <c r="A38" s="610" t="inlineStr">
        <is>
          <t>CHNTAXCITI03S000</t>
        </is>
      </c>
      <c r="B38" s="610" t="inlineStr">
        <is>
          <t>Instrument</t>
        </is>
      </c>
      <c r="C38" s="610" t="inlineStr">
        <is>
          <t>Tax</t>
        </is>
      </c>
      <c r="D38" s="610" t="inlineStr">
        <is>
          <t>CIT incentive</t>
        </is>
      </c>
      <c r="E38" s="610" t="inlineStr">
        <is>
          <t>Industry; Energy</t>
        </is>
      </c>
      <c r="F38" s="610" t="inlineStr">
        <is>
          <t>Environmental treatment equipment; energy-saving equipment; water-saving equipment</t>
        </is>
      </c>
      <c r="G38" s="610" t="inlineStr">
        <is>
          <t>环境保护、节能节水专用设备投资额抵免企业所得税</t>
        </is>
      </c>
      <c r="H38" s="610" t="inlineStr">
        <is>
          <t>CIT credit for investment in special equipment for environmental protection, energy-saving and water-saving</t>
        </is>
      </c>
      <c r="I38" s="610" t="inlineStr">
        <is>
          <t>N/A</t>
        </is>
      </c>
      <c r="J38" s="610"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610" t="inlineStr">
        <is>
          <t>Energy efficiency; Pollution control</t>
        </is>
      </c>
      <c r="L38" s="610" t="inlineStr">
        <is>
          <t>Direct</t>
        </is>
      </c>
      <c r="M38" s="610" t="inlineStr">
        <is>
          <t>national</t>
        </is>
      </c>
      <c r="N38" s="610" t="inlineStr">
        <is>
          <t>N/A</t>
        </is>
      </c>
      <c r="O38" s="610" t="inlineStr">
        <is>
          <t>22/08/2008</t>
        </is>
      </c>
      <c r="P38" s="610" t="inlineStr">
        <is>
          <t>01/01/2008</t>
        </is>
      </c>
      <c r="Q38" s="610" t="inlineStr">
        <is>
          <t>N/A</t>
        </is>
      </c>
      <c r="R38" s="610" t="inlineStr">
        <is>
          <t>01/01/2017</t>
        </is>
      </c>
      <c r="S38" s="610" t="inlineStr">
        <is>
          <t>N/A</t>
        </is>
      </c>
      <c r="T38" s="610">
        <f>IF(P38="","In force",IF(P38="N/A","In force",IF(TODAY()&lt;DATE(VALUE(RIGHT(P38,4)),VALUE(MID(P38,4,2)),VALUE(LEFT(P38,2))),"Scheduled",IF(Q38="","In force",IF(Q38="N/A","In force",IF(TODAY()&lt;DATE(VALUE(RIGHT(Q38,4)),VALUE(MID(Q38,4,2)),VALUE(LEFT(Q38,2))),"In force","Ended"))))))</f>
        <v/>
      </c>
      <c r="U38" s="610"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V38" s="610" t="inlineStr">
        <is>
          <t>Environmental protection special equipment; Energy-saving and water-saving special equipment</t>
        </is>
      </c>
      <c r="W38" s="610" t="inlineStr">
        <is>
          <t>New</t>
        </is>
      </c>
      <c r="X38" s="610"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Y38" s="610" t="inlineStr">
        <is>
          <t>N/A</t>
        </is>
      </c>
      <c r="Z38" s="610" t="inlineStr">
        <is>
          <t>N/A</t>
        </is>
      </c>
      <c r="AA38" s="610" t="inlineStr">
        <is>
          <t>Firms</t>
        </is>
      </c>
      <c r="AB38" s="610"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C38" s="610" t="inlineStr">
        <is>
          <t>Ownership, use or capital formation</t>
        </is>
      </c>
      <c r="AD38" s="610"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E38" s="610" t="inlineStr">
        <is>
          <t>10</t>
        </is>
      </c>
      <c r="AF38" s="610" t="inlineStr">
        <is>
          <t>% (percentage of equipment investment)</t>
        </is>
      </c>
      <c r="AG38" s="610"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H38" s="610"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I38" s="610" t="inlineStr">
        <is>
          <t>Allowable credit = special equipment investment amount (net of deductible input VAT) x 10%. The actual credit for the current year shall not exceed the current year's tax payable, with excess carried forward to the following five tax years.</t>
        </is>
      </c>
      <c r="AJ38" s="610" t="inlineStr">
        <is>
          <t>Where the enterprise transfers or leases the equipment within 5 years from the month the equipment is put into use, the enterprise must repay the credited tax. Repayment amount = actual credited amount x (1 - months elapsed since start month / 60).</t>
        </is>
      </c>
      <c r="AK38" s="610" t="inlineStr">
        <is>
          <t>N/A</t>
        </is>
      </c>
      <c r="AL38" s="610" t="inlineStr">
        <is>
          <t>N/A</t>
        </is>
      </c>
      <c r="AM38" s="610" t="inlineStr">
        <is>
          <t>N/A</t>
        </is>
      </c>
      <c r="AN38" s="610" t="inlineStr">
        <is>
          <t>N/A</t>
        </is>
      </c>
      <c r="AO38" s="610" t="inlineStr">
        <is>
          <t>N/A</t>
        </is>
      </c>
      <c r="AP38" s="610" t="inlineStr">
        <is>
          <t>N/A</t>
        </is>
      </c>
      <c r="AQ38" s="610" t="inlineStr">
        <is>
          <t>N/A</t>
        </is>
      </c>
      <c r="AR38" s="610" t="inlineStr">
        <is>
          <t>N/A</t>
        </is>
      </c>
      <c r="AS38" s="610" t="inlineStr">
        <is>
          <t>N/A</t>
        </is>
      </c>
      <c r="AT38" s="610" t="inlineStr">
        <is>
          <t>N/A</t>
        </is>
      </c>
      <c r="AU38" s="610" t="inlineStr">
        <is>
          <t>N/A</t>
        </is>
      </c>
      <c r="AV38" s="610" t="inlineStr">
        <is>
          <t>N/A</t>
        </is>
      </c>
      <c r="AW38" s="610" t="inlineStr">
        <is>
          <t>N/A</t>
        </is>
      </c>
      <c r="AX38" s="610" t="inlineStr">
        <is>
          <t>N/A</t>
        </is>
      </c>
      <c r="AY38" s="610" t="inlineStr">
        <is>
          <t>N/A</t>
        </is>
      </c>
      <c r="AZ38" s="610" t="inlineStr">
        <is>
          <t>N/A</t>
        </is>
      </c>
      <c r="BA38" s="610" t="inlineStr">
        <is>
          <t>N/A</t>
        </is>
      </c>
      <c r="BB38" s="610" t="inlineStr">
        <is>
          <t>N/A</t>
        </is>
      </c>
      <c r="BC38" s="610" t="inlineStr">
        <is>
          <t>N/A</t>
        </is>
      </c>
      <c r="BD38" s="610" t="inlineStr">
        <is>
          <t>N/A</t>
        </is>
      </c>
      <c r="BE38" s="610" t="inlineStr">
        <is>
          <t>N/A</t>
        </is>
      </c>
      <c r="BF38" s="610" t="inlineStr">
        <is>
          <t>C28; D35</t>
        </is>
      </c>
      <c r="BG38" s="610" t="inlineStr">
        <is>
          <t>CO2; CH4; N2O</t>
        </is>
      </c>
      <c r="BH38" s="610" t="inlineStr">
        <is>
          <t>positive</t>
        </is>
      </c>
      <c r="BI38" s="610" t="inlineStr">
        <is>
          <t>Pollution control; Resource conservation; Industrial development; Technological innovation</t>
        </is>
      </c>
      <c r="BJ38" s="610" t="inlineStr">
        <is>
          <t>Enterprise Income Tax Law of the People's Republic of China, Art. 34; Implementation Regulations, Art. 100; Cai Shui [2008] No. 48; Cai Shui [2017] No. 71; Guo Shui Han [2010] No. 256</t>
        </is>
      </c>
      <c r="BK38" s="610" t="inlineStr">
        <is>
          <t>https://fgk.chinatax.gov.cn/zcfgk/c102416/c5202514/content.html</t>
        </is>
      </c>
      <c r="BL38" s="610" t="inlineStr">
        <is>
          <t>https://fgk.chinatax.gov.cn/zcfgk/c102416/c5202514/content.html</t>
        </is>
      </c>
      <c r="BM38" s="610" t="inlineStr"/>
    </row>
    <row r="39">
      <c r="A39" s="610" t="inlineStr">
        <is>
          <t>CHNTAXCITI04S000</t>
        </is>
      </c>
      <c r="B39" s="610" t="inlineStr">
        <is>
          <t>Instrument</t>
        </is>
      </c>
      <c r="C39" s="610" t="inlineStr">
        <is>
          <t>Tax</t>
        </is>
      </c>
      <c r="D39" s="610" t="inlineStr">
        <is>
          <t>CIT incentive</t>
        </is>
      </c>
      <c r="E39" s="610" t="inlineStr">
        <is>
          <t>Industry; Energy</t>
        </is>
      </c>
      <c r="F39" s="610" t="inlineStr">
        <is>
          <t>Environmental treatment equipment; energy-saving and water-saving equipment; digital transformation</t>
        </is>
      </c>
      <c r="G39" s="610" t="inlineStr">
        <is>
          <t>环境保护、节能节水专用设备数字化智能化改造投资抵免企业所得税</t>
        </is>
      </c>
      <c r="H39" s="610" t="inlineStr">
        <is>
          <t>CIT credit for digital and intelligent transformation of special equipment for environmental protection, energy-saving and water-saving</t>
        </is>
      </c>
      <c r="I39" s="610" t="inlineStr">
        <is>
          <t>N/A</t>
        </is>
      </c>
      <c r="J39" s="610"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610" t="inlineStr">
        <is>
          <t>Energy efficiency; Technological innovation</t>
        </is>
      </c>
      <c r="L39" s="610" t="inlineStr">
        <is>
          <t>Direct</t>
        </is>
      </c>
      <c r="M39" s="610" t="inlineStr">
        <is>
          <t>national</t>
        </is>
      </c>
      <c r="N39" s="610" t="inlineStr">
        <is>
          <t>N/A</t>
        </is>
      </c>
      <c r="O39" s="610" t="inlineStr">
        <is>
          <t>12/07/2024</t>
        </is>
      </c>
      <c r="P39" s="610" t="inlineStr">
        <is>
          <t>01/01/2024</t>
        </is>
      </c>
      <c r="Q39" s="610" t="inlineStr">
        <is>
          <t>31/12/2027</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V39" s="610" t="inlineStr">
        <is>
          <t>Environmental protection special equipment; Energy-saving and water-saving special equipment; Digital and intelligent transformation</t>
        </is>
      </c>
      <c r="W39" s="610" t="inlineStr">
        <is>
          <t>Existing</t>
        </is>
      </c>
      <c r="X39" s="610"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Y39" s="610" t="inlineStr">
        <is>
          <t>N/A</t>
        </is>
      </c>
      <c r="Z39" s="610" t="inlineStr">
        <is>
          <t>Credit base limited to no more than 50% of the equipment's original tax basis; the transformation investment must form part of the fixed asset value of the special equipment</t>
        </is>
      </c>
      <c r="AA39" s="610" t="inlineStr">
        <is>
          <t>Firms</t>
        </is>
      </c>
      <c r="AB39" s="610"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C39" s="610" t="inlineStr">
        <is>
          <t>Ownership, use or capital formation</t>
        </is>
      </c>
      <c r="AD39" s="610"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E39" s="610" t="inlineStr">
        <is>
          <t>10</t>
        </is>
      </c>
      <c r="AF39" s="610" t="inlineStr">
        <is>
          <t>% (percentage of transformation investment)</t>
        </is>
      </c>
      <c r="AG39" s="610" t="inlineStr">
        <is>
          <t>10% of the qualified transformation investment (limited to the portion not exceeding 50% of the equipment's original tax basis) credited against CIT payable for the current year. Any excess may be carried forward within the following five tax years.</t>
        </is>
      </c>
      <c r="AH39" s="610"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I39" s="610" t="inlineStr">
        <is>
          <t>Allowable credit = qualified transformation investment (limited to equipment original tax basis x 50%) x 10%. The actual credit for the current year shall not exceed the current year's tax payable, with excess carried forward to the following five tax years.</t>
        </is>
      </c>
      <c r="AJ39" s="610" t="inlineStr">
        <is>
          <t>Where the transformed equipment is transferred or leased within 5 years after transformation completion, the enterprise must cease the credit and repay the credited tax. Repayment amount = actual credited amount x (1 - months elapsed since start month / 60).</t>
        </is>
      </c>
      <c r="AK39" s="610" t="inlineStr">
        <is>
          <t>N/A</t>
        </is>
      </c>
      <c r="AL39" s="610" t="inlineStr">
        <is>
          <t>N/A</t>
        </is>
      </c>
      <c r="AM39" s="610" t="inlineStr">
        <is>
          <t>N/A</t>
        </is>
      </c>
      <c r="AN39" s="610" t="inlineStr">
        <is>
          <t>N/A</t>
        </is>
      </c>
      <c r="AO39" s="610" t="inlineStr">
        <is>
          <t>N/A</t>
        </is>
      </c>
      <c r="AP39" s="610" t="inlineStr">
        <is>
          <t>N/A</t>
        </is>
      </c>
      <c r="AQ39" s="610" t="inlineStr">
        <is>
          <t>N/A</t>
        </is>
      </c>
      <c r="AR39" s="610" t="inlineStr">
        <is>
          <t>N/A</t>
        </is>
      </c>
      <c r="AS39" s="610" t="inlineStr">
        <is>
          <t>N/A</t>
        </is>
      </c>
      <c r="AT39" s="610" t="inlineStr">
        <is>
          <t>N/A</t>
        </is>
      </c>
      <c r="AU39" s="610" t="inlineStr">
        <is>
          <t>N/A</t>
        </is>
      </c>
      <c r="AV39" s="610" t="inlineStr">
        <is>
          <t>N/A</t>
        </is>
      </c>
      <c r="AW39" s="610" t="inlineStr">
        <is>
          <t>N/A</t>
        </is>
      </c>
      <c r="AX39" s="610" t="inlineStr">
        <is>
          <t>N/A</t>
        </is>
      </c>
      <c r="AY39" s="610" t="inlineStr">
        <is>
          <t>N/A</t>
        </is>
      </c>
      <c r="AZ39" s="610" t="inlineStr">
        <is>
          <t>N/A</t>
        </is>
      </c>
      <c r="BA39" s="610" t="inlineStr">
        <is>
          <t>N/A</t>
        </is>
      </c>
      <c r="BB39" s="610" t="inlineStr">
        <is>
          <t>N/A</t>
        </is>
      </c>
      <c r="BC39" s="610" t="inlineStr">
        <is>
          <t>N/A</t>
        </is>
      </c>
      <c r="BD39" s="610" t="inlineStr">
        <is>
          <t>N/A</t>
        </is>
      </c>
      <c r="BE39" s="610" t="inlineStr">
        <is>
          <t>N/A</t>
        </is>
      </c>
      <c r="BF39" s="610" t="inlineStr">
        <is>
          <t>C28; D35</t>
        </is>
      </c>
      <c r="BG39" s="610" t="inlineStr">
        <is>
          <t>CO2</t>
        </is>
      </c>
      <c r="BH39" s="610" t="inlineStr">
        <is>
          <t>positive</t>
        </is>
      </c>
      <c r="BI39" s="610" t="inlineStr">
        <is>
          <t>Industrial development; Technological innovation</t>
        </is>
      </c>
      <c r="BJ39" s="610" t="inlineStr">
        <is>
          <t>Enterprise Income Tax Law of the People's Republic of China, Art. 34; Implementation Regulations, Art. 100; MOF/STA Announcement [2024] No. 9; State Council Guo Fa [2024] No. 7</t>
        </is>
      </c>
      <c r="BK39" s="610" t="inlineStr">
        <is>
          <t>https://fgk.chinatax.gov.cn/zcfgk/c102416/c5232952/content.html</t>
        </is>
      </c>
      <c r="BL39" s="610" t="inlineStr">
        <is>
          <t>https://www.gov.cn/zhengce/content/202403/content_6938990.htm</t>
        </is>
      </c>
      <c r="BM39" s="610" t="inlineStr"/>
    </row>
    <row r="40">
      <c r="A40" s="610" t="inlineStr">
        <is>
          <t>CHNTAXCITI05S000</t>
        </is>
      </c>
      <c r="B40" s="610" t="inlineStr">
        <is>
          <t>Instrument</t>
        </is>
      </c>
      <c r="C40" s="610" t="inlineStr">
        <is>
          <t>Tax</t>
        </is>
      </c>
      <c r="D40" s="610" t="inlineStr">
        <is>
          <t>CIT incentive</t>
        </is>
      </c>
      <c r="E40" s="610" t="inlineStr">
        <is>
          <t>Industry; waste</t>
        </is>
      </c>
      <c r="F40" s="610" t="inlineStr">
        <is>
          <t>Waste recovery and recycling; Recycled resource processing</t>
        </is>
      </c>
      <c r="G40" s="610" t="inlineStr">
        <is>
          <t>资源综合利用企业所得税优惠</t>
        </is>
      </c>
      <c r="H40" s="610" t="inlineStr">
        <is>
          <t>CIT incentive for comprehensive resource utilization</t>
        </is>
      </c>
      <c r="I40" s="610" t="inlineStr">
        <is>
          <t>N/A</t>
        </is>
      </c>
      <c r="J40" s="610"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610" t="inlineStr">
        <is>
          <t>Circular economy; Pollution control; Resource conservation</t>
        </is>
      </c>
      <c r="L40" s="610" t="inlineStr">
        <is>
          <t>Indirect</t>
        </is>
      </c>
      <c r="M40" s="610" t="inlineStr">
        <is>
          <t>national</t>
        </is>
      </c>
      <c r="N40" s="610" t="inlineStr">
        <is>
          <t>N/A</t>
        </is>
      </c>
      <c r="O40" s="610" t="inlineStr">
        <is>
          <t>16/03/2007</t>
        </is>
      </c>
      <c r="P40" s="610" t="inlineStr">
        <is>
          <t>01/01/2008</t>
        </is>
      </c>
      <c r="Q40" s="610" t="inlineStr">
        <is>
          <t>N/A</t>
        </is>
      </c>
      <c r="R40" s="610" t="inlineStr">
        <is>
          <t>01/01/2021</t>
        </is>
      </c>
      <c r="S40" s="610" t="inlineStr">
        <is>
          <t>N/A</t>
        </is>
      </c>
      <c r="T40" s="610">
        <f>IF(P40="","In force",IF(P40="N/A","In force",IF(TODAY()&lt;DATE(VALUE(RIGHT(P40,4)),VALUE(MID(P40,4,2)),VALUE(LEFT(P40,2))),"Scheduled",IF(Q40="","In force",IF(Q40="N/A","In force",IF(TODAY()&lt;DATE(VALUE(RIGHT(Q40,4)),VALUE(MID(Q40,4,2)),VALUE(LEFT(Q40,2))),"In force","Ended"))))))</f>
        <v/>
      </c>
      <c r="U40" s="610"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V40" s="610"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W40" s="610" t="inlineStr">
        <is>
          <t>Existing</t>
        </is>
      </c>
      <c r="X40" s="610"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Y40" s="610" t="inlineStr">
        <is>
          <t>N/A</t>
        </is>
      </c>
      <c r="Z40" s="610" t="inlineStr">
        <is>
          <t>N/A</t>
        </is>
      </c>
      <c r="AA40" s="610" t="inlineStr">
        <is>
          <t>Firms</t>
        </is>
      </c>
      <c r="AB40" s="610"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C40" s="610" t="inlineStr">
        <is>
          <t>Recovery, reuse or other post-consumption treatment</t>
        </is>
      </c>
      <c r="AD40" s="610"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E40" s="610" t="inlineStr">
        <is>
          <t>10</t>
        </is>
      </c>
      <c r="AF40" s="610" t="inlineStr">
        <is>
          <t>% (percentage of taxable income reduction)</t>
        </is>
      </c>
      <c r="AG40" s="610"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H40" s="610"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I40" s="610" t="inlineStr">
        <is>
          <t>Taxable income = (comprehensive resource utilisation product income x 90%) - corresponding costs and expenses - other deductions. In substance, 10% of comprehensive resource utilisation product income is exempt from inclusion in taxable income.</t>
        </is>
      </c>
      <c r="AJ40" s="610"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K40" s="610" t="inlineStr">
        <is>
          <t>N/A</t>
        </is>
      </c>
      <c r="AL40" s="610" t="inlineStr">
        <is>
          <t>N/A</t>
        </is>
      </c>
      <c r="AM40" s="610" t="inlineStr">
        <is>
          <t>N/A</t>
        </is>
      </c>
      <c r="AN40" s="610" t="inlineStr">
        <is>
          <t>N/A</t>
        </is>
      </c>
      <c r="AO40" s="610" t="inlineStr">
        <is>
          <t>N/A</t>
        </is>
      </c>
      <c r="AP40" s="610" t="inlineStr">
        <is>
          <t>N/A</t>
        </is>
      </c>
      <c r="AQ40" s="610" t="inlineStr">
        <is>
          <t>N/A</t>
        </is>
      </c>
      <c r="AR40" s="610" t="inlineStr">
        <is>
          <t>N/A</t>
        </is>
      </c>
      <c r="AS40" s="610" t="inlineStr">
        <is>
          <t>N/A</t>
        </is>
      </c>
      <c r="AT40" s="610" t="inlineStr">
        <is>
          <t>N/A</t>
        </is>
      </c>
      <c r="AU40" s="610" t="inlineStr">
        <is>
          <t>N/A</t>
        </is>
      </c>
      <c r="AV40" s="610" t="inlineStr">
        <is>
          <t>N/A</t>
        </is>
      </c>
      <c r="AW40" s="610" t="inlineStr">
        <is>
          <t>N/A</t>
        </is>
      </c>
      <c r="AX40" s="610" t="inlineStr">
        <is>
          <t>N/A</t>
        </is>
      </c>
      <c r="AY40" s="610" t="inlineStr">
        <is>
          <t>N/A</t>
        </is>
      </c>
      <c r="AZ40" s="610" t="inlineStr">
        <is>
          <t>N/A</t>
        </is>
      </c>
      <c r="BA40" s="610" t="inlineStr">
        <is>
          <t>N/A</t>
        </is>
      </c>
      <c r="BB40" s="610" t="inlineStr">
        <is>
          <t>N/A</t>
        </is>
      </c>
      <c r="BC40" s="610" t="inlineStr">
        <is>
          <t>N/A</t>
        </is>
      </c>
      <c r="BD40" s="610" t="inlineStr">
        <is>
          <t>N/A</t>
        </is>
      </c>
      <c r="BE40" s="610" t="inlineStr">
        <is>
          <t>N/A</t>
        </is>
      </c>
      <c r="BF40" s="610" t="inlineStr">
        <is>
          <t>E38; C20; A02</t>
        </is>
      </c>
      <c r="BG40" s="610" t="inlineStr">
        <is>
          <t>CO2; CH4</t>
        </is>
      </c>
      <c r="BH40" s="610" t="inlineStr">
        <is>
          <t>positive</t>
        </is>
      </c>
      <c r="BI40" s="610" t="inlineStr">
        <is>
          <t>Circular economy; Resource conservation; Technological innovation</t>
        </is>
      </c>
      <c r="BJ40" s="610" t="inlineStr">
        <is>
          <t>Enterprise Income Tax Law of the People's Republic of China, Art. 33; Implementation Regulations, Art. 99; Cai Shui [2008] No. 47; MOF/STA/NDRC/MEE Announcement [2021] No. 36</t>
        </is>
      </c>
      <c r="BK40" s="610" t="inlineStr">
        <is>
          <t>https://www.chinatax.gov.cn/chinatax/c102166/c5178971/content.html</t>
        </is>
      </c>
      <c r="BL40" s="610" t="inlineStr">
        <is>
          <t>https://shenzhen.chinatax.gov.cn/sztax/zdgkml/gkmlzcjd/tpjd/202405/611dfb0c35fb4b3c9a78a10521854b06.shtml</t>
        </is>
      </c>
      <c r="BM40" s="610" t="inlineStr"/>
    </row>
    <row r="41">
      <c r="A41" s="610" t="inlineStr">
        <is>
          <t>CHNTAXULTI01S000</t>
        </is>
      </c>
      <c r="B41" s="610" t="inlineStr">
        <is>
          <t>Instrument</t>
        </is>
      </c>
      <c r="C41" s="610" t="inlineStr">
        <is>
          <t>Tax</t>
        </is>
      </c>
      <c r="D41" s="610" t="inlineStr">
        <is>
          <t>Urban land use tax incentive</t>
        </is>
      </c>
      <c r="E41" s="610" t="inlineStr">
        <is>
          <t>Energy</t>
        </is>
      </c>
      <c r="F41" s="610" t="inlineStr">
        <is>
          <t>Hydropower</t>
        </is>
      </c>
      <c r="G41" s="610" t="inlineStr">
        <is>
          <t>水电站部分用地免征城镇土地使用税</t>
        </is>
      </c>
      <c r="H41" s="610" t="inlineStr">
        <is>
          <t>Urban land use tax exemption for hydropower station land</t>
        </is>
      </c>
      <c r="I41" s="610" t="inlineStr">
        <is>
          <t>N/A</t>
        </is>
      </c>
      <c r="J41" s="610"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610" t="inlineStr">
        <is>
          <t>Energy security; Climate change mitigation</t>
        </is>
      </c>
      <c r="L41" s="610" t="inlineStr">
        <is>
          <t>Direct</t>
        </is>
      </c>
      <c r="M41" s="610" t="inlineStr">
        <is>
          <t>national</t>
        </is>
      </c>
      <c r="N41" s="610" t="inlineStr">
        <is>
          <t>N/A</t>
        </is>
      </c>
      <c r="O41" s="610" t="inlineStr">
        <is>
          <t>02/02/1989</t>
        </is>
      </c>
      <c r="P41" s="610" t="inlineStr">
        <is>
          <t>02/02/1989</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State Taxation Administration</t>
        </is>
      </c>
      <c r="V41" s="610" t="inlineStr">
        <is>
          <t>Water energy</t>
        </is>
      </c>
      <c r="W41" s="610" t="inlineStr">
        <is>
          <t>New; Existing</t>
        </is>
      </c>
      <c r="X41" s="610"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Y41" s="610" t="inlineStr">
        <is>
          <t>N/A</t>
        </is>
      </c>
      <c r="Z41" s="610" t="inlineStr">
        <is>
          <t>N/A</t>
        </is>
      </c>
      <c r="AA41" s="610" t="inlineStr">
        <is>
          <t>Firms</t>
        </is>
      </c>
      <c r="AB41" s="610" t="inlineStr">
        <is>
          <t>Hydroelectric power generation enterprises</t>
        </is>
      </c>
      <c r="AC41" s="610" t="inlineStr">
        <is>
          <t>Production, generation or conversion</t>
        </is>
      </c>
      <c r="AD41" s="610" t="inlineStr">
        <is>
          <t>Hydroelectric power generation enterprises use land for hydropower station dams and reservoirs to carry out hydroelectric power generation activities and are legally exempt from urban land use tax on the qualifying non-production land.</t>
        </is>
      </c>
      <c r="AE41" s="610" t="inlineStr">
        <is>
          <t>100</t>
        </is>
      </c>
      <c r="AF41" s="610" t="inlineStr">
        <is>
          <t>% (proportion of tax liability exempted)</t>
        </is>
      </c>
      <c r="AG41" s="610"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H41" s="610"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I41" s="610"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J41" s="610" t="inlineStr">
        <is>
          <t>N/A</t>
        </is>
      </c>
      <c r="AK41" s="610" t="inlineStr">
        <is>
          <t>N/A</t>
        </is>
      </c>
      <c r="AL41" s="610" t="inlineStr">
        <is>
          <t>N/A</t>
        </is>
      </c>
      <c r="AM41" s="610" t="inlineStr">
        <is>
          <t>N/A</t>
        </is>
      </c>
      <c r="AN41" s="610" t="inlineStr">
        <is>
          <t>N/A</t>
        </is>
      </c>
      <c r="AO41" s="610" t="inlineStr">
        <is>
          <t>N/A</t>
        </is>
      </c>
      <c r="AP41" s="610" t="inlineStr">
        <is>
          <t>N/A</t>
        </is>
      </c>
      <c r="AQ41" s="610" t="inlineStr">
        <is>
          <t>N/A</t>
        </is>
      </c>
      <c r="AR41" s="610" t="inlineStr">
        <is>
          <t>N/A</t>
        </is>
      </c>
      <c r="AS41" s="610" t="inlineStr">
        <is>
          <t>N/A</t>
        </is>
      </c>
      <c r="AT41" s="610" t="inlineStr">
        <is>
          <t>N/A</t>
        </is>
      </c>
      <c r="AU41" s="610" t="inlineStr">
        <is>
          <t>N/A</t>
        </is>
      </c>
      <c r="AV41" s="610" t="inlineStr">
        <is>
          <t>N/A</t>
        </is>
      </c>
      <c r="AW41" s="610" t="inlineStr">
        <is>
          <t>N/A</t>
        </is>
      </c>
      <c r="AX41" s="610" t="inlineStr">
        <is>
          <t>N/A</t>
        </is>
      </c>
      <c r="AY41" s="610" t="inlineStr">
        <is>
          <t>N/A</t>
        </is>
      </c>
      <c r="AZ41" s="610" t="inlineStr">
        <is>
          <t>N/A</t>
        </is>
      </c>
      <c r="BA41" s="610" t="inlineStr">
        <is>
          <t>N/A</t>
        </is>
      </c>
      <c r="BB41" s="610" t="inlineStr">
        <is>
          <t>N/A</t>
        </is>
      </c>
      <c r="BC41" s="610" t="inlineStr">
        <is>
          <t>N/A</t>
        </is>
      </c>
      <c r="BD41" s="610" t="inlineStr">
        <is>
          <t>N/A</t>
        </is>
      </c>
      <c r="BE41" s="610" t="inlineStr">
        <is>
          <t>N/A</t>
        </is>
      </c>
      <c r="BF41" s="610" t="inlineStr">
        <is>
          <t>D35</t>
        </is>
      </c>
      <c r="BG41" s="610" t="inlineStr">
        <is>
          <t>CO2</t>
        </is>
      </c>
      <c r="BH41" s="610" t="inlineStr">
        <is>
          <t>positive</t>
        </is>
      </c>
      <c r="BI41" s="610" t="inlineStr">
        <is>
          <t>Pollution control; Energy security</t>
        </is>
      </c>
      <c r="BJ41" s="610" t="inlineStr">
        <is>
          <t>State Taxation Administration Provisions on Land Use Tax Levy and Exemption for the Electric Power Industry (Guo Shui Di Zi [1989] No. 13)</t>
        </is>
      </c>
      <c r="BK41" s="610" t="inlineStr">
        <is>
          <t>https://fgk.chinatax.gov.cn/zcfgk/c100012/c5193066/content.html</t>
        </is>
      </c>
      <c r="BL41" s="610" t="inlineStr">
        <is>
          <t>https://www.gov.cn/gongbao/content/2019/content_5468914.htm</t>
        </is>
      </c>
      <c r="BM41" s="610" t="inlineStr"/>
    </row>
    <row r="42">
      <c r="A42" s="610" t="inlineStr">
        <is>
          <t>CHNTAXULTI02S000</t>
        </is>
      </c>
      <c r="B42" s="610" t="inlineStr">
        <is>
          <t>Instrument</t>
        </is>
      </c>
      <c r="C42" s="610" t="inlineStr">
        <is>
          <t>Tax</t>
        </is>
      </c>
      <c r="D42" s="610" t="inlineStr">
        <is>
          <t>Urban land use tax incentive</t>
        </is>
      </c>
      <c r="E42" s="610" t="inlineStr">
        <is>
          <t>Energy</t>
        </is>
      </c>
      <c r="F42" s="610" t="inlineStr">
        <is>
          <t>Nuclear power</t>
        </is>
      </c>
      <c r="G42" s="610" t="inlineStr">
        <is>
          <t>核电站部分用地免征城镇土地使用税</t>
        </is>
      </c>
      <c r="H42" s="610" t="inlineStr">
        <is>
          <t>Urban land use tax exemption for nuclear power station land</t>
        </is>
      </c>
      <c r="I42" s="610" t="inlineStr">
        <is>
          <t>N/A</t>
        </is>
      </c>
      <c r="J42" s="610"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610" t="inlineStr">
        <is>
          <t>Energy security; Climate change mitigation</t>
        </is>
      </c>
      <c r="L42" s="610" t="inlineStr">
        <is>
          <t>Direct</t>
        </is>
      </c>
      <c r="M42" s="610" t="inlineStr">
        <is>
          <t>national</t>
        </is>
      </c>
      <c r="N42" s="610" t="inlineStr">
        <is>
          <t>N/A</t>
        </is>
      </c>
      <c r="O42" s="610" t="inlineStr">
        <is>
          <t>10/09/2007</t>
        </is>
      </c>
      <c r="P42" s="610" t="inlineStr">
        <is>
          <t>10/09/2007</t>
        </is>
      </c>
      <c r="Q42" s="610" t="inlineStr">
        <is>
          <t>N/A</t>
        </is>
      </c>
      <c r="R42" s="610" t="inlineStr">
        <is>
          <t>N/A</t>
        </is>
      </c>
      <c r="S42" s="610" t="inlineStr">
        <is>
          <t>N/A</t>
        </is>
      </c>
      <c r="T42" s="610">
        <f>IF(P42="","In force",IF(P42="N/A","In force",IF(TODAY()&lt;DATE(VALUE(RIGHT(P42,4)),VALUE(MID(P42,4,2)),VALUE(LEFT(P42,2))),"Scheduled",IF(Q42="","In force",IF(Q42="N/A","In force",IF(TODAY()&lt;DATE(VALUE(RIGHT(Q42,4)),VALUE(MID(Q42,4,2)),VALUE(LEFT(Q42,2))),"In force","Ended"))))))</f>
        <v/>
      </c>
      <c r="U42" s="610" t="inlineStr">
        <is>
          <t>State Taxation Administration; Ministry of Finance</t>
        </is>
      </c>
      <c r="V42" s="610" t="inlineStr">
        <is>
          <t>Nuclear energy</t>
        </is>
      </c>
      <c r="W42" s="610" t="inlineStr">
        <is>
          <t>New; Existing</t>
        </is>
      </c>
      <c r="X42" s="610"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Y42" s="610" t="inlineStr">
        <is>
          <t>N/A</t>
        </is>
      </c>
      <c r="Z42" s="610" t="inlineStr">
        <is>
          <t>N/A</t>
        </is>
      </c>
      <c r="AA42" s="610" t="inlineStr">
        <is>
          <t>Firms</t>
        </is>
      </c>
      <c r="AB42" s="610" t="inlineStr">
        <is>
          <t>Nuclear power enterprises</t>
        </is>
      </c>
      <c r="AC42" s="610" t="inlineStr">
        <is>
          <t>Production, generation or conversion</t>
        </is>
      </c>
      <c r="AD42" s="610" t="inlineStr">
        <is>
          <t>Nuclear power enterprises use land for nuclear power stations to carry out nuclear power generation activities and are legally exempt from urban land use tax on the qualifying non-production land.</t>
        </is>
      </c>
      <c r="AE42" s="610" t="inlineStr">
        <is>
          <t>100</t>
        </is>
      </c>
      <c r="AF42" s="610" t="inlineStr">
        <is>
          <t>% (proportion of tax liability exempted)</t>
        </is>
      </c>
      <c r="AG42" s="610"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H42" s="610"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I42" s="610"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J42" s="610" t="inlineStr">
        <is>
          <t>N/A</t>
        </is>
      </c>
      <c r="AK42" s="610" t="inlineStr">
        <is>
          <t>N/A</t>
        </is>
      </c>
      <c r="AL42" s="610" t="inlineStr">
        <is>
          <t>N/A</t>
        </is>
      </c>
      <c r="AM42" s="610" t="inlineStr">
        <is>
          <t>N/A</t>
        </is>
      </c>
      <c r="AN42" s="610" t="inlineStr">
        <is>
          <t>N/A</t>
        </is>
      </c>
      <c r="AO42" s="610" t="inlineStr">
        <is>
          <t>N/A</t>
        </is>
      </c>
      <c r="AP42" s="610" t="inlineStr">
        <is>
          <t>N/A</t>
        </is>
      </c>
      <c r="AQ42" s="610" t="inlineStr">
        <is>
          <t>N/A</t>
        </is>
      </c>
      <c r="AR42" s="610" t="inlineStr">
        <is>
          <t>N/A</t>
        </is>
      </c>
      <c r="AS42" s="610" t="inlineStr">
        <is>
          <t>N/A</t>
        </is>
      </c>
      <c r="AT42" s="610" t="inlineStr">
        <is>
          <t>N/A</t>
        </is>
      </c>
      <c r="AU42" s="610" t="inlineStr">
        <is>
          <t>N/A</t>
        </is>
      </c>
      <c r="AV42" s="610" t="inlineStr">
        <is>
          <t>N/A</t>
        </is>
      </c>
      <c r="AW42" s="610" t="inlineStr">
        <is>
          <t>N/A</t>
        </is>
      </c>
      <c r="AX42" s="610" t="inlineStr">
        <is>
          <t>N/A</t>
        </is>
      </c>
      <c r="AY42" s="610" t="inlineStr">
        <is>
          <t>N/A</t>
        </is>
      </c>
      <c r="AZ42" s="610" t="inlineStr">
        <is>
          <t>N/A</t>
        </is>
      </c>
      <c r="BA42" s="610" t="inlineStr">
        <is>
          <t>N/A</t>
        </is>
      </c>
      <c r="BB42" s="610" t="inlineStr">
        <is>
          <t>N/A</t>
        </is>
      </c>
      <c r="BC42" s="610" t="inlineStr">
        <is>
          <t>N/A</t>
        </is>
      </c>
      <c r="BD42" s="610" t="inlineStr">
        <is>
          <t>N/A</t>
        </is>
      </c>
      <c r="BE42" s="610" t="inlineStr">
        <is>
          <t>N/A</t>
        </is>
      </c>
      <c r="BF42" s="610" t="inlineStr">
        <is>
          <t>D35</t>
        </is>
      </c>
      <c r="BG42" s="610" t="inlineStr">
        <is>
          <t>CO2</t>
        </is>
      </c>
      <c r="BH42" s="610" t="inlineStr">
        <is>
          <t>positive</t>
        </is>
      </c>
      <c r="BI42" s="610" t="inlineStr">
        <is>
          <t>Pollution control; Energy security</t>
        </is>
      </c>
      <c r="BJ42" s="610" t="inlineStr">
        <is>
          <t>Notice of the Ministry of Finance and the State Taxation Administration on Urban Land Use Tax Levy and Exemption for Nuclear Power Station Land (Cai Shui [2007] No. 124)</t>
        </is>
      </c>
      <c r="BK42" s="610" t="inlineStr">
        <is>
          <t>https://fgk.chinatax.gov.cn/zcfgk/c102416/c5203376/content.html</t>
        </is>
      </c>
      <c r="BL42" s="610" t="inlineStr">
        <is>
          <t>https://www.gov.cn/gongbao/content/2019/content_5468914.htm</t>
        </is>
      </c>
      <c r="BM42" s="610" t="inlineStr"/>
    </row>
    <row r="43">
      <c r="A43" s="610" t="inlineStr">
        <is>
          <t>CHNTAXVATI02S000</t>
        </is>
      </c>
      <c r="B43" s="610" t="inlineStr">
        <is>
          <t>Instrument</t>
        </is>
      </c>
      <c r="C43" s="610" t="inlineStr">
        <is>
          <t>Tax</t>
        </is>
      </c>
      <c r="D43" s="610" t="inlineStr">
        <is>
          <t>VAT incentive</t>
        </is>
      </c>
      <c r="E43" s="610" t="inlineStr">
        <is>
          <t>Industry; Waste</t>
        </is>
      </c>
      <c r="F43" s="610" t="inlineStr">
        <is>
          <t>Waste recovery and recycling; construction and building materials</t>
        </is>
      </c>
      <c r="G43" s="610" t="inlineStr">
        <is>
          <t>资源综合利用产品及劳务增值税即征即退</t>
        </is>
      </c>
      <c r="H43" s="610" t="inlineStr">
        <is>
          <t>VAT immediate refund for resource comprehensive utilisation products and services</t>
        </is>
      </c>
      <c r="I43" s="610" t="inlineStr">
        <is>
          <t>N/A</t>
        </is>
      </c>
      <c r="J43" s="610"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610" t="inlineStr">
        <is>
          <t>Circular economy; Resource conservation; Climate change mitigation</t>
        </is>
      </c>
      <c r="L43" s="610" t="inlineStr">
        <is>
          <t>Indirect</t>
        </is>
      </c>
      <c r="M43" s="610" t="inlineStr">
        <is>
          <t>national</t>
        </is>
      </c>
      <c r="N43" s="610" t="inlineStr">
        <is>
          <t>N/A</t>
        </is>
      </c>
      <c r="O43" s="610" t="inlineStr">
        <is>
          <t>31/12/2021</t>
        </is>
      </c>
      <c r="P43" s="610" t="inlineStr">
        <is>
          <t>01/03/2022</t>
        </is>
      </c>
      <c r="Q43" s="610" t="inlineStr">
        <is>
          <t>N/A</t>
        </is>
      </c>
      <c r="R43" s="610" t="inlineStr">
        <is>
          <t>01/03/2022</t>
        </is>
      </c>
      <c r="S43" s="610"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T43" s="610">
        <f>IF(P43="","In force",IF(P43="N/A","In force",IF(TODAY()&lt;DATE(VALUE(RIGHT(P43,4)),VALUE(MID(P43,4,2)),VALUE(LEFT(P43,2))),"Scheduled",IF(Q43="","In force",IF(Q43="N/A","In force",IF(TODAY()&lt;DATE(VALUE(RIGHT(Q43,4)),VALUE(MID(Q43,4,2)),VALUE(LEFT(Q43,2))),"In force","Ended"))))))</f>
        <v/>
      </c>
      <c r="U43" s="610"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V43" s="610" t="inlineStr">
        <is>
          <t>Industrial waste; Municipal waste; Other machinery and equipment</t>
        </is>
      </c>
      <c r="W43" s="610" t="inlineStr">
        <is>
          <t>N/A</t>
        </is>
      </c>
      <c r="X43" s="610"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Y43" s="610" t="inlineStr">
        <is>
          <t>N/A</t>
        </is>
      </c>
      <c r="Z43" s="610"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A43" s="610" t="inlineStr">
        <is>
          <t>Firms</t>
        </is>
      </c>
      <c r="AB43" s="610"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C43" s="610" t="inlineStr">
        <is>
          <t>Recovery, reuse or other post-consumer treatment</t>
        </is>
      </c>
      <c r="AD43" s="610"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E43" s="610" t="inlineStr">
        <is>
          <t>30%; 50%; 70%; 100%</t>
        </is>
      </c>
      <c r="AF43" s="610" t="inlineStr">
        <is>
          <t>% of VAT paid refunded</t>
        </is>
      </c>
      <c r="AG43" s="610"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H43" s="610"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I43" s="610" t="inlineStr">
        <is>
          <t>Refund amount = VAT actually paid in the current period x applicable refund rate (30%/50%/70%/100%)</t>
        </is>
      </c>
      <c r="AJ43" s="610" t="inlineStr">
        <is>
          <t>N/A</t>
        </is>
      </c>
      <c r="AK43" s="610" t="inlineStr">
        <is>
          <t>N/A</t>
        </is>
      </c>
      <c r="AL43" s="610" t="inlineStr">
        <is>
          <t>N/A</t>
        </is>
      </c>
      <c r="AM43" s="610" t="inlineStr">
        <is>
          <t>CNY tens of billions (estimate)</t>
        </is>
      </c>
      <c r="AN43" s="610" t="inlineStr">
        <is>
          <t>N/A</t>
        </is>
      </c>
      <c r="AO43" s="610" t="inlineStr">
        <is>
          <t>N/A</t>
        </is>
      </c>
      <c r="AP43" s="610" t="inlineStr">
        <is>
          <t>N/A</t>
        </is>
      </c>
      <c r="AQ43" s="610" t="inlineStr">
        <is>
          <t>N/A</t>
        </is>
      </c>
      <c r="AR43" s="610" t="inlineStr">
        <is>
          <t>N/A</t>
        </is>
      </c>
      <c r="AS43" s="610" t="inlineStr">
        <is>
          <t>N/A</t>
        </is>
      </c>
      <c r="AT43" s="610" t="inlineStr">
        <is>
          <t>N/A</t>
        </is>
      </c>
      <c r="AU43" s="610" t="inlineStr">
        <is>
          <t>N/A</t>
        </is>
      </c>
      <c r="AV43" s="610" t="inlineStr">
        <is>
          <t>N/A</t>
        </is>
      </c>
      <c r="AW43" s="610" t="inlineStr">
        <is>
          <t>N/A</t>
        </is>
      </c>
      <c r="AX43" s="610" t="inlineStr">
        <is>
          <t>N/A</t>
        </is>
      </c>
      <c r="AY43" s="610" t="inlineStr">
        <is>
          <t>N/A</t>
        </is>
      </c>
      <c r="AZ43" s="610" t="inlineStr">
        <is>
          <t>N/A</t>
        </is>
      </c>
      <c r="BA43" s="610" t="inlineStr">
        <is>
          <t>N/A</t>
        </is>
      </c>
      <c r="BB43" s="610" t="inlineStr">
        <is>
          <t>N/A</t>
        </is>
      </c>
      <c r="BC43" s="610" t="inlineStr">
        <is>
          <t>N/A</t>
        </is>
      </c>
      <c r="BD43" s="610" t="inlineStr">
        <is>
          <t>N/A</t>
        </is>
      </c>
      <c r="BE43" s="610" t="inlineStr">
        <is>
          <t>N/A</t>
        </is>
      </c>
      <c r="BF43" s="610" t="inlineStr">
        <is>
          <t>E38</t>
        </is>
      </c>
      <c r="BG43" s="610" t="inlineStr">
        <is>
          <t>CO2; CH4</t>
        </is>
      </c>
      <c r="BH43" s="610" t="inlineStr">
        <is>
          <t>positive</t>
        </is>
      </c>
      <c r="BI43" s="610" t="inlineStr">
        <is>
          <t>Industrial development; Technological innovation; Circular economy</t>
        </is>
      </c>
      <c r="BJ43" s="610" t="inlineStr">
        <is>
          <t>MOF STA Announcement [2021] No. 40, Announcement on Improving the VAT Policy for Resource Comprehensive Utilisation</t>
        </is>
      </c>
      <c r="BK43" s="610" t="inlineStr">
        <is>
          <t>http://szs.mof.gov.cn/zhengcefabu/202112/t20211231_3780338.htm</t>
        </is>
      </c>
      <c r="BL43" s="610" t="inlineStr">
        <is>
          <t>https://12366.chinatax.gov.cn/zqdetail/getcontentPage?lmbm=1b2f350af217414e88fad088c1ae1af5&amp;contentId=4c2044701c2446ba9c780b132a86dd94</t>
        </is>
      </c>
      <c r="BM43" s="610" t="inlineStr"/>
    </row>
    <row r="44">
      <c r="A44" s="610" t="inlineStr">
        <is>
          <t>CHNTAXVATI03S000</t>
        </is>
      </c>
      <c r="B44" s="610" t="inlineStr">
        <is>
          <t>Instrument</t>
        </is>
      </c>
      <c r="C44" s="610" t="inlineStr">
        <is>
          <t>Tax</t>
        </is>
      </c>
      <c r="D44" s="610" t="inlineStr">
        <is>
          <t>VAT incentive</t>
        </is>
      </c>
      <c r="E44" s="610" t="inlineStr">
        <is>
          <t>AFOLU</t>
        </is>
      </c>
      <c r="F44" s="610" t="inlineStr">
        <is>
          <t>Agricultural fertilisers; crop cultivation</t>
        </is>
      </c>
      <c r="G44" s="610" t="inlineStr">
        <is>
          <t>有机肥产品免征增值税</t>
        </is>
      </c>
      <c r="H44" s="610" t="inlineStr">
        <is>
          <t>VAT exemption for organic fertiliser products</t>
        </is>
      </c>
      <c r="I44" s="610" t="inlineStr">
        <is>
          <t>N/A</t>
        </is>
      </c>
      <c r="J44" s="610"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610" t="inlineStr">
        <is>
          <t>Climate change mitigation; Pollution control</t>
        </is>
      </c>
      <c r="L44" s="610" t="inlineStr">
        <is>
          <t>Indirect</t>
        </is>
      </c>
      <c r="M44" s="610" t="inlineStr">
        <is>
          <t>national</t>
        </is>
      </c>
      <c r="N44" s="610" t="inlineStr">
        <is>
          <t>N/A</t>
        </is>
      </c>
      <c r="O44" s="610" t="inlineStr">
        <is>
          <t>10/06/2008</t>
        </is>
      </c>
      <c r="P44" s="610" t="inlineStr">
        <is>
          <t>01/06/2008</t>
        </is>
      </c>
      <c r="Q44" s="610" t="inlineStr">
        <is>
          <t>31/12/2027</t>
        </is>
      </c>
      <c r="R44" s="610" t="inlineStr">
        <is>
          <t>01/01/2026</t>
        </is>
      </c>
      <c r="S44" s="610"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T44" s="610">
        <f>IF(P44="","In force",IF(P44="N/A","In force",IF(TODAY()&lt;DATE(VALUE(RIGHT(P44,4)),VALUE(MID(P44,4,2)),VALUE(LEFT(P44,2))),"Scheduled",IF(Q44="","In force",IF(Q44="N/A","In force",IF(TODAY()&lt;DATE(VALUE(RIGHT(Q44,4)),VALUE(MID(Q44,4,2)),VALUE(LEFT(Q44,2))),"In force","Ended"))))))</f>
        <v/>
      </c>
      <c r="U44" s="610"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V44" s="610" t="inlineStr">
        <is>
          <t>Biomass</t>
        </is>
      </c>
      <c r="W44" s="610" t="inlineStr">
        <is>
          <t>N/A</t>
        </is>
      </c>
      <c r="X44" s="610"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Y44" s="610" t="inlineStr">
        <is>
          <t>N/A</t>
        </is>
      </c>
      <c r="Z44" s="610"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A44" s="610" t="inlineStr">
        <is>
          <t>Firms</t>
        </is>
      </c>
      <c r="AB44" s="610"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C44" s="610" t="inlineStr">
        <is>
          <t>Import, sale or purchase</t>
        </is>
      </c>
      <c r="AD44" s="610"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E44" s="610" t="inlineStr">
        <is>
          <t>100</t>
        </is>
      </c>
      <c r="AF44" s="610" t="inlineStr">
        <is>
          <t>% VAT exempted</t>
        </is>
      </c>
      <c r="AG44" s="610"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H44" s="610"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I44" s="610" t="inlineStr">
        <is>
          <t>N/A</t>
        </is>
      </c>
      <c r="AJ44" s="610" t="inlineStr">
        <is>
          <t>N/A</t>
        </is>
      </c>
      <c r="AK44" s="610" t="inlineStr">
        <is>
          <t>N/A</t>
        </is>
      </c>
      <c r="AL44" s="610" t="inlineStr">
        <is>
          <t>N/A</t>
        </is>
      </c>
      <c r="AM44" s="610" t="inlineStr">
        <is>
          <t>N/A</t>
        </is>
      </c>
      <c r="AN44" s="610" t="inlineStr">
        <is>
          <t>N/A</t>
        </is>
      </c>
      <c r="AO44" s="610" t="inlineStr">
        <is>
          <t>N/A</t>
        </is>
      </c>
      <c r="AP44" s="610" t="inlineStr">
        <is>
          <t>N/A</t>
        </is>
      </c>
      <c r="AQ44" s="610" t="inlineStr">
        <is>
          <t>N/A</t>
        </is>
      </c>
      <c r="AR44" s="610" t="inlineStr">
        <is>
          <t>N/A</t>
        </is>
      </c>
      <c r="AS44" s="610" t="inlineStr">
        <is>
          <t>N/A</t>
        </is>
      </c>
      <c r="AT44" s="610" t="inlineStr">
        <is>
          <t>N/A</t>
        </is>
      </c>
      <c r="AU44" s="610" t="inlineStr">
        <is>
          <t>N/A</t>
        </is>
      </c>
      <c r="AV44" s="610" t="inlineStr">
        <is>
          <t>N/A</t>
        </is>
      </c>
      <c r="AW44" s="610" t="inlineStr">
        <is>
          <t>N/A</t>
        </is>
      </c>
      <c r="AX44" s="610" t="inlineStr">
        <is>
          <t>N/A</t>
        </is>
      </c>
      <c r="AY44" s="610" t="inlineStr">
        <is>
          <t>N/A</t>
        </is>
      </c>
      <c r="AZ44" s="610" t="inlineStr">
        <is>
          <t>N/A</t>
        </is>
      </c>
      <c r="BA44" s="610" t="inlineStr">
        <is>
          <t>N/A</t>
        </is>
      </c>
      <c r="BB44" s="610" t="inlineStr">
        <is>
          <t>N/A</t>
        </is>
      </c>
      <c r="BC44" s="610" t="inlineStr">
        <is>
          <t>N/A</t>
        </is>
      </c>
      <c r="BD44" s="610" t="inlineStr">
        <is>
          <t>N/A</t>
        </is>
      </c>
      <c r="BE44" s="610" t="inlineStr">
        <is>
          <t>N/A</t>
        </is>
      </c>
      <c r="BF44" s="610" t="inlineStr">
        <is>
          <t>C20</t>
        </is>
      </c>
      <c r="BG44" s="610" t="inlineStr">
        <is>
          <t>CO2; N2O</t>
        </is>
      </c>
      <c r="BH44" s="610" t="inlineStr">
        <is>
          <t>positive</t>
        </is>
      </c>
      <c r="BI44" s="610" t="inlineStr">
        <is>
          <t>Technological innovation; Ecological protection; Pollution control</t>
        </is>
      </c>
      <c r="BJ44" s="610" t="inlineStr">
        <is>
          <t>Cai Shui [2008] No. 56, Notice on VAT Exemption for Organic Fertiliser Products; MOFSTA Announcement [2026] No. 10, Announcement on Matters Concerning the Continuity ofVAT Preferential Policies After the Implementation of the VAT Law</t>
        </is>
      </c>
      <c r="BK44" s="610" t="inlineStr">
        <is>
          <t>https://tianjin.chinatax.gov.cn/11200000000/0300/030003/20240515092009434.shtml</t>
        </is>
      </c>
      <c r="BL44" s="610" t="inlineStr">
        <is>
          <t>https://www.gov.cn/zhengce/zhengceku/2008-06/10/content_1157.htm</t>
        </is>
      </c>
      <c r="BM44" s="610" t="inlineStr"/>
    </row>
    <row r="45">
      <c r="A45" s="610" t="inlineStr">
        <is>
          <t>CHNTAXVATI04S000</t>
        </is>
      </c>
      <c r="B45" s="610" t="inlineStr">
        <is>
          <t>Instrument</t>
        </is>
      </c>
      <c r="C45" s="610" t="inlineStr">
        <is>
          <t>Tax</t>
        </is>
      </c>
      <c r="D45" s="610" t="inlineStr">
        <is>
          <t>VAT incentive</t>
        </is>
      </c>
      <c r="E45" s="610" t="inlineStr">
        <is>
          <t>Energy</t>
        </is>
      </c>
      <c r="F45" s="610" t="inlineStr">
        <is>
          <t>Offshore wind power; renewable electricity</t>
        </is>
      </c>
      <c r="G45" s="610" t="inlineStr">
        <is>
          <t>海上风力发电增值税即征即退50%</t>
        </is>
      </c>
      <c r="H45" s="610" t="inlineStr">
        <is>
          <t>50% VAT immediate refund for offshore wind power</t>
        </is>
      </c>
      <c r="I45" s="610" t="inlineStr">
        <is>
          <t>N/A</t>
        </is>
      </c>
      <c r="J45" s="610"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610" t="inlineStr">
        <is>
          <t>Climate change mitigation; Energy security; Green economy</t>
        </is>
      </c>
      <c r="L45" s="610" t="inlineStr">
        <is>
          <t>Direct</t>
        </is>
      </c>
      <c r="M45" s="610" t="inlineStr">
        <is>
          <t>national</t>
        </is>
      </c>
      <c r="N45" s="610" t="inlineStr">
        <is>
          <t>N/A</t>
        </is>
      </c>
      <c r="O45" s="610" t="inlineStr">
        <is>
          <t>17/10/2025</t>
        </is>
      </c>
      <c r="P45" s="610" t="inlineStr">
        <is>
          <t>01/11/2025</t>
        </is>
      </c>
      <c r="Q45" s="610" t="inlineStr">
        <is>
          <t>31/12/2027</t>
        </is>
      </c>
      <c r="R45" s="610" t="inlineStr">
        <is>
          <t>01/11/2025</t>
        </is>
      </c>
      <c r="S45" s="610"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T45" s="610">
        <f>IF(P45="","In force",IF(P45="N/A","In force",IF(TODAY()&lt;DATE(VALUE(RIGHT(P45,4)),VALUE(MID(P45,4,2)),VALUE(LEFT(P45,2))),"Scheduled",IF(Q45="","In force",IF(Q45="N/A","In force",IF(TODAY()&lt;DATE(VALUE(RIGHT(Q45,4)),VALUE(MID(Q45,4,2)),VALUE(LEFT(Q45,2))),"In force","Ended"))))))</f>
        <v/>
      </c>
      <c r="U45" s="610"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V45" s="610" t="inlineStr">
        <is>
          <t>Wind energy</t>
        </is>
      </c>
      <c r="W45" s="610" t="inlineStr">
        <is>
          <t>New</t>
        </is>
      </c>
      <c r="X45" s="610"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Y45" s="610" t="inlineStr">
        <is>
          <t>N/A</t>
        </is>
      </c>
      <c r="Z45" s="610" t="inlineStr">
        <is>
          <t>N/A</t>
        </is>
      </c>
      <c r="AA45" s="610" t="inlineStr">
        <is>
          <t>Firms</t>
        </is>
      </c>
      <c r="AB45" s="610"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C45" s="610" t="inlineStr">
        <is>
          <t>Production, generation or conversion</t>
        </is>
      </c>
      <c r="AD45" s="610"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E45" s="610" t="inlineStr">
        <is>
          <t>50</t>
        </is>
      </c>
      <c r="AF45" s="610" t="inlineStr">
        <is>
          <t>% of VAT paid refunded</t>
        </is>
      </c>
      <c r="AG45" s="610" t="inlineStr">
        <is>
          <t>50% VAT immediate refund, reducing the effective VAT rate to 6.5% (from thestatutory 13% rate). The refund mechanism is immediate refund (pay first, refundafter) and does not change the nominal tax rate. The policy period is 1 November 2025to 31 December 2027.</t>
        </is>
      </c>
      <c r="AH45" s="610"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I45" s="610" t="inlineStr">
        <is>
          <t>Refund amount = VAT actually paid in the current period x 50%. VAT actually paid inthe current period = output VAT for the period (electricity sales revenue x 13%) -input VAT for the period.</t>
        </is>
      </c>
      <c r="AJ45" s="610" t="inlineStr">
        <is>
          <t>N/A</t>
        </is>
      </c>
      <c r="AK45" s="610" t="inlineStr">
        <is>
          <t>N/A</t>
        </is>
      </c>
      <c r="AL45" s="610" t="inlineStr">
        <is>
          <t>N/A</t>
        </is>
      </c>
      <c r="AM45" s="610" t="inlineStr">
        <is>
          <t>N/A</t>
        </is>
      </c>
      <c r="AN45" s="610" t="inlineStr">
        <is>
          <t>N/A</t>
        </is>
      </c>
      <c r="AO45" s="610" t="inlineStr">
        <is>
          <t>N/A</t>
        </is>
      </c>
      <c r="AP45" s="610" t="inlineStr">
        <is>
          <t>N/A</t>
        </is>
      </c>
      <c r="AQ45" s="610" t="inlineStr">
        <is>
          <t>N/A</t>
        </is>
      </c>
      <c r="AR45" s="610" t="inlineStr">
        <is>
          <t>N/A</t>
        </is>
      </c>
      <c r="AS45" s="610" t="inlineStr">
        <is>
          <t>N/A</t>
        </is>
      </c>
      <c r="AT45" s="610" t="inlineStr">
        <is>
          <t>N/A</t>
        </is>
      </c>
      <c r="AU45" s="610" t="inlineStr">
        <is>
          <t>N/A</t>
        </is>
      </c>
      <c r="AV45" s="610" t="inlineStr">
        <is>
          <t>N/A</t>
        </is>
      </c>
      <c r="AW45" s="610" t="inlineStr">
        <is>
          <t>N/A</t>
        </is>
      </c>
      <c r="AX45" s="610" t="inlineStr">
        <is>
          <t>N/A</t>
        </is>
      </c>
      <c r="AY45" s="610" t="inlineStr">
        <is>
          <t>N/A</t>
        </is>
      </c>
      <c r="AZ45" s="610" t="inlineStr">
        <is>
          <t>N/A</t>
        </is>
      </c>
      <c r="BA45" s="610" t="inlineStr">
        <is>
          <t>N/A</t>
        </is>
      </c>
      <c r="BB45" s="610" t="inlineStr">
        <is>
          <t>N/A</t>
        </is>
      </c>
      <c r="BC45" s="610" t="inlineStr">
        <is>
          <t>N/A</t>
        </is>
      </c>
      <c r="BD45" s="610" t="inlineStr">
        <is>
          <t>N/A</t>
        </is>
      </c>
      <c r="BE45" s="610" t="inlineStr">
        <is>
          <t>N/A</t>
        </is>
      </c>
      <c r="BF45" s="610" t="inlineStr">
        <is>
          <t>D35</t>
        </is>
      </c>
      <c r="BG45" s="610" t="inlineStr">
        <is>
          <t>CO2</t>
        </is>
      </c>
      <c r="BH45" s="610" t="inlineStr">
        <is>
          <t>positive</t>
        </is>
      </c>
      <c r="BI45" s="610" t="inlineStr">
        <is>
          <t>Energy security; Industrial development; Technological innovation</t>
        </is>
      </c>
      <c r="BJ45" s="610" t="inlineStr">
        <is>
          <t>MOF GAC STA Announcement [2025] No. 10, Announcement on Adjusting VAT Policies for Wind Power and Other Matters</t>
        </is>
      </c>
      <c r="BK45" s="610" t="inlineStr">
        <is>
          <t>https://shanghai.chinatax.gov.cn/zcfw/zcfgk/zzs/202510/t478010.html</t>
        </is>
      </c>
      <c r="BL45" s="610" t="inlineStr">
        <is>
          <t>https://shandong.chinatax.gov.cn/art/2025/10/17/art_1053_24771.html; https://12366.chinatax.gov.cn/fwtz/print?bh=0000000002025102000003</t>
        </is>
      </c>
      <c r="BM45" s="610" t="inlineStr"/>
    </row>
    <row r="46">
      <c r="A46" s="610" t="inlineStr">
        <is>
          <t>CHNTAXDVTI01S000</t>
        </is>
      </c>
      <c r="B46" s="610" t="inlineStr">
        <is>
          <t>Instrument</t>
        </is>
      </c>
      <c r="C46" s="610" t="inlineStr">
        <is>
          <t>Tax</t>
        </is>
      </c>
      <c r="D46" s="610" t="inlineStr">
        <is>
          <t>Differentiated vehicle tax</t>
        </is>
      </c>
      <c r="E46" s="610" t="inlineStr">
        <is>
          <t>Transport</t>
        </is>
      </c>
      <c r="F46" s="610" t="inlineStr">
        <is>
          <t>Road transport; passenger cars</t>
        </is>
      </c>
      <c r="G46" s="610" t="inlineStr">
        <is>
          <t>汽车消费税</t>
        </is>
      </c>
      <c r="H46" s="610" t="inlineStr">
        <is>
          <t>Automobile consumption tax</t>
        </is>
      </c>
      <c r="I46" s="610" t="inlineStr">
        <is>
          <t>N/A</t>
        </is>
      </c>
      <c r="J46" s="610"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610" t="inlineStr">
        <is>
          <t>Climate change mitigation; Energy efficiency; Green economy</t>
        </is>
      </c>
      <c r="L46" s="610" t="inlineStr">
        <is>
          <t>Direct</t>
        </is>
      </c>
      <c r="M46" s="610" t="inlineStr">
        <is>
          <t>national</t>
        </is>
      </c>
      <c r="N46" s="610" t="inlineStr">
        <is>
          <t>N/A</t>
        </is>
      </c>
      <c r="O46" s="610" t="inlineStr">
        <is>
          <t>01/08/2008</t>
        </is>
      </c>
      <c r="P46" s="610" t="inlineStr">
        <is>
          <t>01/09/2008</t>
        </is>
      </c>
      <c r="Q46" s="610" t="inlineStr">
        <is>
          <t>N/A</t>
        </is>
      </c>
      <c r="R46" s="610" t="inlineStr">
        <is>
          <t>01/09/2008</t>
        </is>
      </c>
      <c r="S46" s="610"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T46" s="610">
        <f>IF(P46="","In force",IF(P46="N/A","In force",IF(TODAY()&lt;DATE(VALUE(RIGHT(P46,4)),VALUE(MID(P46,4,2)),VALUE(LEFT(P46,2))),"Scheduled",IF(Q46="","In force",IF(Q46="N/A","In force",IF(TODAY()&lt;DATE(VALUE(RIGHT(Q46,4)),VALUE(MID(Q46,4,2)),VALUE(LEFT(Q46,2))),"In force","Ended"))))))</f>
        <v/>
      </c>
      <c r="U46" s="610"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V46" s="610" t="inlineStr">
        <is>
          <t>Cars</t>
        </is>
      </c>
      <c r="W46" s="610" t="inlineStr">
        <is>
          <t>N/A</t>
        </is>
      </c>
      <c r="X46" s="610"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Y46" s="610" t="inlineStr">
        <is>
          <t>N/A</t>
        </is>
      </c>
      <c r="Z46" s="610"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A46" s="610" t="inlineStr">
        <is>
          <t>Firms</t>
        </is>
      </c>
      <c r="AB46" s="610"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C46" s="610" t="inlineStr">
        <is>
          <t>Production, generation or conversion; Import, sale or purchase</t>
        </is>
      </c>
      <c r="AD46" s="610"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E46" s="610" t="inlineStr">
        <is>
          <t>1%-40%</t>
        </is>
      </c>
      <c r="AF46" s="610" t="inlineStr">
        <is>
          <t>% of taxable price</t>
        </is>
      </c>
      <c r="AG46" s="610" t="inlineStr">
        <is>
          <t>Differentiated by displacement: ≤1.0L 1%; 1.0-1.5L 3%; 1.5-2.0L 5%; 2.0-2.5L 9%;2.5-3.0L 12%; 3.0-4.0L 25%; &gt;4.0L 40%. Light and medium-duty commercial buses: flat5%. Super-luxury passenger vehicles (retail price ≥ CNY 900,000): additional 10% atretail stage.</t>
        </is>
      </c>
      <c r="AH46" s="610"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I46" s="610" t="inlineStr">
        <is>
          <t>Tax payable = VAT-exclusive sales value of taxable automobiles x applicabledifferentiated tax rate (determined by displacement). Tax rates fall into 7 bracketsby cylinder capacity (displacement): 1%-40%.</t>
        </is>
      </c>
      <c r="AJ46" s="610" t="inlineStr">
        <is>
          <t>N/A</t>
        </is>
      </c>
      <c r="AK46" s="610" t="inlineStr">
        <is>
          <t>Approximately CNY 100 billion (2024 estimate; Source: Ministry of Finance annual fiscal revenue data)</t>
        </is>
      </c>
      <c r="AL46" s="610" t="inlineStr">
        <is>
          <t>Automobile consumption tax revenue is included in the general public budget and isnot explicitly earmarked as a dedicated fund.</t>
        </is>
      </c>
      <c r="AM46" s="610" t="inlineStr">
        <is>
          <t>N/A</t>
        </is>
      </c>
      <c r="AN46" s="610" t="inlineStr">
        <is>
          <t>N/A</t>
        </is>
      </c>
      <c r="AO46" s="610" t="inlineStr">
        <is>
          <t>N/A</t>
        </is>
      </c>
      <c r="AP46" s="610" t="inlineStr">
        <is>
          <t>N/A</t>
        </is>
      </c>
      <c r="AQ46" s="610" t="inlineStr">
        <is>
          <t>N/A</t>
        </is>
      </c>
      <c r="AR46" s="610" t="inlineStr">
        <is>
          <t>N/A</t>
        </is>
      </c>
      <c r="AS46" s="610" t="inlineStr">
        <is>
          <t>N/A</t>
        </is>
      </c>
      <c r="AT46" s="610" t="inlineStr">
        <is>
          <t>N/A</t>
        </is>
      </c>
      <c r="AU46" s="610" t="inlineStr">
        <is>
          <t>N/A</t>
        </is>
      </c>
      <c r="AV46" s="610" t="inlineStr">
        <is>
          <t>N/A</t>
        </is>
      </c>
      <c r="AW46" s="610" t="inlineStr">
        <is>
          <t>N/A</t>
        </is>
      </c>
      <c r="AX46" s="610" t="inlineStr">
        <is>
          <t>N/A</t>
        </is>
      </c>
      <c r="AY46" s="610" t="inlineStr">
        <is>
          <t>N/A</t>
        </is>
      </c>
      <c r="AZ46" s="610" t="inlineStr">
        <is>
          <t>N/A</t>
        </is>
      </c>
      <c r="BA46" s="610" t="inlineStr">
        <is>
          <t>N/A</t>
        </is>
      </c>
      <c r="BB46" s="610" t="inlineStr">
        <is>
          <t>N/A</t>
        </is>
      </c>
      <c r="BC46" s="610" t="inlineStr">
        <is>
          <t>N/A</t>
        </is>
      </c>
      <c r="BD46" s="610" t="inlineStr">
        <is>
          <t>N/A</t>
        </is>
      </c>
      <c r="BE46" s="610" t="inlineStr">
        <is>
          <t>N/A</t>
        </is>
      </c>
      <c r="BF46" s="610" t="inlineStr">
        <is>
          <t>C29</t>
        </is>
      </c>
      <c r="BG46" s="610" t="inlineStr">
        <is>
          <t>CO2</t>
        </is>
      </c>
      <c r="BH46" s="610" t="inlineStr">
        <is>
          <t>positive</t>
        </is>
      </c>
      <c r="BI46" s="610" t="inlineStr">
        <is>
          <t>Pollution control; Industrial development</t>
        </is>
      </c>
      <c r="BJ46" s="610" t="inlineStr">
        <is>
          <t>Provisional Regulations of the People's Republic of China on Consumption Tax (StateCouncil Decree No. 539, 2008 Revision); Cai Shui [2008] No. 105, Notice on Adjustingthe Passenger Car Consumption Tax Policy</t>
        </is>
      </c>
      <c r="BK46" s="610" t="inlineStr">
        <is>
          <t>https://fgk.chinatax.gov.cn/zcfgk/c102416/c5203314/content.html</t>
        </is>
      </c>
      <c r="BL46" s="610" t="inlineStr">
        <is>
          <t>https://www.gov.cn/gongbao/content/2009/content_1221339.htm</t>
        </is>
      </c>
      <c r="BM46" s="610" t="inlineStr"/>
    </row>
    <row r="47">
      <c r="A47" s="610" t="inlineStr">
        <is>
          <t>CHNTAXPLEI01S000</t>
        </is>
      </c>
      <c r="B47" s="610" t="inlineStr">
        <is>
          <t>Instrument</t>
        </is>
      </c>
      <c r="C47" s="610" t="inlineStr">
        <is>
          <t>Tax</t>
        </is>
      </c>
      <c r="D47" s="610" t="inlineStr">
        <is>
          <t>Parafiscal levy exemption</t>
        </is>
      </c>
      <c r="E47" s="610" t="inlineStr">
        <is>
          <t>Energy</t>
        </is>
      </c>
      <c r="F47" s="610" t="inlineStr">
        <is>
          <t>Distributed photovoltaic power generation</t>
        </is>
      </c>
      <c r="G47" s="610" t="inlineStr">
        <is>
          <t>分布式光伏发电自发自用电量免征政府性基金</t>
        </is>
      </c>
      <c r="H47" s="610" t="inlineStr">
        <is>
          <t>Parafiscal levy exemption for distributed photovoltaic self-consumed electricity</t>
        </is>
      </c>
      <c r="I47" s="610" t="inlineStr">
        <is>
          <t>N/A</t>
        </is>
      </c>
      <c r="J47" s="610"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610" t="inlineStr">
        <is>
          <t>Climate change mitigation; Energy security</t>
        </is>
      </c>
      <c r="L47" s="610" t="inlineStr">
        <is>
          <t>Direct</t>
        </is>
      </c>
      <c r="M47" s="610" t="inlineStr">
        <is>
          <t>national</t>
        </is>
      </c>
      <c r="N47" s="610" t="inlineStr">
        <is>
          <t>N/A</t>
        </is>
      </c>
      <c r="O47" s="610" t="inlineStr">
        <is>
          <t>04/07/2013</t>
        </is>
      </c>
      <c r="P47" s="610" t="inlineStr">
        <is>
          <t>15/07/2013</t>
        </is>
      </c>
      <c r="Q47" s="610" t="inlineStr">
        <is>
          <t>N/A</t>
        </is>
      </c>
      <c r="R47" s="610" t="inlineStr">
        <is>
          <t>N/A</t>
        </is>
      </c>
      <c r="S47" s="610" t="inlineStr">
        <is>
          <t>N/A</t>
        </is>
      </c>
      <c r="T47" s="610">
        <f>IF(P47="","In force",IF(P47="N/A","In force",IF(TODAY()&lt;DATE(VALUE(RIGHT(P47,4)),VALUE(MID(P47,4,2)),VALUE(LEFT(P47,2))),"Scheduled",IF(Q47="","In force",IF(Q47="N/A","In force",IF(TODAY()&lt;DATE(VALUE(RIGHT(Q47,4)),VALUE(MID(Q47,4,2)),VALUE(LEFT(Q47,2))),"In force","Ended"))))))</f>
        <v/>
      </c>
      <c r="U47" s="610" t="inlineStr">
        <is>
          <t>Ministry of Finance; National Development and Reform Commission</t>
        </is>
      </c>
      <c r="V47" s="610" t="inlineStr">
        <is>
          <t>Solar energy</t>
        </is>
      </c>
      <c r="W47" s="610" t="inlineStr">
        <is>
          <t>New</t>
        </is>
      </c>
      <c r="X47" s="610"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Y47" s="610" t="inlineStr">
        <is>
          <t>N/A</t>
        </is>
      </c>
      <c r="Z47" s="610" t="inlineStr">
        <is>
          <t>N/A</t>
        </is>
      </c>
      <c r="AA47" s="610" t="inlineStr">
        <is>
          <t>Firms; Households</t>
        </is>
      </c>
      <c r="AB47" s="610" t="inlineStr">
        <is>
          <t>Distributed photovoltaic generation users</t>
        </is>
      </c>
      <c r="AC47" s="610" t="inlineStr">
        <is>
          <t>Production, generation or conversion</t>
        </is>
      </c>
      <c r="AD47" s="610"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E47" s="610" t="inlineStr">
        <is>
          <t>100</t>
        </is>
      </c>
      <c r="AF47" s="610" t="inlineStr">
        <is>
          <t>% (proportion of parafiscal levies exempted)</t>
        </is>
      </c>
      <c r="AG47" s="610"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H47" s="610"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I47" s="610"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J47" s="610" t="inlineStr">
        <is>
          <t>N/A</t>
        </is>
      </c>
      <c r="AK47" s="610" t="inlineStr">
        <is>
          <t>N/A</t>
        </is>
      </c>
      <c r="AL47" s="610" t="inlineStr">
        <is>
          <t>N/A</t>
        </is>
      </c>
      <c r="AM47" s="610" t="inlineStr">
        <is>
          <t>N/A</t>
        </is>
      </c>
      <c r="AN47" s="610" t="inlineStr">
        <is>
          <t>N/A</t>
        </is>
      </c>
      <c r="AO47" s="610" t="inlineStr">
        <is>
          <t>N/A</t>
        </is>
      </c>
      <c r="AP47" s="610" t="inlineStr">
        <is>
          <t>N/A</t>
        </is>
      </c>
      <c r="AQ47" s="610" t="inlineStr">
        <is>
          <t>N/A</t>
        </is>
      </c>
      <c r="AR47" s="610" t="inlineStr">
        <is>
          <t>N/A</t>
        </is>
      </c>
      <c r="AS47" s="610" t="inlineStr">
        <is>
          <t>N/A</t>
        </is>
      </c>
      <c r="AT47" s="610" t="inlineStr">
        <is>
          <t>N/A</t>
        </is>
      </c>
      <c r="AU47" s="610" t="inlineStr">
        <is>
          <t>N/A</t>
        </is>
      </c>
      <c r="AV47" s="610" t="inlineStr">
        <is>
          <t>N/A</t>
        </is>
      </c>
      <c r="AW47" s="610" t="inlineStr">
        <is>
          <t>N/A</t>
        </is>
      </c>
      <c r="AX47" s="610" t="inlineStr">
        <is>
          <t>N/A</t>
        </is>
      </c>
      <c r="AY47" s="610" t="inlineStr">
        <is>
          <t>N/A</t>
        </is>
      </c>
      <c r="AZ47" s="610" t="inlineStr">
        <is>
          <t>N/A</t>
        </is>
      </c>
      <c r="BA47" s="610" t="inlineStr">
        <is>
          <t>N/A</t>
        </is>
      </c>
      <c r="BB47" s="610" t="inlineStr">
        <is>
          <t>N/A</t>
        </is>
      </c>
      <c r="BC47" s="610" t="inlineStr">
        <is>
          <t>N/A</t>
        </is>
      </c>
      <c r="BD47" s="610" t="inlineStr">
        <is>
          <t>N/A</t>
        </is>
      </c>
      <c r="BE47" s="610" t="inlineStr">
        <is>
          <t>N/A</t>
        </is>
      </c>
      <c r="BF47" s="610" t="inlineStr">
        <is>
          <t>D35</t>
        </is>
      </c>
      <c r="BG47" s="610" t="inlineStr">
        <is>
          <t>CO2</t>
        </is>
      </c>
      <c r="BH47" s="610" t="inlineStr">
        <is>
          <t>positive</t>
        </is>
      </c>
      <c r="BI47" s="610" t="inlineStr">
        <is>
          <t>Energy security; Pollution control</t>
        </is>
      </c>
      <c r="BJ47" s="610"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K47" s="610" t="inlineStr">
        <is>
          <t>https://www.gov.cn/zwgk/2013-07/15/content_2447814.htm</t>
        </is>
      </c>
      <c r="BL47" s="610" t="inlineStr">
        <is>
          <t>https://www.gov.cn/zwgk/2013-11/26/content_2535142.htm</t>
        </is>
      </c>
      <c r="BM47" s="610" t="inlineStr"/>
    </row>
    <row r="48">
      <c r="A48" s="610" t="inlineStr">
        <is>
          <t>CHNTAXCTII01S000</t>
        </is>
      </c>
      <c r="B48" s="610" t="inlineStr">
        <is>
          <t>Instrument</t>
        </is>
      </c>
      <c r="C48" s="610" t="inlineStr">
        <is>
          <t>Tax</t>
        </is>
      </c>
      <c r="D48" s="610" t="inlineStr">
        <is>
          <t>Consumption tax incentive</t>
        </is>
      </c>
      <c r="E48" s="610" t="inlineStr">
        <is>
          <t>Industry</t>
        </is>
      </c>
      <c r="F48" s="610" t="inlineStr">
        <is>
          <t>Battery manufacturing</t>
        </is>
      </c>
      <c r="G48" s="610" t="inlineStr">
        <is>
          <t>节能环保电池免征消费税</t>
        </is>
      </c>
      <c r="H48" s="610" t="inlineStr">
        <is>
          <t>Consumption tax exemption for energy-efficient and environmentally-friendly batteries</t>
        </is>
      </c>
      <c r="I48" s="610" t="inlineStr">
        <is>
          <t>N/A</t>
        </is>
      </c>
      <c r="J48" s="610"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610" t="inlineStr">
        <is>
          <t>Green economy; Climate change mitigation</t>
        </is>
      </c>
      <c r="L48" s="610" t="inlineStr">
        <is>
          <t>Indirect</t>
        </is>
      </c>
      <c r="M48" s="610" t="inlineStr">
        <is>
          <t>national</t>
        </is>
      </c>
      <c r="N48" s="610" t="inlineStr">
        <is>
          <t>N/A</t>
        </is>
      </c>
      <c r="O48" s="610" t="inlineStr">
        <is>
          <t>26/01/2015</t>
        </is>
      </c>
      <c r="P48" s="610" t="inlineStr">
        <is>
          <t>01/02/2015</t>
        </is>
      </c>
      <c r="Q48" s="610" t="inlineStr">
        <is>
          <t>N/A</t>
        </is>
      </c>
      <c r="R48" s="610" t="inlineStr">
        <is>
          <t>N/A</t>
        </is>
      </c>
      <c r="S48" s="610" t="inlineStr">
        <is>
          <t>N/A</t>
        </is>
      </c>
      <c r="T48" s="610">
        <f>IF(P48="","In force",IF(P48="N/A","In force",IF(TODAY()&lt;DATE(VALUE(RIGHT(P48,4)),VALUE(MID(P48,4,2)),VALUE(LEFT(P48,2))),"Scheduled",IF(Q48="","In force",IF(Q48="N/A","In force",IF(TODAY()&lt;DATE(VALUE(RIGHT(Q48,4)),VALUE(MID(Q48,4,2)),VALUE(LEFT(Q48,2))),"In force","Ended"))))))</f>
        <v/>
      </c>
      <c r="U48" s="610" t="inlineStr">
        <is>
          <t>Ministry of Finance; State Taxation Administration</t>
        </is>
      </c>
      <c r="V48" s="610" t="inlineStr">
        <is>
          <t>Storage batteries, primary cells and primary batteries and parts thereof</t>
        </is>
      </c>
      <c r="W48" s="610" t="inlineStr">
        <is>
          <t>New; Existing</t>
        </is>
      </c>
      <c r="X48" s="610" t="inlineStr">
        <is>
          <t>Mercury-free primary batteries, nickel-metal hydride batteries(hydrogen-nickel batteries), lithium primary batteries, lithium-ionbatteries, solar cells, fuel cells and all-vanadium redox flow batteries.</t>
        </is>
      </c>
      <c r="Y48" s="610" t="inlineStr">
        <is>
          <t>N/A</t>
        </is>
      </c>
      <c r="Z48" s="610" t="inlineStr">
        <is>
          <t>N/A</t>
        </is>
      </c>
      <c r="AA48" s="610" t="inlineStr">
        <is>
          <t>Firms</t>
        </is>
      </c>
      <c r="AB48" s="610" t="inlineStr">
        <is>
          <t>Battery manufacturing enterprises</t>
        </is>
      </c>
      <c r="AC48" s="610" t="inlineStr">
        <is>
          <t>Production, generation or conversion</t>
        </is>
      </c>
      <c r="AD48" s="610" t="inlineStr">
        <is>
          <t>Battery manufacturing enterprises produce and sell the above-listedenergy-efficient and environmentally-friendly batteries and are legallyexempt from consumption tax. Lead-acid batteries are excluded (subjectto consumption tax at a 4% rate from 1 January 2016).</t>
        </is>
      </c>
      <c r="AE48" s="610" t="inlineStr">
        <is>
          <t>100</t>
        </is>
      </c>
      <c r="AF48" s="610" t="inlineStr">
        <is>
          <t>% (proportion of consumption tax exempted)</t>
        </is>
      </c>
      <c r="AG48" s="610"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H48" s="610"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I48" s="610" t="inlineStr">
        <is>
          <t>Consumption tax payable = battery sales revenue × applicable tax rate.Exempt batteries are subject to a 0% rate (exempt). Taxable batteries(lead-acid batteries) are subject to a 4% rate.</t>
        </is>
      </c>
      <c r="AJ48" s="610" t="inlineStr">
        <is>
          <t>N/A</t>
        </is>
      </c>
      <c r="AK48" s="610" t="inlineStr">
        <is>
          <t>N/A</t>
        </is>
      </c>
      <c r="AL48" s="610" t="inlineStr">
        <is>
          <t>N/A</t>
        </is>
      </c>
      <c r="AM48" s="610" t="inlineStr">
        <is>
          <t>N/A</t>
        </is>
      </c>
      <c r="AN48" s="610" t="inlineStr">
        <is>
          <t>N/A</t>
        </is>
      </c>
      <c r="AO48" s="610" t="inlineStr">
        <is>
          <t>N/A</t>
        </is>
      </c>
      <c r="AP48" s="610" t="inlineStr">
        <is>
          <t>N/A</t>
        </is>
      </c>
      <c r="AQ48" s="610" t="inlineStr">
        <is>
          <t>N/A</t>
        </is>
      </c>
      <c r="AR48" s="610" t="inlineStr">
        <is>
          <t>N/A</t>
        </is>
      </c>
      <c r="AS48" s="610" t="inlineStr">
        <is>
          <t>N/A</t>
        </is>
      </c>
      <c r="AT48" s="610" t="inlineStr">
        <is>
          <t>N/A</t>
        </is>
      </c>
      <c r="AU48" s="610" t="inlineStr">
        <is>
          <t>N/A</t>
        </is>
      </c>
      <c r="AV48" s="610" t="inlineStr">
        <is>
          <t>N/A</t>
        </is>
      </c>
      <c r="AW48" s="610" t="inlineStr">
        <is>
          <t>N/A</t>
        </is>
      </c>
      <c r="AX48" s="610" t="inlineStr">
        <is>
          <t>N/A</t>
        </is>
      </c>
      <c r="AY48" s="610" t="inlineStr">
        <is>
          <t>N/A</t>
        </is>
      </c>
      <c r="AZ48" s="610" t="inlineStr">
        <is>
          <t>N/A</t>
        </is>
      </c>
      <c r="BA48" s="610" t="inlineStr">
        <is>
          <t>N/A</t>
        </is>
      </c>
      <c r="BB48" s="610" t="inlineStr">
        <is>
          <t>N/A</t>
        </is>
      </c>
      <c r="BC48" s="610" t="inlineStr">
        <is>
          <t>N/A</t>
        </is>
      </c>
      <c r="BD48" s="610" t="inlineStr">
        <is>
          <t>N/A</t>
        </is>
      </c>
      <c r="BE48" s="610" t="inlineStr">
        <is>
          <t>N/A</t>
        </is>
      </c>
      <c r="BF48" s="610" t="inlineStr">
        <is>
          <t>C27</t>
        </is>
      </c>
      <c r="BG48" s="610" t="inlineStr">
        <is>
          <t>CO2</t>
        </is>
      </c>
      <c r="BH48" s="610" t="inlineStr">
        <is>
          <t>positive</t>
        </is>
      </c>
      <c r="BI48" s="610" t="inlineStr">
        <is>
          <t>Technological innovation; Pollution control</t>
        </is>
      </c>
      <c r="BJ48" s="610" t="inlineStr">
        <is>
          <t>Notice of the Ministry of Finance and the State Taxation Administration onLevying Consumption Tax on Batteries and Coatings (Cai Shui [2015] No. 16)</t>
        </is>
      </c>
      <c r="BK48" s="610" t="inlineStr">
        <is>
          <t>http://szs.mof.gov.cn/zhengcefabu/201501/t20150127_1184863.htm</t>
        </is>
      </c>
      <c r="BL48" s="610" t="inlineStr">
        <is>
          <t>N/A</t>
        </is>
      </c>
      <c r="BM48" s="610" t="inlineStr"/>
    </row>
    <row r="49">
      <c r="A49" s="610" t="inlineStr">
        <is>
          <t>CHNTAXCTII02S000</t>
        </is>
      </c>
      <c r="B49" s="610" t="inlineStr">
        <is>
          <t>Instrument</t>
        </is>
      </c>
      <c r="C49" s="610" t="inlineStr">
        <is>
          <t>Tax</t>
        </is>
      </c>
      <c r="D49" s="610" t="inlineStr">
        <is>
          <t>Consumption tax incentive</t>
        </is>
      </c>
      <c r="E49" s="610" t="inlineStr">
        <is>
          <t>Transport</t>
        </is>
      </c>
      <c r="F49" s="610" t="inlineStr">
        <is>
          <t>Biodiesel</t>
        </is>
      </c>
      <c r="G49" s="610" t="inlineStr">
        <is>
          <t>利用废弃动植物油生产纯生物柴油免征消费税</t>
        </is>
      </c>
      <c r="H49" s="610" t="inlineStr">
        <is>
          <t>Consumption tax exemption for pure biodiesel produced from waste animal and vegetable oils</t>
        </is>
      </c>
      <c r="I49" s="610" t="inlineStr">
        <is>
          <t>N/A</t>
        </is>
      </c>
      <c r="J49" s="610"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610" t="inlineStr">
        <is>
          <t>Circular economy; Climate change mitigation</t>
        </is>
      </c>
      <c r="L49" s="610" t="inlineStr">
        <is>
          <t>Direct</t>
        </is>
      </c>
      <c r="M49" s="610" t="inlineStr">
        <is>
          <t>national</t>
        </is>
      </c>
      <c r="N49" s="610" t="inlineStr">
        <is>
          <t>N/A</t>
        </is>
      </c>
      <c r="O49" s="610" t="inlineStr">
        <is>
          <t>01/12/2010</t>
        </is>
      </c>
      <c r="P49" s="610" t="inlineStr">
        <is>
          <t>01/01/2011</t>
        </is>
      </c>
      <c r="Q49" s="610" t="inlineStr">
        <is>
          <t>N/A</t>
        </is>
      </c>
      <c r="R49" s="610" t="inlineStr">
        <is>
          <t>N/A</t>
        </is>
      </c>
      <c r="S49" s="610" t="inlineStr">
        <is>
          <t>N/A</t>
        </is>
      </c>
      <c r="T49" s="610">
        <f>IF(P49="","In force",IF(P49="N/A","In force",IF(TODAY()&lt;DATE(VALUE(RIGHT(P49,4)),VALUE(MID(P49,4,2)),VALUE(LEFT(P49,2))),"Scheduled",IF(Q49="","In force",IF(Q49="N/A","In force",IF(TODAY()&lt;DATE(VALUE(RIGHT(Q49,4)),VALUE(MID(Q49,4,2)),VALUE(LEFT(Q49,2))),"In force","Ended"))))))</f>
        <v/>
      </c>
      <c r="U49" s="610" t="inlineStr">
        <is>
          <t>Ministry of Finance; State Taxation Administration</t>
        </is>
      </c>
      <c r="V49" s="610" t="inlineStr">
        <is>
          <t>Biofuels</t>
        </is>
      </c>
      <c r="W49" s="610" t="inlineStr">
        <is>
          <t>New; Existing</t>
        </is>
      </c>
      <c r="X49" s="610" t="inlineStr">
        <is>
          <t>Pure biodiesel (BD100) produced using waste animal oil and vegetable oilas raw materials.</t>
        </is>
      </c>
      <c r="Y49" s="610" t="inlineStr">
        <is>
          <t>N/A</t>
        </is>
      </c>
      <c r="Z49" s="610" t="inlineStr">
        <is>
          <t>N/A</t>
        </is>
      </c>
      <c r="AA49" s="610" t="inlineStr">
        <is>
          <t>Firms</t>
        </is>
      </c>
      <c r="AB49" s="610" t="inlineStr">
        <is>
          <t>Biodiesel production enterprises</t>
        </is>
      </c>
      <c r="AC49" s="610" t="inlineStr">
        <is>
          <t>Production, generation or conversion</t>
        </is>
      </c>
      <c r="AD49" s="610" t="inlineStr">
        <is>
          <t>Enterprises collect waste animal oil and vegetable oil (including wastecooking oil, gutter oil, etc.) and produce pure biodiesel (BD100) meetingnational standards through processes such as transesterification, and arelegally exempt from consumption tax.</t>
        </is>
      </c>
      <c r="AE49" s="610" t="inlineStr">
        <is>
          <t>100</t>
        </is>
      </c>
      <c r="AF49" s="610" t="inlineStr">
        <is>
          <t>% (proportion of consumption tax exempted)</t>
        </is>
      </c>
      <c r="AG49" s="610"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H49" s="610"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I49" s="610" t="inlineStr">
        <is>
          <t>Consumption tax payable = biodiesel sales revenue × applicable taxrate. Pure biodiesel produced from waste animal and vegetable oils issubject to a 0% rate (exempt). Biodiesel from other sources is taxed atthe applicable rate.</t>
        </is>
      </c>
      <c r="AJ49" s="610" t="inlineStr">
        <is>
          <t>N/A</t>
        </is>
      </c>
      <c r="AK49" s="610" t="inlineStr">
        <is>
          <t>N/A</t>
        </is>
      </c>
      <c r="AL49" s="610" t="inlineStr">
        <is>
          <t>N/A</t>
        </is>
      </c>
      <c r="AM49" s="610" t="inlineStr">
        <is>
          <t>N/A</t>
        </is>
      </c>
      <c r="AN49" s="610" t="inlineStr">
        <is>
          <t>N/A</t>
        </is>
      </c>
      <c r="AO49" s="610" t="inlineStr">
        <is>
          <t>N/A</t>
        </is>
      </c>
      <c r="AP49" s="610" t="inlineStr">
        <is>
          <t>N/A</t>
        </is>
      </c>
      <c r="AQ49" s="610" t="inlineStr">
        <is>
          <t>N/A</t>
        </is>
      </c>
      <c r="AR49" s="610" t="inlineStr">
        <is>
          <t>N/A</t>
        </is>
      </c>
      <c r="AS49" s="610" t="inlineStr">
        <is>
          <t>N/A</t>
        </is>
      </c>
      <c r="AT49" s="610" t="inlineStr">
        <is>
          <t>N/A</t>
        </is>
      </c>
      <c r="AU49" s="610" t="inlineStr">
        <is>
          <t>N/A</t>
        </is>
      </c>
      <c r="AV49" s="610" t="inlineStr">
        <is>
          <t>N/A</t>
        </is>
      </c>
      <c r="AW49" s="610" t="inlineStr">
        <is>
          <t>N/A</t>
        </is>
      </c>
      <c r="AX49" s="610" t="inlineStr">
        <is>
          <t>N/A</t>
        </is>
      </c>
      <c r="AY49" s="610" t="inlineStr">
        <is>
          <t>N/A</t>
        </is>
      </c>
      <c r="AZ49" s="610" t="inlineStr">
        <is>
          <t>N/A</t>
        </is>
      </c>
      <c r="BA49" s="610" t="inlineStr">
        <is>
          <t>N/A</t>
        </is>
      </c>
      <c r="BB49" s="610" t="inlineStr">
        <is>
          <t>N/A</t>
        </is>
      </c>
      <c r="BC49" s="610" t="inlineStr">
        <is>
          <t>N/A</t>
        </is>
      </c>
      <c r="BD49" s="610" t="inlineStr">
        <is>
          <t>N/A</t>
        </is>
      </c>
      <c r="BE49" s="610" t="inlineStr">
        <is>
          <t>N/A</t>
        </is>
      </c>
      <c r="BF49" s="610" t="inlineStr">
        <is>
          <t>C20</t>
        </is>
      </c>
      <c r="BG49" s="610" t="inlineStr">
        <is>
          <t>CO2</t>
        </is>
      </c>
      <c r="BH49" s="610" t="inlineStr">
        <is>
          <t>positive</t>
        </is>
      </c>
      <c r="BI49" s="610" t="inlineStr">
        <is>
          <t>Pollution control; Energy security</t>
        </is>
      </c>
      <c r="BJ49" s="610"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K49" s="610" t="inlineStr">
        <is>
          <t>https://www.chinatax.gov.cn/chinatax/c102166/c5178972/content.html</t>
        </is>
      </c>
      <c r="BL49" s="610" t="inlineStr">
        <is>
          <t>N/A</t>
        </is>
      </c>
      <c r="BM49" s="610" t="inlineStr"/>
    </row>
    <row r="50">
      <c r="A50" s="610" t="inlineStr">
        <is>
          <t>CHNTAXCTII03S000</t>
        </is>
      </c>
      <c r="B50" s="610" t="inlineStr">
        <is>
          <t>Instrument</t>
        </is>
      </c>
      <c r="C50" s="610" t="inlineStr">
        <is>
          <t>Tax</t>
        </is>
      </c>
      <c r="D50" s="610" t="inlineStr">
        <is>
          <t>Consumption tax incentive</t>
        </is>
      </c>
      <c r="E50" s="610" t="inlineStr">
        <is>
          <t>Industry</t>
        </is>
      </c>
      <c r="F50" s="610" t="inlineStr">
        <is>
          <t>Waste mineral oil recovery</t>
        </is>
      </c>
      <c r="G50" s="610" t="inlineStr">
        <is>
          <t>利用废矿物油生产的工业油料免征消费税</t>
        </is>
      </c>
      <c r="H50" s="610" t="inlineStr">
        <is>
          <t>Consumption tax exemption for industrial oils produced from waste mineral oils</t>
        </is>
      </c>
      <c r="I50" s="610" t="inlineStr">
        <is>
          <t>N/A</t>
        </is>
      </c>
      <c r="J50" s="610"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610" t="inlineStr">
        <is>
          <t>Circular economy; Resource conservation; Climate change mitigation</t>
        </is>
      </c>
      <c r="L50" s="610" t="inlineStr">
        <is>
          <t>Direct</t>
        </is>
      </c>
      <c r="M50" s="610" t="inlineStr">
        <is>
          <t>national</t>
        </is>
      </c>
      <c r="N50" s="610" t="inlineStr">
        <is>
          <t>N/A</t>
        </is>
      </c>
      <c r="O50" s="610" t="inlineStr">
        <is>
          <t>01/10/2013</t>
        </is>
      </c>
      <c r="P50" s="610" t="inlineStr">
        <is>
          <t>01/11/2013</t>
        </is>
      </c>
      <c r="Q50" s="610" t="inlineStr">
        <is>
          <t>31/12/2027</t>
        </is>
      </c>
      <c r="R50" s="610" t="inlineStr">
        <is>
          <t>01/11/2023</t>
        </is>
      </c>
      <c r="S50" s="610" t="inlineStr">
        <is>
          <t>The policy period has been extended twice: Cai Shui [2018] No. 144 extendedit to 31 October 2023; MOF STA Announcement [2023] No. 69 further extendedit to 31 December 2027. The exemption conditions and scope were notsubstantively amended.</t>
        </is>
      </c>
      <c r="T50" s="610">
        <f>IF(P50="","In force",IF(P50="N/A","In force",IF(TODAY()&lt;DATE(VALUE(RIGHT(P50,4)),VALUE(MID(P50,4,2)),VALUE(LEFT(P50,2))),"Scheduled",IF(Q50="","In force",IF(Q50="N/A","In force",IF(TODAY()&lt;DATE(VALUE(RIGHT(Q50,4)),VALUE(MID(Q50,4,2)),VALUE(LEFT(Q50,2))),"In force","Ended"))))))</f>
        <v/>
      </c>
      <c r="U50" s="610" t="inlineStr">
        <is>
          <t>Ministry of Finance; State Taxation Administration</t>
        </is>
      </c>
      <c r="V50" s="610" t="inlineStr">
        <is>
          <t>Industrial waste</t>
        </is>
      </c>
      <c r="W50" s="610" t="inlineStr">
        <is>
          <t>New; Existing</t>
        </is>
      </c>
      <c r="X50" s="610" t="inlineStr">
        <is>
          <t>Lubricant base oil, gasoline, diesel and other industrial oil productsproduced using waste mineral oil as raw material.</t>
        </is>
      </c>
      <c r="Y50" s="610" t="inlineStr">
        <is>
          <t>N/A</t>
        </is>
      </c>
      <c r="Z50" s="610" t="inlineStr">
        <is>
          <t>N/A</t>
        </is>
      </c>
      <c r="AA50" s="610" t="inlineStr">
        <is>
          <t>Firms</t>
        </is>
      </c>
      <c r="AB50" s="610" t="inlineStr">
        <is>
          <t>Waste mineral oil regeneration enterprises</t>
        </is>
      </c>
      <c r="AC50" s="610" t="inlineStr">
        <is>
          <t>Recovery, reuse or other post-consumption treatment</t>
        </is>
      </c>
      <c r="AD50" s="610"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E50" s="610" t="inlineStr">
        <is>
          <t>100</t>
        </is>
      </c>
      <c r="AF50" s="610" t="inlineStr">
        <is>
          <t>% (proportion of consumption tax exempted)</t>
        </is>
      </c>
      <c r="AG50" s="610"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H50" s="610"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I50" s="610" t="inlineStr">
        <is>
          <t>Consumption tax payable = quantity of oil products sold × applicablespecific tax rate. Industrial oil products produced from waste mineral oilsare subject to a rate of 0 (exempt). Oil products from other sources aretaxed at the applicable specific tax rate.</t>
        </is>
      </c>
      <c r="AJ50" s="610" t="inlineStr">
        <is>
          <t>N/A</t>
        </is>
      </c>
      <c r="AK50" s="610" t="inlineStr">
        <is>
          <t>N/A</t>
        </is>
      </c>
      <c r="AL50" s="610" t="inlineStr">
        <is>
          <t>N/A</t>
        </is>
      </c>
      <c r="AM50" s="610" t="inlineStr">
        <is>
          <t>N/A</t>
        </is>
      </c>
      <c r="AN50" s="610" t="inlineStr">
        <is>
          <t>N/A</t>
        </is>
      </c>
      <c r="AO50" s="610" t="inlineStr">
        <is>
          <t>N/A</t>
        </is>
      </c>
      <c r="AP50" s="610" t="inlineStr">
        <is>
          <t>N/A</t>
        </is>
      </c>
      <c r="AQ50" s="610" t="inlineStr">
        <is>
          <t>N/A</t>
        </is>
      </c>
      <c r="AR50" s="610" t="inlineStr">
        <is>
          <t>N/A</t>
        </is>
      </c>
      <c r="AS50" s="610" t="inlineStr">
        <is>
          <t>N/A</t>
        </is>
      </c>
      <c r="AT50" s="610" t="inlineStr">
        <is>
          <t>N/A</t>
        </is>
      </c>
      <c r="AU50" s="610" t="inlineStr">
        <is>
          <t>N/A</t>
        </is>
      </c>
      <c r="AV50" s="610" t="inlineStr">
        <is>
          <t>N/A</t>
        </is>
      </c>
      <c r="AW50" s="610" t="inlineStr">
        <is>
          <t>N/A</t>
        </is>
      </c>
      <c r="AX50" s="610" t="inlineStr">
        <is>
          <t>N/A</t>
        </is>
      </c>
      <c r="AY50" s="610" t="inlineStr">
        <is>
          <t>N/A</t>
        </is>
      </c>
      <c r="AZ50" s="610" t="inlineStr">
        <is>
          <t>N/A</t>
        </is>
      </c>
      <c r="BA50" s="610" t="inlineStr">
        <is>
          <t>N/A</t>
        </is>
      </c>
      <c r="BB50" s="610" t="inlineStr">
        <is>
          <t>N/A</t>
        </is>
      </c>
      <c r="BC50" s="610" t="inlineStr">
        <is>
          <t>N/A</t>
        </is>
      </c>
      <c r="BD50" s="610" t="inlineStr">
        <is>
          <t>N/A</t>
        </is>
      </c>
      <c r="BE50" s="610" t="inlineStr">
        <is>
          <t>N/A</t>
        </is>
      </c>
      <c r="BF50" s="610" t="inlineStr">
        <is>
          <t>C19</t>
        </is>
      </c>
      <c r="BG50" s="610" t="inlineStr">
        <is>
          <t>CO2</t>
        </is>
      </c>
      <c r="BH50" s="610" t="inlineStr">
        <is>
          <t>positive</t>
        </is>
      </c>
      <c r="BI50" s="610" t="inlineStr">
        <is>
          <t>Pollution control; Industrial development</t>
        </is>
      </c>
      <c r="BJ50" s="610"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K50" s="610" t="inlineStr">
        <is>
          <t>https://fgk.chinatax.gov.cn/zcfgk/c102416/c5204154/content.html</t>
        </is>
      </c>
      <c r="BL50" s="610" t="inlineStr">
        <is>
          <t>https://www.chinatax.gov.cn/chinatax/c102166/c5178973/content.html;https://www.gov.cn/zhengce/zhengceku/202309/content_6907133.htm</t>
        </is>
      </c>
      <c r="BM50" s="610" t="inlineStr"/>
    </row>
    <row r="51">
      <c r="A51" s="610" t="inlineStr">
        <is>
          <t>CHNTAXFETI01S000</t>
        </is>
      </c>
      <c r="B51" s="610" t="inlineStr">
        <is>
          <t>Instrument</t>
        </is>
      </c>
      <c r="C51" s="610" t="inlineStr">
        <is>
          <t>Tax</t>
        </is>
      </c>
      <c r="D51" s="610" t="inlineStr">
        <is>
          <t>Fuel excise tax</t>
        </is>
      </c>
      <c r="E51" s="610" t="inlineStr">
        <is>
          <t>Energy</t>
        </is>
      </c>
      <c r="F51" s="610" t="inlineStr">
        <is>
          <t>Road transport; Aviation; Water transport; Industry</t>
        </is>
      </c>
      <c r="G51" s="610" t="inlineStr">
        <is>
          <t>成品油消费税</t>
        </is>
      </c>
      <c r="H51" s="610" t="inlineStr">
        <is>
          <t>Fuel excise tax</t>
        </is>
      </c>
      <c r="I51" s="610" t="inlineStr">
        <is>
          <t>N/A</t>
        </is>
      </c>
      <c r="J51" s="610"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610" t="inlineStr">
        <is>
          <t>Climate change mitigation; Energy efficiency</t>
        </is>
      </c>
      <c r="L51" s="610" t="inlineStr">
        <is>
          <t>Direct</t>
        </is>
      </c>
      <c r="M51" s="610" t="inlineStr">
        <is>
          <t>national</t>
        </is>
      </c>
      <c r="N51" s="610" t="inlineStr">
        <is>
          <t>N/A</t>
        </is>
      </c>
      <c r="O51" s="610" t="inlineStr">
        <is>
          <t>10/11/2008</t>
        </is>
      </c>
      <c r="P51" s="610" t="inlineStr">
        <is>
          <t>01/01/2009</t>
        </is>
      </c>
      <c r="Q51" s="610" t="inlineStr">
        <is>
          <t>N/A</t>
        </is>
      </c>
      <c r="R51" s="610" t="inlineStr">
        <is>
          <t>13/01/2015</t>
        </is>
      </c>
      <c r="S51" s="610"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T51" s="610">
        <f>IF(P51="","In force",IF(P51="N/A","In force",IF(TODAY()&lt;DATE(VALUE(RIGHT(P51,4)),VALUE(MID(P51,4,2)),VALUE(LEFT(P51,2))),"Scheduled",IF(Q51="","In force",IF(Q51="N/A","In force",IF(TODAY()&lt;DATE(VALUE(RIGHT(Q51,4)),VALUE(MID(Q51,4,2)),VALUE(LEFT(Q51,2))),"In force","Ended"))))))</f>
        <v/>
      </c>
      <c r="U51" s="610"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V51" s="610" t="inlineStr">
        <is>
          <t>Motor gasoline; Diesel; Kerosene-type jet fuel; Fuel oil; Naphtha</t>
        </is>
      </c>
      <c r="W51" s="610" t="inlineStr">
        <is>
          <t>N/A</t>
        </is>
      </c>
      <c r="X51" s="610"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Y51" s="610" t="inlineStr">
        <is>
          <t>N/A</t>
        </is>
      </c>
      <c r="Z51" s="610" t="inlineStr">
        <is>
          <t>N/A</t>
        </is>
      </c>
      <c r="AA51" s="610" t="inlineStr">
        <is>
          <t>Individuals; Firms</t>
        </is>
      </c>
      <c r="AB51" s="610"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C51" s="610" t="inlineStr">
        <is>
          <t>Production, generation or conversion; Import, sale or purchase</t>
        </is>
      </c>
      <c r="AD51" s="610"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E51" s="610" t="inlineStr">
        <is>
          <t>1.52; 1.20</t>
        </is>
      </c>
      <c r="AF51" s="610" t="inlineStr">
        <is>
          <t>CNY/litre</t>
        </is>
      </c>
      <c r="AG51" s="610"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H51" s="610"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I51" s="610" t="inlineStr">
        <is>
          <t>Tax payable = taxable refined oil quantity (litres) x applicable per-unit tax rate(CNY/litre). Calculated on actual production volume at the production stage and oncustoms-assessed volume at the import stage.</t>
        </is>
      </c>
      <c r="AJ51" s="610"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K51" s="610" t="inlineStr">
        <is>
          <t>Approximately CNY 1.6 trillion (2024; Source: Ministry of Finance annual fiscal revenue data)</t>
        </is>
      </c>
      <c r="AL51" s="610"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M51" s="610" t="inlineStr">
        <is>
          <t>N/A</t>
        </is>
      </c>
      <c r="AN51" s="610" t="inlineStr">
        <is>
          <t>N/A</t>
        </is>
      </c>
      <c r="AO51" s="610" t="inlineStr">
        <is>
          <t>N/A</t>
        </is>
      </c>
      <c r="AP51" s="610" t="inlineStr">
        <is>
          <t>N/A</t>
        </is>
      </c>
      <c r="AQ51" s="610" t="inlineStr">
        <is>
          <t>N/A</t>
        </is>
      </c>
      <c r="AR51" s="610" t="inlineStr">
        <is>
          <t>N/A</t>
        </is>
      </c>
      <c r="AS51" s="610" t="inlineStr">
        <is>
          <t>N/A</t>
        </is>
      </c>
      <c r="AT51" s="610" t="inlineStr">
        <is>
          <t>N/A</t>
        </is>
      </c>
      <c r="AU51" s="610" t="inlineStr">
        <is>
          <t>N/A</t>
        </is>
      </c>
      <c r="AV51" s="610" t="inlineStr">
        <is>
          <t>N/A</t>
        </is>
      </c>
      <c r="AW51" s="610" t="inlineStr">
        <is>
          <t>N/A</t>
        </is>
      </c>
      <c r="AX51" s="610" t="inlineStr">
        <is>
          <t>N/A</t>
        </is>
      </c>
      <c r="AY51" s="610" t="inlineStr">
        <is>
          <t>N/A</t>
        </is>
      </c>
      <c r="AZ51" s="610" t="inlineStr">
        <is>
          <t>N/A</t>
        </is>
      </c>
      <c r="BA51" s="610" t="inlineStr">
        <is>
          <t>N/A</t>
        </is>
      </c>
      <c r="BB51" s="610" t="inlineStr">
        <is>
          <t>N/A</t>
        </is>
      </c>
      <c r="BC51" s="610" t="inlineStr">
        <is>
          <t>N/A</t>
        </is>
      </c>
      <c r="BD51" s="610" t="inlineStr">
        <is>
          <t>N/A</t>
        </is>
      </c>
      <c r="BE51" s="610" t="inlineStr">
        <is>
          <t>N/A</t>
        </is>
      </c>
      <c r="BF51" s="610" t="inlineStr">
        <is>
          <t>C19</t>
        </is>
      </c>
      <c r="BG51" s="610" t="inlineStr">
        <is>
          <t>CO2</t>
        </is>
      </c>
      <c r="BH51" s="610" t="inlineStr">
        <is>
          <t>positive</t>
        </is>
      </c>
      <c r="BI51" s="610" t="inlineStr">
        <is>
          <t>Pollution control; Energy security</t>
        </is>
      </c>
      <c r="BJ51" s="610"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K51" s="610" t="inlineStr">
        <is>
          <t>https://szs.mof.gov.cn/zhengcefabu/201501/t20150112_1178908.htm</t>
        </is>
      </c>
      <c r="BL51" s="610" t="inlineStr">
        <is>
          <t>https://www.gov.cn/gongbao/content/2009/content_1221339.htm; https://fgk.chinatax.gov.cn/zcfgk/c102416/c5203422/content.html</t>
        </is>
      </c>
      <c r="BM51" s="610" t="inlineStr"/>
    </row>
    <row r="52">
      <c r="A52" s="610" t="inlineStr">
        <is>
          <t>CHNTAXEPTI01S000</t>
        </is>
      </c>
      <c r="B52" s="610" t="inlineStr">
        <is>
          <t>Instrument</t>
        </is>
      </c>
      <c r="C52" s="610" t="inlineStr">
        <is>
          <t>Tax</t>
        </is>
      </c>
      <c r="D52" s="610" t="inlineStr">
        <is>
          <t>Environmental pollution tax</t>
        </is>
      </c>
      <c r="E52" s="610" t="inlineStr">
        <is>
          <t>Cross-sectoral</t>
        </is>
      </c>
      <c r="F52" s="610" t="inlineStr">
        <is>
          <t>Electricity generation; Industrial manufacturing; Heating; Waste treatment</t>
        </is>
      </c>
      <c r="G52" s="610" t="inlineStr">
        <is>
          <t>环境保护税</t>
        </is>
      </c>
      <c r="H52" s="610" t="inlineStr">
        <is>
          <t>Environmental protection tax</t>
        </is>
      </c>
      <c r="I52" s="610" t="inlineStr">
        <is>
          <t>N/A</t>
        </is>
      </c>
      <c r="J52" s="610"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610" t="inlineStr">
        <is>
          <t>Pollution control; Ecological protection</t>
        </is>
      </c>
      <c r="L52" s="610" t="inlineStr">
        <is>
          <t>Indirect</t>
        </is>
      </c>
      <c r="M52" s="610" t="inlineStr">
        <is>
          <t>national</t>
        </is>
      </c>
      <c r="N52" s="610" t="inlineStr">
        <is>
          <t>N/A</t>
        </is>
      </c>
      <c r="O52" s="610" t="inlineStr">
        <is>
          <t>25/12/2016</t>
        </is>
      </c>
      <c r="P52" s="610" t="inlineStr">
        <is>
          <t>01/01/2018</t>
        </is>
      </c>
      <c r="Q52" s="610" t="inlineStr">
        <is>
          <t>N/A</t>
        </is>
      </c>
      <c r="R52" s="610" t="inlineStr">
        <is>
          <t>30/12/2017</t>
        </is>
      </c>
      <c r="S52" s="610" t="inlineStr">
        <is>
          <t>On 30 December 2017, the State Council issued the Implementing Regulations for the Environmental Protection Tax Law (State Council Decree No. 693), effective alongside the Law on 1 January 2018</t>
        </is>
      </c>
      <c r="T52" s="610">
        <f>IF(P52="","In force",IF(P52="N/A","In force",IF(TODAY()&lt;DATE(VALUE(RIGHT(P52,4)),VALUE(MID(P52,4,2)),VALUE(LEFT(P52,2))),"Scheduled",IF(Q52="","In force",IF(Q52="N/A","In force",IF(TODAY()&lt;DATE(VALUE(RIGHT(Q52,4)),VALUE(MID(Q52,4,2)),VALUE(LEFT(Q52,2))),"In force","Ended"))))))</f>
        <v/>
      </c>
      <c r="U52" s="610" t="inlineStr">
        <is>
          <t>State Taxation Administration; Ministry of Ecology and Environment</t>
        </is>
      </c>
      <c r="V52" s="610" t="inlineStr">
        <is>
          <t>Air pollutants; Water pollutants; Solid waste; Industrial noise</t>
        </is>
      </c>
      <c r="W52" s="610" t="inlineStr">
        <is>
          <t>N/A</t>
        </is>
      </c>
      <c r="X52" s="610"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Y52" s="610" t="inlineStr">
        <is>
          <t>N/A</t>
        </is>
      </c>
      <c r="Z52" s="610"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A52" s="610" t="inlineStr">
        <is>
          <t>Firms</t>
        </is>
      </c>
      <c r="AB52" s="610"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C52" s="610" t="inlineStr">
        <is>
          <t>Discharge of air pollutants; Discharge of water pollutants; Discharge of solid waste; Emission of industrial noise</t>
        </is>
      </c>
      <c r="AD52" s="610"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E52" s="610" t="inlineStr">
        <is>
          <t>1.2-12; 1.4-14; 5-1000; 350-11200</t>
        </is>
      </c>
      <c r="AF52" s="610" t="inlineStr">
        <is>
          <t>yuan/pollution equivalent; yuan/tonne; yuan/month</t>
        </is>
      </c>
      <c r="AG52" s="610" t="inlineStr">
        <is>
          <t>Effective 01/01/2018. Air and water pollutant tax rates are set by provincial governments within statutory ranges and filed with the NPC Standing Committee and State Council. Source: Schedules 1 and 2 of the Environmental Protection Tax Law.</t>
        </is>
      </c>
      <c r="AH52" s="610" t="inlineStr">
        <is>
          <t>N/A</t>
        </is>
      </c>
      <c r="AI52" s="610"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J52" s="610"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K52" s="610" t="inlineStr">
        <is>
          <t>Approximately CNY 20 billion (2023; Source: State Taxation Administration environmental protection tax collection statistics)</t>
        </is>
      </c>
      <c r="AL52" s="610" t="inlineStr">
        <is>
          <t>All retained as local government revenue; included in general public budget management</t>
        </is>
      </c>
      <c r="AM52" s="610" t="inlineStr">
        <is>
          <t>N/A</t>
        </is>
      </c>
      <c r="AN52" s="610" t="inlineStr">
        <is>
          <t>N/A</t>
        </is>
      </c>
      <c r="AO52" s="610" t="inlineStr">
        <is>
          <t>N/A</t>
        </is>
      </c>
      <c r="AP52" s="610" t="inlineStr">
        <is>
          <t>N/A</t>
        </is>
      </c>
      <c r="AQ52" s="610" t="inlineStr">
        <is>
          <t>N/A</t>
        </is>
      </c>
      <c r="AR52" s="610" t="inlineStr">
        <is>
          <t>N/A</t>
        </is>
      </c>
      <c r="AS52" s="610" t="inlineStr">
        <is>
          <t>N/A</t>
        </is>
      </c>
      <c r="AT52" s="610" t="inlineStr">
        <is>
          <t>N/A</t>
        </is>
      </c>
      <c r="AU52" s="610" t="inlineStr">
        <is>
          <t>N/A</t>
        </is>
      </c>
      <c r="AV52" s="610" t="inlineStr">
        <is>
          <t>N/A</t>
        </is>
      </c>
      <c r="AW52" s="610" t="inlineStr">
        <is>
          <t>N/A</t>
        </is>
      </c>
      <c r="AX52" s="610" t="inlineStr">
        <is>
          <t>N/A</t>
        </is>
      </c>
      <c r="AY52" s="610" t="inlineStr">
        <is>
          <t>N/A</t>
        </is>
      </c>
      <c r="AZ52" s="610" t="inlineStr">
        <is>
          <t>N/A</t>
        </is>
      </c>
      <c r="BA52" s="610" t="inlineStr">
        <is>
          <t>N/A</t>
        </is>
      </c>
      <c r="BB52" s="610" t="inlineStr">
        <is>
          <t>N/A</t>
        </is>
      </c>
      <c r="BC52" s="610" t="inlineStr">
        <is>
          <t>N/A</t>
        </is>
      </c>
      <c r="BD52" s="610" t="inlineStr">
        <is>
          <t>N/A</t>
        </is>
      </c>
      <c r="BE52" s="610" t="inlineStr">
        <is>
          <t>N/A</t>
        </is>
      </c>
      <c r="BF52" s="610" t="inlineStr">
        <is>
          <t>D35; C24; C23; C20; E38</t>
        </is>
      </c>
      <c r="BG52" s="610" t="inlineStr">
        <is>
          <t>CO2</t>
        </is>
      </c>
      <c r="BH52" s="610" t="inlineStr">
        <is>
          <t>Positive</t>
        </is>
      </c>
      <c r="BI52" s="610" t="inlineStr">
        <is>
          <t>Pollution control</t>
        </is>
      </c>
      <c r="BJ52" s="610" t="inlineStr">
        <is>
          <t>Environmental Protection Tax Law of the People's Republic of China (25/12/2016, Presidential Order No. 61); Implementing Regulations for the Environmental Protection Tax Law of the People's Republic of China (State Council Decree No. 693, 30/12/2017)</t>
        </is>
      </c>
      <c r="BK52" s="610" t="inlineStr">
        <is>
          <t>http://www.npc.gov.cn/c2/c30834/201905/t20190521_275430.html</t>
        </is>
      </c>
      <c r="BL52" s="610" t="inlineStr">
        <is>
          <t>https://www.gov.cn/zhengce/content/2017-12/30/content_5251703.htm</t>
        </is>
      </c>
      <c r="BM52" s="610" t="inlineStr"/>
    </row>
    <row r="53">
      <c r="A53" s="610" t="inlineStr">
        <is>
          <t>CHNTAXVOTI01S000</t>
        </is>
      </c>
      <c r="B53" s="610" t="inlineStr">
        <is>
          <t>Instrument</t>
        </is>
      </c>
      <c r="C53" s="610" t="inlineStr">
        <is>
          <t>Tax</t>
        </is>
      </c>
      <c r="D53" s="610" t="inlineStr">
        <is>
          <t>Vehicle ownership tax incentive</t>
        </is>
      </c>
      <c r="E53" s="610" t="inlineStr">
        <is>
          <t>Transport</t>
        </is>
      </c>
      <c r="F53" s="610" t="inlineStr">
        <is>
          <t>Road transport; passenger cars; commercial vehicles</t>
        </is>
      </c>
      <c r="G53" s="610" t="inlineStr">
        <is>
          <t>节能与新能源车船税优惠</t>
        </is>
      </c>
      <c r="H53" s="610" t="inlineStr">
        <is>
          <t>Energy-saving and new energy vehicle and vessel tax incentives</t>
        </is>
      </c>
      <c r="I53" s="610" t="inlineStr">
        <is>
          <t>N/A</t>
        </is>
      </c>
      <c r="J53" s="610"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610" t="inlineStr">
        <is>
          <t>Climate change mitigation; Energy efficiency; Green economy</t>
        </is>
      </c>
      <c r="L53" s="610" t="inlineStr">
        <is>
          <t>Direct</t>
        </is>
      </c>
      <c r="M53" s="610" t="inlineStr">
        <is>
          <t>national</t>
        </is>
      </c>
      <c r="N53" s="610" t="inlineStr">
        <is>
          <t>N/A</t>
        </is>
      </c>
      <c r="O53" s="610" t="inlineStr">
        <is>
          <t>25/02/2011</t>
        </is>
      </c>
      <c r="P53" s="610" t="inlineStr">
        <is>
          <t>01/01/2012</t>
        </is>
      </c>
      <c r="Q53" s="610" t="inlineStr">
        <is>
          <t>N/A</t>
        </is>
      </c>
      <c r="R53" s="610" t="inlineStr">
        <is>
          <t>01/07/2024</t>
        </is>
      </c>
      <c r="S53" s="610"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T53" s="610">
        <f>IF(P53="","In force",IF(P53="N/A","In force",IF(TODAY()&lt;DATE(VALUE(RIGHT(P53,4)),VALUE(MID(P53,4,2)),VALUE(LEFT(P53,2))),"Scheduled",IF(Q53="","In force",IF(Q53="N/A","In force",IF(TODAY()&lt;DATE(VALUE(RIGHT(Q53,4)),VALUE(MID(Q53,4,2)),VALUE(LEFT(Q53,2))),"In force","Ended"))))))</f>
        <v/>
      </c>
      <c r="U53" s="610"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V53" s="610" t="inlineStr">
        <is>
          <t>Road transport vehicles; Cars; Buses; Light-duty trucks; Heavy-duty trucks</t>
        </is>
      </c>
      <c r="W53" s="610" t="inlineStr">
        <is>
          <t>existing</t>
        </is>
      </c>
      <c r="X53" s="610"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Y53" s="610" t="inlineStr">
        <is>
          <t>N/A</t>
        </is>
      </c>
      <c r="Z53" s="610"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A53" s="610" t="inlineStr">
        <is>
          <t>Individuals; Firms</t>
        </is>
      </c>
      <c r="AB53" s="610"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C53" s="610" t="inlineStr">
        <is>
          <t>Owning, use or capital formation</t>
        </is>
      </c>
      <c r="AD53" s="610"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E53" s="610" t="inlineStr">
        <is>
          <t>100; 50</t>
        </is>
      </c>
      <c r="AF53" s="610" t="inlineStr">
        <is>
          <t>% of annual vehicle and vessel tax</t>
        </is>
      </c>
      <c r="AG53" s="610"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H53" s="610"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I53" s="610"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J53" s="610" t="inlineStr">
        <is>
          <t>N/A</t>
        </is>
      </c>
      <c r="AK53" s="610" t="inlineStr">
        <is>
          <t>N/A</t>
        </is>
      </c>
      <c r="AL53" s="610" t="inlineStr">
        <is>
          <t>N/A</t>
        </is>
      </c>
      <c r="AM53" s="610" t="inlineStr">
        <is>
          <t>N/A</t>
        </is>
      </c>
      <c r="AN53" s="610" t="inlineStr">
        <is>
          <t>N/A</t>
        </is>
      </c>
      <c r="AO53" s="610" t="inlineStr">
        <is>
          <t>N/A</t>
        </is>
      </c>
      <c r="AP53" s="610" t="inlineStr">
        <is>
          <t>N/A</t>
        </is>
      </c>
      <c r="AQ53" s="610" t="inlineStr">
        <is>
          <t>N/A</t>
        </is>
      </c>
      <c r="AR53" s="610" t="inlineStr">
        <is>
          <t>N/A</t>
        </is>
      </c>
      <c r="AS53" s="610" t="inlineStr">
        <is>
          <t>N/A</t>
        </is>
      </c>
      <c r="AT53" s="610" t="inlineStr">
        <is>
          <t>N/A</t>
        </is>
      </c>
      <c r="AU53" s="610" t="inlineStr">
        <is>
          <t>N/A</t>
        </is>
      </c>
      <c r="AV53" s="610" t="inlineStr">
        <is>
          <t>N/A</t>
        </is>
      </c>
      <c r="AW53" s="610" t="inlineStr">
        <is>
          <t>N/A</t>
        </is>
      </c>
      <c r="AX53" s="610" t="inlineStr">
        <is>
          <t>N/A</t>
        </is>
      </c>
      <c r="AY53" s="610" t="inlineStr">
        <is>
          <t>N/A</t>
        </is>
      </c>
      <c r="AZ53" s="610" t="inlineStr">
        <is>
          <t>N/A</t>
        </is>
      </c>
      <c r="BA53" s="610" t="inlineStr">
        <is>
          <t>N/A</t>
        </is>
      </c>
      <c r="BB53" s="610" t="inlineStr">
        <is>
          <t>N/A</t>
        </is>
      </c>
      <c r="BC53" s="610" t="inlineStr">
        <is>
          <t>N/A</t>
        </is>
      </c>
      <c r="BD53" s="610" t="inlineStr">
        <is>
          <t>N/A</t>
        </is>
      </c>
      <c r="BE53" s="610" t="inlineStr">
        <is>
          <t>N/A</t>
        </is>
      </c>
      <c r="BF53" s="610" t="inlineStr">
        <is>
          <t>H49</t>
        </is>
      </c>
      <c r="BG53" s="610" t="inlineStr">
        <is>
          <t>CO2</t>
        </is>
      </c>
      <c r="BH53" s="610" t="inlineStr">
        <is>
          <t>positive</t>
        </is>
      </c>
      <c r="BI53" s="610" t="inlineStr">
        <is>
          <t>Pollution control; Energy security; Industrial development</t>
        </is>
      </c>
      <c r="BJ53" s="610"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K53" s="610" t="inlineStr">
        <is>
          <t>https://guangdong.chinatax.gov.cn/gdsw/zjfg/2025-10/11/content_a027bb417fc0413aa2dbf4222e5e6f4b.shtml</t>
        </is>
      </c>
      <c r="BL53" s="610" t="inlineStr">
        <is>
          <t>https://fgk.chinatax.gov.cn/zcfgk/c102416/c5203774/content.html; https://www.gov.cn/gongbao/content/2011/content_1907087.htm</t>
        </is>
      </c>
      <c r="BM53" s="610" t="inlineStr"/>
    </row>
    <row r="54">
      <c r="A54" s="464" t="inlineStr">
        <is>
          <t>CHNTAXVOTI01S001</t>
        </is>
      </c>
      <c r="B54" s="464" t="inlineStr">
        <is>
          <t>Subscheme</t>
        </is>
      </c>
      <c r="C54" s="464" t="inlineStr">
        <is>
          <t>Tax</t>
        </is>
      </c>
      <c r="D54" s="464" t="inlineStr">
        <is>
          <t>Vehicle ownership tax incentive</t>
        </is>
      </c>
      <c r="E54" s="464" t="inlineStr">
        <is>
          <t>Transport</t>
        </is>
      </c>
      <c r="F54" s="464" t="inlineStr">
        <is>
          <t>Commercial vehicles</t>
        </is>
      </c>
      <c r="G54" s="464" t="inlineStr">
        <is>
          <t>新能源汽车免征车船税</t>
        </is>
      </c>
      <c r="H54" s="464" t="inlineStr">
        <is>
          <t>New energy vehicle and vessel tax exemption</t>
        </is>
      </c>
      <c r="I54" s="464" t="inlineStr">
        <is>
          <t>N/A</t>
        </is>
      </c>
      <c r="J54" s="464"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464" t="inlineStr">
        <is>
          <t>Climate change mitigation; Energy efficiency</t>
        </is>
      </c>
      <c r="L54" s="464" t="inlineStr">
        <is>
          <t>Direct</t>
        </is>
      </c>
      <c r="M54" s="464" t="inlineStr">
        <is>
          <t>national</t>
        </is>
      </c>
      <c r="N54" s="464" t="inlineStr">
        <is>
          <t>N/A</t>
        </is>
      </c>
      <c r="O54" s="464" t="inlineStr">
        <is>
          <t>25/02/2011</t>
        </is>
      </c>
      <c r="P54" s="464" t="inlineStr">
        <is>
          <t>01/01/2012</t>
        </is>
      </c>
      <c r="Q54" s="464" t="inlineStr">
        <is>
          <t>N/A</t>
        </is>
      </c>
      <c r="R54" s="464" t="inlineStr">
        <is>
          <t>01/07/2024</t>
        </is>
      </c>
      <c r="S54" s="464" t="inlineStr">
        <is>
          <t>Announcement No. 10 of 2024, issued in May 2024, updated the technical standards for new energy vehicles from 1 July 2024.</t>
        </is>
      </c>
      <c r="T54" s="464">
        <f>IF(P54="","In force",IF(P54="N/A","In force",IF(TODAY()&lt;DATE(VALUE(RIGHT(P54,4)),VALUE(MID(P54,4,2)),VALUE(LEFT(P54,2))),"Scheduled",IF(Q54="","In force",IF(Q54="N/A","In force",IF(TODAY()&lt;DATE(VALUE(RIGHT(Q54,4)),VALUE(MID(Q54,4,2)),VALUE(LEFT(Q54,2))),"In force","Ended"))))))</f>
        <v/>
      </c>
      <c r="U54" s="464" t="inlineStr">
        <is>
          <t>Ministry of Industry and Information Technology (management of vehicle modelcatalogues); State Taxation Administration (vehicle and vessel tax collection andadministration); Ministry of Finance (policy formulation)</t>
        </is>
      </c>
      <c r="V54" s="464" t="inlineStr">
        <is>
          <t>Buses; Light-duty trucks; Heavy-duty trucks</t>
        </is>
      </c>
      <c r="W54" s="464" t="inlineStr">
        <is>
          <t>Existing</t>
        </is>
      </c>
      <c r="X54" s="464"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Y54" s="464" t="inlineStr">
        <is>
          <t>N/A</t>
        </is>
      </c>
      <c r="Z54" s="464" t="inlineStr">
        <is>
          <t>N/A</t>
        </is>
      </c>
      <c r="AA54" s="464" t="inlineStr">
        <is>
          <t>Individuals; Firms</t>
        </is>
      </c>
      <c r="AB54" s="464"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C54" s="464" t="inlineStr">
        <is>
          <t>Owning, use or capital formation</t>
        </is>
      </c>
      <c r="AD54" s="464"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E54" s="464" t="inlineStr">
        <is>
          <t>100</t>
        </is>
      </c>
      <c r="AF54" s="464" t="inlineStr">
        <is>
          <t>% of annual vehicle and vessel tax exempted</t>
        </is>
      </c>
      <c r="AG54" s="464" t="inlineStr">
        <is>
          <t>Exemption from vehicle and vessel tax (100% relief). Battery electric and fuel-cellpassenger vehicles fall within the non-taxable category of vehicle and vessel tax(not an exemption benefit).</t>
        </is>
      </c>
      <c r="AH54" s="464"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I54" s="464" t="inlineStr">
        <is>
          <t>Tax payable = 0 (exempt)</t>
        </is>
      </c>
      <c r="AJ54" s="464" t="inlineStr">
        <is>
          <t>N/A</t>
        </is>
      </c>
      <c r="AK54" s="464" t="inlineStr">
        <is>
          <t>N/A</t>
        </is>
      </c>
      <c r="AL54" s="464" t="inlineStr">
        <is>
          <t>N/A</t>
        </is>
      </c>
      <c r="AM54" s="464" t="inlineStr">
        <is>
          <t>N/A</t>
        </is>
      </c>
      <c r="AN54" s="464" t="inlineStr">
        <is>
          <t>N/A</t>
        </is>
      </c>
      <c r="AO54" s="464" t="inlineStr">
        <is>
          <t>N/A</t>
        </is>
      </c>
      <c r="AP54" s="464" t="inlineStr">
        <is>
          <t>N/A</t>
        </is>
      </c>
      <c r="AQ54" s="464" t="inlineStr">
        <is>
          <t>N/A</t>
        </is>
      </c>
      <c r="AR54" s="464" t="inlineStr">
        <is>
          <t>N/A</t>
        </is>
      </c>
      <c r="AS54" s="464" t="inlineStr">
        <is>
          <t>N/A</t>
        </is>
      </c>
      <c r="AT54" s="464" t="inlineStr">
        <is>
          <t>N/A</t>
        </is>
      </c>
      <c r="AU54" s="464" t="inlineStr">
        <is>
          <t>N/A</t>
        </is>
      </c>
      <c r="AV54" s="464" t="inlineStr">
        <is>
          <t>N/A</t>
        </is>
      </c>
      <c r="AW54" s="464" t="inlineStr">
        <is>
          <t>N/A</t>
        </is>
      </c>
      <c r="AX54" s="464" t="inlineStr">
        <is>
          <t>N/A</t>
        </is>
      </c>
      <c r="AY54" s="464" t="inlineStr">
        <is>
          <t>N/A</t>
        </is>
      </c>
      <c r="AZ54" s="464" t="inlineStr">
        <is>
          <t>N/A</t>
        </is>
      </c>
      <c r="BA54" s="464" t="inlineStr">
        <is>
          <t>N/A</t>
        </is>
      </c>
      <c r="BB54" s="464" t="inlineStr">
        <is>
          <t>N/A</t>
        </is>
      </c>
      <c r="BC54" s="464" t="inlineStr">
        <is>
          <t>N/A</t>
        </is>
      </c>
      <c r="BD54" s="464" t="inlineStr">
        <is>
          <t>N/A</t>
        </is>
      </c>
      <c r="BE54" s="464" t="inlineStr">
        <is>
          <t>N/A</t>
        </is>
      </c>
      <c r="BF54" s="464" t="inlineStr">
        <is>
          <t>H49</t>
        </is>
      </c>
      <c r="BG54" s="464" t="inlineStr">
        <is>
          <t>CO2</t>
        </is>
      </c>
      <c r="BH54" s="464" t="inlineStr">
        <is>
          <t>positive</t>
        </is>
      </c>
      <c r="BI54" s="464" t="inlineStr">
        <is>
          <t>Pollution control; Energy security; Industrial development</t>
        </is>
      </c>
      <c r="BJ54" s="464" t="inlineStr">
        <is>
          <t>Vehicle and Vessel Tax Law of the People's Republic of China, Article 4; Cai Shui[2018] No. 74; MIIT MOF STA Announcement [2024] No. 10</t>
        </is>
      </c>
      <c r="BK54" s="464" t="inlineStr">
        <is>
          <t>https://guangdong.chinatax.gov.cn/gdsw/zjfg/2025-10/11/content_a027bb417fc0413aa2dbf4222e5e6f4b.shtml</t>
        </is>
      </c>
      <c r="BL54" s="464" t="inlineStr">
        <is>
          <t>https://fgk.chinatax.gov.cn/zcfgk/c102416/c5203774/content.html</t>
        </is>
      </c>
      <c r="BM54" s="464" t="inlineStr"/>
    </row>
    <row r="55">
      <c r="A55" s="464" t="inlineStr">
        <is>
          <t>CHNTAXVOTI01S002</t>
        </is>
      </c>
      <c r="B55" s="464" t="inlineStr">
        <is>
          <t>Subscheme</t>
        </is>
      </c>
      <c r="C55" s="464" t="inlineStr">
        <is>
          <t>Tax</t>
        </is>
      </c>
      <c r="D55" s="464" t="inlineStr">
        <is>
          <t>Vehicle ownership tax incentive</t>
        </is>
      </c>
      <c r="E55" s="464" t="inlineStr">
        <is>
          <t>Transport</t>
        </is>
      </c>
      <c r="F55" s="464" t="inlineStr">
        <is>
          <t>Road transport; passenger cars; commercial vehicles</t>
        </is>
      </c>
      <c r="G55" s="464" t="inlineStr">
        <is>
          <t>节能汽车减半征收车船税</t>
        </is>
      </c>
      <c r="H55" s="464" t="inlineStr">
        <is>
          <t>Energy-saving vehicle 50% vehicle and vessel tax reduction</t>
        </is>
      </c>
      <c r="I55" s="464" t="inlineStr">
        <is>
          <t>N/A</t>
        </is>
      </c>
      <c r="J55" s="464"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464" t="inlineStr">
        <is>
          <t>Climate change mitigation; Energy efficiency</t>
        </is>
      </c>
      <c r="L55" s="464" t="inlineStr">
        <is>
          <t>Direct</t>
        </is>
      </c>
      <c r="M55" s="464" t="inlineStr">
        <is>
          <t>national</t>
        </is>
      </c>
      <c r="N55" s="464" t="inlineStr">
        <is>
          <t>N/A</t>
        </is>
      </c>
      <c r="O55" s="464" t="inlineStr">
        <is>
          <t>25/02/2011</t>
        </is>
      </c>
      <c r="P55" s="464" t="inlineStr">
        <is>
          <t>01/01/2012</t>
        </is>
      </c>
      <c r="Q55" s="464" t="inlineStr">
        <is>
          <t>N/A</t>
        </is>
      </c>
      <c r="R55" s="464" t="inlineStr">
        <is>
          <t>01/07/2024</t>
        </is>
      </c>
      <c r="S55" s="464" t="inlineStr">
        <is>
          <t>Announcement No. 10 of 2024, issued in May 2024, updated the combined-cycle fuel consumption technical standards for energy-saving vehicles from 1 July 2024.</t>
        </is>
      </c>
      <c r="T55" s="464">
        <f>IF(P55="","In force",IF(P55="N/A","In force",IF(TODAY()&lt;DATE(VALUE(RIGHT(P55,4)),VALUE(MID(P55,4,2)),VALUE(LEFT(P55,2))),"Scheduled",IF(Q55="","In force",IF(Q55="N/A","In force",IF(TODAY()&lt;DATE(VALUE(RIGHT(Q55,4)),VALUE(MID(Q55,4,2)),VALUE(LEFT(Q55,2))),"In force","Ended"))))))</f>
        <v/>
      </c>
      <c r="U55" s="464" t="inlineStr">
        <is>
          <t>Ministry of Industry and Information Technology (management of vehicle modelcatalogues and technical standards); State Taxation Administration (vehicle andvessel tax collection and administration); Ministry of Finance (policy formulation)</t>
        </is>
      </c>
      <c r="V55" s="464" t="inlineStr">
        <is>
          <t>Cars; Light-duty trucks; Heavy-duty trucks</t>
        </is>
      </c>
      <c r="W55" s="464" t="inlineStr">
        <is>
          <t>Existing</t>
        </is>
      </c>
      <c r="X55" s="464"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Y55" s="464" t="inlineStr">
        <is>
          <t>N/A</t>
        </is>
      </c>
      <c r="Z55" s="464" t="inlineStr">
        <is>
          <t>Passenger vehicle displacement not exceeding 1.6 litres (≤1.6L). Light-dutycommercial vehicle maximum design gross mass not exceeding 3,500 kg. Heavy-dutycommercial vehicle maximum design gross mass exceeding 3,500 kg.</t>
        </is>
      </c>
      <c r="AA55" s="464" t="inlineStr">
        <is>
          <t>Individuals; Firms</t>
        </is>
      </c>
      <c r="AB55" s="464" t="inlineStr">
        <is>
          <t>Owners or managers of eligible energy-saving vehicles (including individualconsumers, all types of enterprises and institutions). The incentive reduces vehicleholding costs through a 50% reduction in the annual vehicle and vessel tax.</t>
        </is>
      </c>
      <c r="AC55" s="464" t="inlineStr">
        <is>
          <t>Owning, use or capital formation</t>
        </is>
      </c>
      <c r="AD55" s="464"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E55" s="464" t="inlineStr">
        <is>
          <t>50</t>
        </is>
      </c>
      <c r="AF55" s="464" t="inlineStr">
        <is>
          <t>% of annual vehicle and vessel tax reduced</t>
        </is>
      </c>
      <c r="AG55" s="464" t="inlineStr">
        <is>
          <t>50% reduction in vehicle and vessel tax, i.e. the actual vehicle and vessel taxpayable is 50% of the statutory amount.</t>
        </is>
      </c>
      <c r="AH55" s="464"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I55" s="464" t="inlineStr">
        <is>
          <t>Actual vehicle and vessel tax payable = statutory vehicle and vessel tax amount x 50%</t>
        </is>
      </c>
      <c r="AJ55" s="464" t="inlineStr">
        <is>
          <t>N/A</t>
        </is>
      </c>
      <c r="AK55" s="464" t="inlineStr">
        <is>
          <t>N/A</t>
        </is>
      </c>
      <c r="AL55" s="464" t="inlineStr">
        <is>
          <t>N/A</t>
        </is>
      </c>
      <c r="AM55" s="464" t="inlineStr">
        <is>
          <t>N/A</t>
        </is>
      </c>
      <c r="AN55" s="464" t="inlineStr">
        <is>
          <t>N/A</t>
        </is>
      </c>
      <c r="AO55" s="464" t="inlineStr">
        <is>
          <t>N/A</t>
        </is>
      </c>
      <c r="AP55" s="464" t="inlineStr">
        <is>
          <t>N/A</t>
        </is>
      </c>
      <c r="AQ55" s="464" t="inlineStr">
        <is>
          <t>N/A</t>
        </is>
      </c>
      <c r="AR55" s="464" t="inlineStr">
        <is>
          <t>N/A</t>
        </is>
      </c>
      <c r="AS55" s="464" t="inlineStr">
        <is>
          <t>N/A</t>
        </is>
      </c>
      <c r="AT55" s="464" t="inlineStr">
        <is>
          <t>N/A</t>
        </is>
      </c>
      <c r="AU55" s="464" t="inlineStr">
        <is>
          <t>N/A</t>
        </is>
      </c>
      <c r="AV55" s="464" t="inlineStr">
        <is>
          <t>N/A</t>
        </is>
      </c>
      <c r="AW55" s="464" t="inlineStr">
        <is>
          <t>N/A</t>
        </is>
      </c>
      <c r="AX55" s="464" t="inlineStr">
        <is>
          <t>N/A</t>
        </is>
      </c>
      <c r="AY55" s="464" t="inlineStr">
        <is>
          <t>N/A</t>
        </is>
      </c>
      <c r="AZ55" s="464" t="inlineStr">
        <is>
          <t>N/A</t>
        </is>
      </c>
      <c r="BA55" s="464" t="inlineStr">
        <is>
          <t>N/A</t>
        </is>
      </c>
      <c r="BB55" s="464" t="inlineStr">
        <is>
          <t>N/A</t>
        </is>
      </c>
      <c r="BC55" s="464" t="inlineStr">
        <is>
          <t>N/A</t>
        </is>
      </c>
      <c r="BD55" s="464" t="inlineStr">
        <is>
          <t>N/A</t>
        </is>
      </c>
      <c r="BE55" s="464" t="inlineStr">
        <is>
          <t>N/A</t>
        </is>
      </c>
      <c r="BF55" s="464" t="inlineStr">
        <is>
          <t>H49</t>
        </is>
      </c>
      <c r="BG55" s="464" t="inlineStr">
        <is>
          <t>CO2</t>
        </is>
      </c>
      <c r="BH55" s="464" t="inlineStr">
        <is>
          <t>positive</t>
        </is>
      </c>
      <c r="BI55" s="464" t="inlineStr">
        <is>
          <t>Pollution control; Energy security</t>
        </is>
      </c>
      <c r="BJ55" s="464" t="inlineStr">
        <is>
          <t>Vehicle and Vessel Tax Law of the People's Republic of China, Article 5; Cai Shui[2018] No. 74; MIIT MOF STA Announcement [2024] No. 10</t>
        </is>
      </c>
      <c r="BK55" s="464" t="inlineStr">
        <is>
          <t>https://guangdong.chinatax.gov.cn/gdsw/zjfg/2025-10/11/content_a027bb417fc0413aa2dbf4222e5e6f4b.shtml</t>
        </is>
      </c>
      <c r="BL55" s="464" t="inlineStr">
        <is>
          <t>https://fgk.chinatax.gov.cn/zcfgk/c102416/c5203774/content.html</t>
        </is>
      </c>
      <c r="BM55" s="464" t="inlineStr"/>
    </row>
    <row r="56">
      <c r="A56" s="610" t="inlineStr">
        <is>
          <t>CHNTAXVPTI01S000</t>
        </is>
      </c>
      <c r="B56" s="610" t="inlineStr">
        <is>
          <t>Instrument</t>
        </is>
      </c>
      <c r="C56" s="610" t="inlineStr">
        <is>
          <t>Tax</t>
        </is>
      </c>
      <c r="D56" s="610" t="inlineStr">
        <is>
          <t>Vehicle purchase tax incentive</t>
        </is>
      </c>
      <c r="E56" s="610" t="inlineStr">
        <is>
          <t>Transport</t>
        </is>
      </c>
      <c r="F56" s="610" t="inlineStr">
        <is>
          <t>Road transport; passenger cars; new energy vehicles</t>
        </is>
      </c>
      <c r="G56" s="610" t="inlineStr">
        <is>
          <t>新能源汽车车辆购置税减免政策</t>
        </is>
      </c>
      <c r="H56" s="610" t="inlineStr">
        <is>
          <t>New energy vehicle purchase tax exemption and reduction policy</t>
        </is>
      </c>
      <c r="I56" s="610" t="inlineStr">
        <is>
          <t>N/A</t>
        </is>
      </c>
      <c r="J56" s="610"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610" t="inlineStr">
        <is>
          <t>Industrial development; Green consumption; Green economy</t>
        </is>
      </c>
      <c r="L56" s="610" t="inlineStr">
        <is>
          <t>Direct</t>
        </is>
      </c>
      <c r="M56" s="610" t="inlineStr">
        <is>
          <t>national</t>
        </is>
      </c>
      <c r="N56" s="610" t="inlineStr">
        <is>
          <t>N/A</t>
        </is>
      </c>
      <c r="O56" s="610" t="inlineStr">
        <is>
          <t>01/08/2014</t>
        </is>
      </c>
      <c r="P56" s="610" t="inlineStr">
        <is>
          <t>01/09/2014</t>
        </is>
      </c>
      <c r="Q56" s="610" t="inlineStr">
        <is>
          <t>31/12/2027</t>
        </is>
      </c>
      <c r="R56" s="610" t="inlineStr">
        <is>
          <t>19/06/2023</t>
        </is>
      </c>
      <c r="S56" s="610"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T56" s="610">
        <f>IF(P56="","In force",IF(P56="N/A","In force",IF(TODAY()&lt;DATE(VALUE(RIGHT(P56,4)),VALUE(MID(P56,4,2)),VALUE(LEFT(P56,2))),"Scheduled",IF(Q56="","In force",IF(Q56="N/A","In force",IF(TODAY()&lt;DATE(VALUE(RIGHT(Q56,4)),VALUE(MID(Q56,4,2)),VALUE(LEFT(Q56,2))),"In force","Ended"))))))</f>
        <v/>
      </c>
      <c r="U56" s="610" t="inlineStr">
        <is>
          <t>Ministry of Finance; State Taxation Administration; Ministry of Industry and Information Technology</t>
        </is>
      </c>
      <c r="V56" s="610" t="inlineStr">
        <is>
          <t>Road transport vehicles; Cars</t>
        </is>
      </c>
      <c r="W56" s="610" t="inlineStr">
        <is>
          <t>New</t>
        </is>
      </c>
      <c r="X56" s="610" t="inlineStr">
        <is>
          <t>Eligible new energy vehicles, including battery electric vehicles, plug-in hybrid vehicles including range-extended vehicles, and fuel-cell vehicles that are listed in the catalogue of NEV models eligible for vehicle purchase tax exemption or reduction.</t>
        </is>
      </c>
      <c r="Y56" s="610" t="inlineStr">
        <is>
          <t>N/A</t>
        </is>
      </c>
      <c r="Z56" s="610"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A56" s="610" t="inlineStr">
        <is>
          <t>Individuals; Firms</t>
        </is>
      </c>
      <c r="AB56" s="610" t="inlineStr">
        <is>
          <t>Purchasers of eligible new energy vehicles; vehicle sellers and manufacturers support catalogue and tax documentation.</t>
        </is>
      </c>
      <c r="AC56" s="610" t="inlineStr">
        <is>
          <t>Purchase, lease or retrofit</t>
        </is>
      </c>
      <c r="AD56" s="610" t="inlineStr">
        <is>
          <t>Purchase of eligible new energy vehicles and declaration of vehicle purchase tax exemption or reduction.</t>
        </is>
      </c>
      <c r="AE56" s="610" t="inlineStr">
        <is>
          <t>100; 50</t>
        </is>
      </c>
      <c r="AF56" s="610" t="inlineStr">
        <is>
          <t>% vehicle purchase tax exemption/reduction</t>
        </is>
      </c>
      <c r="AG56" s="610"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H56" s="610" t="inlineStr">
        <is>
          <t>Vehicles must be eligible new energy vehicles included in the official catalogue for vehicle purchase tax exemption or reduction. The purchase date is determined according to the valid vehicle sale invoice or other valid document.</t>
        </is>
      </c>
      <c r="AI56" s="610" t="inlineStr">
        <is>
          <t>Tax relief amount equals otherwise payable vehicle purchase tax multiplied by the applicable relief rate, subject to the per-vehicle cap for new energy passenger vehicles.</t>
        </is>
      </c>
      <c r="AJ56" s="610" t="inlineStr">
        <is>
          <t>2024-2025: relief amount is capped at CNY 30,000 per new energy passenger vehicle. 2026-2027: relief amount is capped at CNY 15,000 per new energy passenger vehicle.</t>
        </is>
      </c>
      <c r="AK56" s="610" t="inlineStr">
        <is>
          <t>N/A</t>
        </is>
      </c>
      <c r="AL56" s="610" t="inlineStr">
        <is>
          <t>N/A</t>
        </is>
      </c>
      <c r="AM56" s="610" t="inlineStr">
        <is>
          <t>N/A</t>
        </is>
      </c>
      <c r="AN56" s="610" t="inlineStr">
        <is>
          <t>N/A</t>
        </is>
      </c>
      <c r="AO56" s="610" t="inlineStr">
        <is>
          <t>N/A</t>
        </is>
      </c>
      <c r="AP56" s="610" t="inlineStr">
        <is>
          <t>N/A</t>
        </is>
      </c>
      <c r="AQ56" s="610" t="inlineStr">
        <is>
          <t>N/A</t>
        </is>
      </c>
      <c r="AR56" s="610" t="inlineStr">
        <is>
          <t>N/A</t>
        </is>
      </c>
      <c r="AS56" s="610" t="inlineStr">
        <is>
          <t>N/A</t>
        </is>
      </c>
      <c r="AT56" s="610" t="inlineStr">
        <is>
          <t>N/A</t>
        </is>
      </c>
      <c r="AU56" s="610" t="inlineStr">
        <is>
          <t>N/A</t>
        </is>
      </c>
      <c r="AV56" s="610" t="inlineStr">
        <is>
          <t>N/A</t>
        </is>
      </c>
      <c r="AW56" s="610" t="inlineStr">
        <is>
          <t>N/A</t>
        </is>
      </c>
      <c r="AX56" s="610" t="inlineStr">
        <is>
          <t>N/A</t>
        </is>
      </c>
      <c r="AY56" s="610" t="inlineStr">
        <is>
          <t>N/A</t>
        </is>
      </c>
      <c r="AZ56" s="610" t="inlineStr">
        <is>
          <t>N/A</t>
        </is>
      </c>
      <c r="BA56" s="610" t="inlineStr">
        <is>
          <t>N/A</t>
        </is>
      </c>
      <c r="BB56" s="610" t="inlineStr">
        <is>
          <t>N/A</t>
        </is>
      </c>
      <c r="BC56" s="610" t="inlineStr">
        <is>
          <t>N/A</t>
        </is>
      </c>
      <c r="BD56" s="610" t="inlineStr">
        <is>
          <t>N/A</t>
        </is>
      </c>
      <c r="BE56" s="610" t="inlineStr">
        <is>
          <t>N/A</t>
        </is>
      </c>
      <c r="BF56" s="610" t="inlineStr">
        <is>
          <t>C29; G45</t>
        </is>
      </c>
      <c r="BG56" s="610" t="inlineStr">
        <is>
          <t>CO2</t>
        </is>
      </c>
      <c r="BH56" s="610" t="inlineStr">
        <is>
          <t>positive</t>
        </is>
      </c>
      <c r="BI56" s="610" t="inlineStr">
        <is>
          <t>Pollution control; Energy security; Industrial development</t>
        </is>
      </c>
      <c r="BJ56" s="610" t="inlineStr">
        <is>
          <t>Announcement of the Ministry of Finance, the State Taxation Administration and the Ministry of Industry and Information Technology on Extending and Optimising the New Energy Vehicle Purchase Tax Exemption and Reduction Policy</t>
        </is>
      </c>
      <c r="BK56" s="610" t="inlineStr">
        <is>
          <t>https://szs.mof.gov.cn/zhengcefabu/202306/t20230620_3891500.htm</t>
        </is>
      </c>
      <c r="BL56" s="610" t="inlineStr">
        <is>
          <t>https://policy.mofcom.gov.cn/claw/clawContent.shtml?id=48973</t>
        </is>
      </c>
      <c r="BM56" s="610" t="inlineStr"/>
    </row>
    <row r="57">
      <c r="A57" s="610" t="inlineStr">
        <is>
          <t>CHNADPCPMI01S000</t>
        </is>
      </c>
      <c r="B57" s="610" t="inlineStr">
        <is>
          <t>Instrument</t>
        </is>
      </c>
      <c r="C57" s="610" t="inlineStr">
        <is>
          <t>Administered price</t>
        </is>
      </c>
      <c r="D57" s="610" t="inlineStr">
        <is>
          <t>Capacity pricing mechanism</t>
        </is>
      </c>
      <c r="E57" s="610" t="inlineStr">
        <is>
          <t>Energy</t>
        </is>
      </c>
      <c r="F57" s="610" t="inlineStr">
        <is>
          <t>Electricity</t>
        </is>
      </c>
      <c r="G57" s="610" t="inlineStr">
        <is>
          <t>发电侧容量电价机制</t>
        </is>
      </c>
      <c r="H57" s="610" t="inlineStr">
        <is>
          <t>Generation-side capacity pricing mechanism</t>
        </is>
      </c>
      <c r="I57" s="610" t="inlineStr">
        <is>
          <t>N/A</t>
        </is>
      </c>
      <c r="J57" s="610"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610" t="inlineStr">
        <is>
          <t>Energy security; Renewable energy development</t>
        </is>
      </c>
      <c r="L57" s="610" t="inlineStr">
        <is>
          <t>Indirect</t>
        </is>
      </c>
      <c r="M57" s="610" t="inlineStr">
        <is>
          <t>national</t>
        </is>
      </c>
      <c r="N57" s="610" t="inlineStr">
        <is>
          <t>N/A</t>
        </is>
      </c>
      <c r="O57" s="610" t="inlineStr">
        <is>
          <t>08/11/2023</t>
        </is>
      </c>
      <c r="P57" s="610" t="inlineStr">
        <is>
          <t>01/01/2024</t>
        </is>
      </c>
      <c r="Q57" s="610" t="inlineStr">
        <is>
          <t>N/A</t>
        </is>
      </c>
      <c r="R57" s="610" t="inlineStr">
        <is>
          <t>27/01/2026</t>
        </is>
      </c>
      <c r="S57" s="610"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T57" s="610">
        <f>IF(P57="","In force",IF(P57="N/A","In force",IF(TODAY()&lt;DATE(VALUE(RIGHT(P57,4)),VALUE(MID(P57,4,2)),VALUE(LEFT(P57,2))),"Scheduled",IF(Q57="","In force",IF(Q57="N/A","In force",IF(TODAY()&lt;DATE(VALUE(RIGHT(Q57,4)),VALUE(MID(Q57,4,2)),VALUE(LEFT(Q57,2))),"In force","Ended"))))))</f>
        <v/>
      </c>
      <c r="U57" s="610" t="inlineStr">
        <is>
          <t>National Development and Reform Commission; National Energy Administration</t>
        </is>
      </c>
      <c r="V57" s="610" t="inlineStr">
        <is>
          <t>Generation units; Storage facilities</t>
        </is>
      </c>
      <c r="W57" s="610" t="inlineStr">
        <is>
          <t>New; existing</t>
        </is>
      </c>
      <c r="X57" s="610"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Y57" s="610" t="inlineStr">
        <is>
          <t>N/A</t>
        </is>
      </c>
      <c r="Z57" s="610" t="inlineStr">
        <is>
          <t>N/A</t>
        </is>
      </c>
      <c r="AA57" s="610" t="inlineStr">
        <is>
          <t>Firms</t>
        </is>
      </c>
      <c r="AB57" s="610" t="inlineStr">
        <is>
          <t>Power generation enterprises or storage operators owning compliant, grid-connected generation units or storage facilities</t>
        </is>
      </c>
      <c r="AC57" s="610" t="inlineStr">
        <is>
          <t>Electricity generation; Energy storage</t>
        </is>
      </c>
      <c r="AD57" s="610" t="inlineStr">
        <is>
          <t>Generation units provide available capacity; storage facilities provide capacity support based on available capacity and discharge duration.</t>
        </is>
      </c>
      <c r="AE57" s="610" t="inlineStr">
        <is>
          <t>See subschemes</t>
        </is>
      </c>
      <c r="AF57" s="610" t="inlineStr">
        <is>
          <t>See subschemes</t>
        </is>
      </c>
      <c r="AG57" s="610" t="inlineStr">
        <is>
          <t>Capacity tariff or compensation standards differ by technology type; see individual subschemes. Capacity charges are allocated to commercial and industrial users in proportion to electricity consumption.</t>
        </is>
      </c>
      <c r="AH57" s="610"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I57" s="610" t="inlineStr">
        <is>
          <t>Grid companies calculate monthly capacity charges based on units’ declared maximum output and actual dispatch assessment results.</t>
        </is>
      </c>
      <c r="AJ57" s="610" t="inlineStr">
        <is>
          <t>Monthly capacity charge = capacity price × unit’s declared maximum output ÷ 12, adjusted and settled monthly according to assessment. Assessment rules differ by technology type as specified in each subscheme.</t>
        </is>
      </c>
      <c r="AK57" s="610" t="inlineStr">
        <is>
          <t>N/A</t>
        </is>
      </c>
      <c r="AL57" s="610" t="inlineStr">
        <is>
          <t>N/A</t>
        </is>
      </c>
      <c r="AM57" s="610" t="inlineStr">
        <is>
          <t>N/A</t>
        </is>
      </c>
      <c r="AN57" s="610" t="inlineStr">
        <is>
          <t>N/A</t>
        </is>
      </c>
      <c r="AO57" s="610" t="inlineStr">
        <is>
          <t>N/A</t>
        </is>
      </c>
      <c r="AP57" s="610" t="inlineStr">
        <is>
          <t>N/A</t>
        </is>
      </c>
      <c r="AQ57" s="610" t="inlineStr">
        <is>
          <t>N/A</t>
        </is>
      </c>
      <c r="AR57" s="610" t="inlineStr">
        <is>
          <t>N/A</t>
        </is>
      </c>
      <c r="AS57" s="610" t="inlineStr">
        <is>
          <t>N/A</t>
        </is>
      </c>
      <c r="AT57" s="610" t="inlineStr">
        <is>
          <t>N/A</t>
        </is>
      </c>
      <c r="AU57" s="610" t="inlineStr">
        <is>
          <t>N/A</t>
        </is>
      </c>
      <c r="AV57" s="610" t="inlineStr">
        <is>
          <t>N/A</t>
        </is>
      </c>
      <c r="AW57" s="610" t="inlineStr">
        <is>
          <t>N/A</t>
        </is>
      </c>
      <c r="AX57" s="610" t="inlineStr">
        <is>
          <t>N/A</t>
        </is>
      </c>
      <c r="AY57" s="610" t="inlineStr">
        <is>
          <t>N/A</t>
        </is>
      </c>
      <c r="AZ57" s="610" t="inlineStr">
        <is>
          <t>N/A</t>
        </is>
      </c>
      <c r="BA57" s="610" t="inlineStr">
        <is>
          <t>N/A</t>
        </is>
      </c>
      <c r="BB57" s="610" t="inlineStr">
        <is>
          <t>N/A</t>
        </is>
      </c>
      <c r="BC57" s="610" t="inlineStr">
        <is>
          <t>N/A</t>
        </is>
      </c>
      <c r="BD57" s="610" t="inlineStr">
        <is>
          <t>N/A</t>
        </is>
      </c>
      <c r="BE57" s="610" t="inlineStr">
        <is>
          <t>N/A</t>
        </is>
      </c>
      <c r="BF57" s="610" t="inlineStr">
        <is>
          <t>D35</t>
        </is>
      </c>
      <c r="BG57" s="610" t="inlineStr">
        <is>
          <t>CO2</t>
        </is>
      </c>
      <c r="BH57" s="610" t="inlineStr">
        <is>
          <t>positive</t>
        </is>
      </c>
      <c r="BI57" s="610" t="inlineStr">
        <is>
          <t>Pollution control</t>
        </is>
      </c>
      <c r="BJ57" s="610" t="inlineStr">
        <is>
          <t>NDRC and NEA Notice on Establishing a Coal-Fired Capacity Pricing Mechanism (Fa Gai Jia Ge [2023] No. 1501); NDRC and NEA Notice on Improving the Generation-Side Capacity Pricing Mechanism (Fa Gai Jia Ge [2026] No. 114)</t>
        </is>
      </c>
      <c r="BK57" s="610" t="inlineStr">
        <is>
          <t>https://www.gov.cn/zhengce/zhengceku/202311/content_6914744.htm</t>
        </is>
      </c>
      <c r="BL57" s="610" t="inlineStr">
        <is>
          <t>https://www.ndrc.gov.cn/xxgk/zcfb/tz/202311/t20231110_1361897.html; https://www.gov.cn/zhengce/zhengceku/202601/content_7056676.htm</t>
        </is>
      </c>
      <c r="BM57" s="610" t="inlineStr"/>
    </row>
    <row r="58">
      <c r="A58" s="464" t="inlineStr">
        <is>
          <t>CHNADPCPMI01S001</t>
        </is>
      </c>
      <c r="B58" s="464" t="inlineStr">
        <is>
          <t>Subscheme</t>
        </is>
      </c>
      <c r="C58" s="464" t="inlineStr">
        <is>
          <t>Administered price</t>
        </is>
      </c>
      <c r="D58" s="464" t="inlineStr">
        <is>
          <t>Capacity pricing mechanism</t>
        </is>
      </c>
      <c r="E58" s="464" t="inlineStr">
        <is>
          <t>Energy</t>
        </is>
      </c>
      <c r="F58" s="464" t="inlineStr">
        <is>
          <t>Coal-fired power</t>
        </is>
      </c>
      <c r="G58" s="464" t="inlineStr">
        <is>
          <t>煤电容量电价</t>
        </is>
      </c>
      <c r="H58" s="464" t="inlineStr">
        <is>
          <t>Coal-fired capacity pricing</t>
        </is>
      </c>
      <c r="I58" s="464" t="inlineStr">
        <is>
          <t>N/A</t>
        </is>
      </c>
      <c r="J58" s="464"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464" t="inlineStr">
        <is>
          <t>Energy security</t>
        </is>
      </c>
      <c r="L58" s="464" t="inlineStr">
        <is>
          <t>Indirect</t>
        </is>
      </c>
      <c r="M58" s="464" t="inlineStr">
        <is>
          <t>national</t>
        </is>
      </c>
      <c r="N58" s="464" t="inlineStr">
        <is>
          <t>N/A</t>
        </is>
      </c>
      <c r="O58" s="464" t="inlineStr">
        <is>
          <t>08/11/2023</t>
        </is>
      </c>
      <c r="P58" s="464" t="inlineStr">
        <is>
          <t>01/01/2024</t>
        </is>
      </c>
      <c r="Q58" s="464" t="inlineStr">
        <is>
          <t>N/A</t>
        </is>
      </c>
      <c r="R58" s="464" t="inlineStr">
        <is>
          <t>27/01/2026</t>
        </is>
      </c>
      <c r="S58" s="464" t="inlineStr">
        <is>
          <t>Fa Gai Jia Ge [2026] No. 114 raised the coal-fired capacity pricing fixed-cost recovery ratio from 30% for most provinces and 50% for seven faster-transition provinces to a uniform no less than 50% (no less than CNY 165/kW/year).</t>
        </is>
      </c>
      <c r="T58" s="464">
        <f>IF(P58="","In force",IF(P58="N/A","In force",IF(TODAY()&lt;DATE(VALUE(RIGHT(P58,4)),VALUE(MID(P58,4,2)),VALUE(LEFT(P58,2))),"Scheduled",IF(Q58="","In force",IF(Q58="N/A","In force",IF(TODAY()&lt;DATE(VALUE(RIGHT(Q58,4)),VALUE(MID(Q58,4,2)),VALUE(LEFT(Q58,2))),"In force","Ended"))))))</f>
        <v/>
      </c>
      <c r="U58" s="464" t="inlineStr">
        <is>
          <t>National Development and Reform Commission; National Energy Administration</t>
        </is>
      </c>
      <c r="V58" s="464" t="inlineStr">
        <is>
          <t>Coal-fired generation units</t>
        </is>
      </c>
      <c r="W58" s="464" t="inlineStr">
        <is>
          <t>New; existing</t>
        </is>
      </c>
      <c r="X58" s="464"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Y58" s="464" t="inlineStr">
        <is>
          <t>N/A</t>
        </is>
      </c>
      <c r="Z58" s="464" t="inlineStr">
        <is>
          <t>N/A</t>
        </is>
      </c>
      <c r="AA58" s="464" t="inlineStr">
        <is>
          <t>Firms</t>
        </is>
      </c>
      <c r="AB58" s="464" t="inlineStr">
        <is>
          <t>Power generation enterprises owning compliant, grid-connected, in-operation public coal-fired units</t>
        </is>
      </c>
      <c r="AC58" s="464" t="inlineStr">
        <is>
          <t>Electricity generation</t>
        </is>
      </c>
      <c r="AD58" s="464" t="inlineStr">
        <is>
          <t>Coal-fired units provide available capacity and deliver maximum output per dispatch instructions</t>
        </is>
      </c>
      <c r="AE58" s="464" t="inlineStr">
        <is>
          <t>330; 100; 165</t>
        </is>
      </c>
      <c r="AF58" s="464" t="inlineStr">
        <is>
          <t>CNY/kW/year</t>
        </is>
      </c>
      <c r="AG58" s="464" t="inlineStr">
        <is>
          <t>National uniform fixed-cost standard: CNY 330/kW/year. 2024-2025 recovery ratio: most provinces 30% (CNY 100/kW/year), seven faster-transition provinces 50% (CNY 165/kW/year). From 2026, recovery ratio no less than 50% (no less than CNY 165/kW/year).</t>
        </is>
      </c>
      <c r="AH58" s="464"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I58" s="464" t="inlineStr">
        <is>
          <t>Grid companies calculate monthly capacity charges based on units’ declared maximum output and actual dispatch assessment results.</t>
        </is>
      </c>
      <c r="AJ58" s="464"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K58" s="464" t="inlineStr">
        <is>
          <t>N/A</t>
        </is>
      </c>
      <c r="AL58" s="464" t="inlineStr">
        <is>
          <t>N/A</t>
        </is>
      </c>
      <c r="AM58" s="464" t="inlineStr">
        <is>
          <t>N/A</t>
        </is>
      </c>
      <c r="AN58" s="464" t="inlineStr">
        <is>
          <t>N/A</t>
        </is>
      </c>
      <c r="AO58" s="464" t="inlineStr">
        <is>
          <t>N/A</t>
        </is>
      </c>
      <c r="AP58" s="464" t="inlineStr">
        <is>
          <t>N/A</t>
        </is>
      </c>
      <c r="AQ58" s="464" t="inlineStr">
        <is>
          <t>N/A</t>
        </is>
      </c>
      <c r="AR58" s="464" t="inlineStr">
        <is>
          <t>N/A</t>
        </is>
      </c>
      <c r="AS58" s="464" t="inlineStr">
        <is>
          <t>N/A</t>
        </is>
      </c>
      <c r="AT58" s="464" t="inlineStr">
        <is>
          <t>N/A</t>
        </is>
      </c>
      <c r="AU58" s="464" t="inlineStr">
        <is>
          <t>N/A</t>
        </is>
      </c>
      <c r="AV58" s="464" t="inlineStr">
        <is>
          <t>N/A</t>
        </is>
      </c>
      <c r="AW58" s="464" t="inlineStr">
        <is>
          <t>N/A</t>
        </is>
      </c>
      <c r="AX58" s="464" t="inlineStr">
        <is>
          <t>N/A</t>
        </is>
      </c>
      <c r="AY58" s="464" t="inlineStr">
        <is>
          <t>N/A</t>
        </is>
      </c>
      <c r="AZ58" s="464" t="inlineStr">
        <is>
          <t>N/A</t>
        </is>
      </c>
      <c r="BA58" s="464" t="inlineStr">
        <is>
          <t>N/A</t>
        </is>
      </c>
      <c r="BB58" s="464" t="inlineStr">
        <is>
          <t>N/A</t>
        </is>
      </c>
      <c r="BC58" s="464" t="inlineStr">
        <is>
          <t>N/A</t>
        </is>
      </c>
      <c r="BD58" s="464" t="inlineStr">
        <is>
          <t>N/A</t>
        </is>
      </c>
      <c r="BE58" s="464" t="inlineStr">
        <is>
          <t>N/A</t>
        </is>
      </c>
      <c r="BF58" s="464" t="inlineStr">
        <is>
          <t>D35</t>
        </is>
      </c>
      <c r="BG58" s="464" t="inlineStr">
        <is>
          <t>CO2</t>
        </is>
      </c>
      <c r="BH58" s="464" t="inlineStr">
        <is>
          <t>unknown</t>
        </is>
      </c>
      <c r="BI58" s="464" t="inlineStr">
        <is>
          <t>Energy security; Renewable energy development</t>
        </is>
      </c>
      <c r="BJ58" s="464" t="inlineStr">
        <is>
          <t>NDRC and NEA Notice on Establishing a Coal-Fired Capacity Pricing Mechanism (Fa Gai Jia Ge [2023] No. 1501)</t>
        </is>
      </c>
      <c r="BK58" s="464" t="inlineStr">
        <is>
          <t>https://www.gov.cn/zhengce/zhengceku/202311/content_6914744.htm</t>
        </is>
      </c>
      <c r="BL58" s="464" t="inlineStr">
        <is>
          <t>https://www.ndrc.gov.cn/xxgk/zcfb/tz/202311/t20231110_1361897.html</t>
        </is>
      </c>
      <c r="BM58" s="464" t="inlineStr"/>
    </row>
    <row r="59">
      <c r="A59" s="464" t="inlineStr">
        <is>
          <t>CHNADPCPMI01S002</t>
        </is>
      </c>
      <c r="B59" s="464" t="inlineStr">
        <is>
          <t>Subscheme</t>
        </is>
      </c>
      <c r="C59" s="464" t="inlineStr">
        <is>
          <t>Administered price</t>
        </is>
      </c>
      <c r="D59" s="464" t="inlineStr">
        <is>
          <t>Capacity pricing mechanism</t>
        </is>
      </c>
      <c r="E59" s="464" t="inlineStr">
        <is>
          <t>Energy</t>
        </is>
      </c>
      <c r="F59" s="464" t="inlineStr">
        <is>
          <t>Natural gas-fired power</t>
        </is>
      </c>
      <c r="G59" s="464" t="inlineStr">
        <is>
          <t>天然气发电容量电价</t>
        </is>
      </c>
      <c r="H59" s="464" t="inlineStr">
        <is>
          <t>Natural gas-fired capacity pricing</t>
        </is>
      </c>
      <c r="I59" s="464" t="inlineStr">
        <is>
          <t>N/A</t>
        </is>
      </c>
      <c r="J59" s="464"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464" t="inlineStr">
        <is>
          <t>Energy security</t>
        </is>
      </c>
      <c r="L59" s="464" t="inlineStr">
        <is>
          <t>Indirect</t>
        </is>
      </c>
      <c r="M59" s="464" t="inlineStr">
        <is>
          <t>national</t>
        </is>
      </c>
      <c r="N59" s="464" t="inlineStr">
        <is>
          <t>N/A</t>
        </is>
      </c>
      <c r="O59" s="464" t="inlineStr">
        <is>
          <t>27/01/2026</t>
        </is>
      </c>
      <c r="P59" s="464" t="inlineStr">
        <is>
          <t>27/01/2026</t>
        </is>
      </c>
      <c r="Q59" s="464" t="inlineStr">
        <is>
          <t>N/A</t>
        </is>
      </c>
      <c r="R59" s="464" t="inlineStr">
        <is>
          <t>N/A</t>
        </is>
      </c>
      <c r="S59" s="464" t="inlineStr">
        <is>
          <t>N/A</t>
        </is>
      </c>
      <c r="T59" s="464">
        <f>IF(P59="","In force",IF(P59="N/A","In force",IF(TODAY()&lt;DATE(VALUE(RIGHT(P59,4)),VALUE(MID(P59,4,2)),VALUE(LEFT(P59,2))),"Scheduled",IF(Q59="","In force",IF(Q59="N/A","In force",IF(TODAY()&lt;DATE(VALUE(RIGHT(Q59,4)),VALUE(MID(Q59,4,2)),VALUE(LEFT(Q59,2))),"In force","Ended"))))))</f>
        <v/>
      </c>
      <c r="U59" s="464" t="inlineStr">
        <is>
          <t>National Development and Reform Commission; National Energy Administration</t>
        </is>
      </c>
      <c r="V59" s="464" t="inlineStr">
        <is>
          <t>Natural gas-fired generation units</t>
        </is>
      </c>
      <c r="W59" s="464" t="inlineStr">
        <is>
          <t>New; existing</t>
        </is>
      </c>
      <c r="X59" s="464" t="inlineStr">
        <is>
          <t>Compliant, grid-connected, in-operation public natural gas-fired generation units</t>
        </is>
      </c>
      <c r="Y59" s="464" t="inlineStr">
        <is>
          <t>N/A</t>
        </is>
      </c>
      <c r="Z59" s="464" t="inlineStr">
        <is>
          <t>N/A</t>
        </is>
      </c>
      <c r="AA59" s="464" t="inlineStr">
        <is>
          <t>Firms</t>
        </is>
      </c>
      <c r="AB59" s="464" t="inlineStr">
        <is>
          <t>Power generation enterprises owning compliant, grid-connected natural gas-fired generation units</t>
        </is>
      </c>
      <c r="AC59" s="464" t="inlineStr">
        <is>
          <t>Electricity generation</t>
        </is>
      </c>
      <c r="AD59" s="464" t="inlineStr">
        <is>
          <t>Natural gas-fired units provide available capacity and deliver peaking and regulation services per dispatch instructions</t>
        </is>
      </c>
      <c r="AE59" s="464" t="inlineStr">
        <is>
          <t>N/A</t>
        </is>
      </c>
      <c r="AF59" s="464" t="inlineStr">
        <is>
          <t>N/A</t>
        </is>
      </c>
      <c r="AG59" s="464" t="inlineStr">
        <is>
          <t>Determined autonomously by provincial pricing authorities in consultation with energy authorities; no uniform national standard has been set.</t>
        </is>
      </c>
      <c r="AH59" s="464" t="inlineStr">
        <is>
          <t>Natural gas-fired units must provide available capacity per dispatch instructions; specific assessment and settlement rules are determined at the provincial level.</t>
        </is>
      </c>
      <c r="AI59" s="464" t="inlineStr">
        <is>
          <t>N/A</t>
        </is>
      </c>
      <c r="AJ59" s="464" t="inlineStr">
        <is>
          <t>N/A (determined at provincial level; no unified formula has been disclosed)</t>
        </is>
      </c>
      <c r="AK59" s="464" t="inlineStr">
        <is>
          <t>N/A</t>
        </is>
      </c>
      <c r="AL59" s="464" t="inlineStr">
        <is>
          <t>N/A</t>
        </is>
      </c>
      <c r="AM59" s="464" t="inlineStr">
        <is>
          <t>N/A</t>
        </is>
      </c>
      <c r="AN59" s="464" t="inlineStr">
        <is>
          <t>N/A</t>
        </is>
      </c>
      <c r="AO59" s="464" t="inlineStr">
        <is>
          <t>N/A</t>
        </is>
      </c>
      <c r="AP59" s="464" t="inlineStr">
        <is>
          <t>N/A</t>
        </is>
      </c>
      <c r="AQ59" s="464" t="inlineStr">
        <is>
          <t>N/A</t>
        </is>
      </c>
      <c r="AR59" s="464" t="inlineStr">
        <is>
          <t>N/A</t>
        </is>
      </c>
      <c r="AS59" s="464" t="inlineStr">
        <is>
          <t>N/A</t>
        </is>
      </c>
      <c r="AT59" s="464" t="inlineStr">
        <is>
          <t>N/A</t>
        </is>
      </c>
      <c r="AU59" s="464" t="inlineStr">
        <is>
          <t>N/A</t>
        </is>
      </c>
      <c r="AV59" s="464" t="inlineStr">
        <is>
          <t>N/A</t>
        </is>
      </c>
      <c r="AW59" s="464" t="inlineStr">
        <is>
          <t>N/A</t>
        </is>
      </c>
      <c r="AX59" s="464" t="inlineStr">
        <is>
          <t>N/A</t>
        </is>
      </c>
      <c r="AY59" s="464" t="inlineStr">
        <is>
          <t>N/A</t>
        </is>
      </c>
      <c r="AZ59" s="464" t="inlineStr">
        <is>
          <t>N/A</t>
        </is>
      </c>
      <c r="BA59" s="464" t="inlineStr">
        <is>
          <t>N/A</t>
        </is>
      </c>
      <c r="BB59" s="464" t="inlineStr">
        <is>
          <t>N/A</t>
        </is>
      </c>
      <c r="BC59" s="464" t="inlineStr">
        <is>
          <t>N/A</t>
        </is>
      </c>
      <c r="BD59" s="464" t="inlineStr">
        <is>
          <t>N/A</t>
        </is>
      </c>
      <c r="BE59" s="464" t="inlineStr">
        <is>
          <t>N/A</t>
        </is>
      </c>
      <c r="BF59" s="464" t="inlineStr">
        <is>
          <t>D35</t>
        </is>
      </c>
      <c r="BG59" s="464" t="inlineStr">
        <is>
          <t>CO2</t>
        </is>
      </c>
      <c r="BH59" s="464" t="inlineStr">
        <is>
          <t>unknown</t>
        </is>
      </c>
      <c r="BI59" s="464" t="inlineStr">
        <is>
          <t>Energy security; Renewable energy development</t>
        </is>
      </c>
      <c r="BJ59" s="464" t="inlineStr">
        <is>
          <t>NDRC and NEA Notice on Improving the Generation-Side Capacity Pricing Mechanism (Fa Gai Jia Ge [2026] No. 114)</t>
        </is>
      </c>
      <c r="BK59" s="464" t="inlineStr">
        <is>
          <t>https://www.gov.cn/zhengce/zhengceku/202601/content_7056676.htm</t>
        </is>
      </c>
      <c r="BL59" s="464" t="inlineStr">
        <is>
          <t>https://zfxxgk.ndrc.gov.cn/wap/iteminfo.jsp?id=20602</t>
        </is>
      </c>
      <c r="BM59" s="464" t="inlineStr"/>
    </row>
    <row r="60">
      <c r="A60" s="464" t="inlineStr">
        <is>
          <t>CHNADPCPMI01S003</t>
        </is>
      </c>
      <c r="B60" s="464" t="inlineStr">
        <is>
          <t>Subscheme</t>
        </is>
      </c>
      <c r="C60" s="464" t="inlineStr">
        <is>
          <t>Administered price</t>
        </is>
      </c>
      <c r="D60" s="464" t="inlineStr">
        <is>
          <t>Capacity pricing mechanism</t>
        </is>
      </c>
      <c r="E60" s="464" t="inlineStr">
        <is>
          <t>Energy</t>
        </is>
      </c>
      <c r="F60" s="464" t="inlineStr">
        <is>
          <t>New-type energy storage</t>
        </is>
      </c>
      <c r="G60" s="464" t="inlineStr">
        <is>
          <t>新型储能容量补偿</t>
        </is>
      </c>
      <c r="H60" s="464" t="inlineStr">
        <is>
          <t>New-type energy storage capacity compensation</t>
        </is>
      </c>
      <c r="I60" s="464" t="inlineStr">
        <is>
          <t>N/A</t>
        </is>
      </c>
      <c r="J60" s="464"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464" t="inlineStr">
        <is>
          <t>Energy security; Renewable energy development</t>
        </is>
      </c>
      <c r="L60" s="464" t="inlineStr">
        <is>
          <t>Indirect</t>
        </is>
      </c>
      <c r="M60" s="464" t="inlineStr">
        <is>
          <t>national</t>
        </is>
      </c>
      <c r="N60" s="464" t="inlineStr">
        <is>
          <t>N/A</t>
        </is>
      </c>
      <c r="O60" s="464" t="inlineStr">
        <is>
          <t>27/01/2026</t>
        </is>
      </c>
      <c r="P60" s="464" t="inlineStr">
        <is>
          <t>27/01/2026</t>
        </is>
      </c>
      <c r="Q60" s="464" t="inlineStr">
        <is>
          <t>N/A</t>
        </is>
      </c>
      <c r="R60" s="464" t="inlineStr">
        <is>
          <t>N/A</t>
        </is>
      </c>
      <c r="S60" s="464" t="inlineStr">
        <is>
          <t>N/A</t>
        </is>
      </c>
      <c r="T60" s="464">
        <f>IF(P60="","In force",IF(P60="N/A","In force",IF(TODAY()&lt;DATE(VALUE(RIGHT(P60,4)),VALUE(MID(P60,4,2)),VALUE(LEFT(P60,2))),"Scheduled",IF(Q60="","In force",IF(Q60="N/A","In force",IF(TODAY()&lt;DATE(VALUE(RIGHT(Q60,4)),VALUE(MID(Q60,4,2)),VALUE(LEFT(Q60,2))),"In force","Ended"))))))</f>
        <v/>
      </c>
      <c r="U60" s="464" t="inlineStr">
        <is>
          <t>National Development and Reform Commission; National Energy Administration</t>
        </is>
      </c>
      <c r="V60" s="464" t="inlineStr">
        <is>
          <t>New-type energy storage</t>
        </is>
      </c>
      <c r="W60" s="464" t="inlineStr">
        <is>
          <t>New; existing</t>
        </is>
      </c>
      <c r="X60" s="464" t="inlineStr">
        <is>
          <t>Compliant independent energy storage stations</t>
        </is>
      </c>
      <c r="Y60" s="464" t="inlineStr">
        <is>
          <t>N/A</t>
        </is>
      </c>
      <c r="Z60" s="464" t="inlineStr">
        <is>
          <t>N/A</t>
        </is>
      </c>
      <c r="AA60" s="464" t="inlineStr">
        <is>
          <t>Firms</t>
        </is>
      </c>
      <c r="AB60" s="464" t="inlineStr">
        <is>
          <t>Independent energy storage station operators</t>
        </is>
      </c>
      <c r="AC60" s="464" t="inlineStr">
        <is>
          <t>Energy storage</t>
        </is>
      </c>
      <c r="AD60" s="464" t="inlineStr">
        <is>
          <t>Independent energy storage stations provide capacity support based on available capacity and discharge duration</t>
        </is>
      </c>
      <c r="AE60" s="464" t="inlineStr">
        <is>
          <t>N/A</t>
        </is>
      </c>
      <c r="AF60" s="464" t="inlineStr">
        <is>
          <t>N/A</t>
        </is>
      </c>
      <c r="AG60" s="464" t="inlineStr">
        <is>
          <t>Capacity compensation standard anchored to the local coal-fired capacity price and converted by storage discharge duration (Fa Gai Jia Ge [2026] No. 114). Provinces determine the specific conversion factor and compensation standard autonomously.</t>
        </is>
      </c>
      <c r="AH60" s="464" t="inlineStr">
        <is>
          <t>Independent energy storage stations must have independent metering and dispatch capability and provide capacity support based on available capacity and discharge duration; specific assessment and settlement rules are determined at the provincial level.</t>
        </is>
      </c>
      <c r="AI60" s="464" t="inlineStr">
        <is>
          <t>N/A</t>
        </is>
      </c>
      <c r="AJ60" s="464" t="inlineStr">
        <is>
          <t>N/A (determined at provincial level; no unified formula has been disclosed)</t>
        </is>
      </c>
      <c r="AK60" s="464" t="inlineStr">
        <is>
          <t>N/A</t>
        </is>
      </c>
      <c r="AL60" s="464" t="inlineStr">
        <is>
          <t>N/A</t>
        </is>
      </c>
      <c r="AM60" s="464" t="inlineStr">
        <is>
          <t>N/A</t>
        </is>
      </c>
      <c r="AN60" s="464" t="inlineStr">
        <is>
          <t>N/A</t>
        </is>
      </c>
      <c r="AO60" s="464" t="inlineStr">
        <is>
          <t>N/A</t>
        </is>
      </c>
      <c r="AP60" s="464" t="inlineStr">
        <is>
          <t>N/A</t>
        </is>
      </c>
      <c r="AQ60" s="464" t="inlineStr">
        <is>
          <t>N/A</t>
        </is>
      </c>
      <c r="AR60" s="464" t="inlineStr">
        <is>
          <t>N/A</t>
        </is>
      </c>
      <c r="AS60" s="464" t="inlineStr">
        <is>
          <t>N/A</t>
        </is>
      </c>
      <c r="AT60" s="464" t="inlineStr">
        <is>
          <t>N/A</t>
        </is>
      </c>
      <c r="AU60" s="464" t="inlineStr">
        <is>
          <t>N/A</t>
        </is>
      </c>
      <c r="AV60" s="464" t="inlineStr">
        <is>
          <t>N/A</t>
        </is>
      </c>
      <c r="AW60" s="464" t="inlineStr">
        <is>
          <t>N/A</t>
        </is>
      </c>
      <c r="AX60" s="464" t="inlineStr">
        <is>
          <t>N/A</t>
        </is>
      </c>
      <c r="AY60" s="464" t="inlineStr">
        <is>
          <t>N/A</t>
        </is>
      </c>
      <c r="AZ60" s="464" t="inlineStr">
        <is>
          <t>N/A</t>
        </is>
      </c>
      <c r="BA60" s="464" t="inlineStr">
        <is>
          <t>N/A</t>
        </is>
      </c>
      <c r="BB60" s="464" t="inlineStr">
        <is>
          <t>N/A</t>
        </is>
      </c>
      <c r="BC60" s="464" t="inlineStr">
        <is>
          <t>N/A</t>
        </is>
      </c>
      <c r="BD60" s="464" t="inlineStr">
        <is>
          <t>N/A</t>
        </is>
      </c>
      <c r="BE60" s="464" t="inlineStr">
        <is>
          <t>N/A</t>
        </is>
      </c>
      <c r="BF60" s="464" t="inlineStr">
        <is>
          <t>D35</t>
        </is>
      </c>
      <c r="BG60" s="464" t="inlineStr">
        <is>
          <t>CO2</t>
        </is>
      </c>
      <c r="BH60" s="464" t="inlineStr">
        <is>
          <t>positive</t>
        </is>
      </c>
      <c r="BI60" s="464" t="inlineStr">
        <is>
          <t>Pollution control</t>
        </is>
      </c>
      <c r="BJ60" s="464" t="inlineStr">
        <is>
          <t>NDRC and NEA Notice on Improving the Generation-Side Capacity Pricing Mechanism (Fa Gai Jia Ge [2026] No. 114)</t>
        </is>
      </c>
      <c r="BK60" s="464" t="inlineStr">
        <is>
          <t>https://www.gov.cn/zhengce/zhengceku/202601/content_7056676.htm</t>
        </is>
      </c>
      <c r="BL60" s="464" t="inlineStr">
        <is>
          <t>https://zfxxgk.ndrc.gov.cn/wap/iteminfo.jsp?id=20602</t>
        </is>
      </c>
      <c r="BM60" s="464" t="inlineStr"/>
    </row>
    <row r="61">
      <c r="A61" s="464" t="inlineStr">
        <is>
          <t>CHNADPCPMI01S004</t>
        </is>
      </c>
      <c r="B61" s="464" t="inlineStr">
        <is>
          <t>Subscheme</t>
        </is>
      </c>
      <c r="C61" s="464" t="inlineStr">
        <is>
          <t>Administered price</t>
        </is>
      </c>
      <c r="D61" s="464" t="inlineStr">
        <is>
          <t>Capacity pricing mechanism</t>
        </is>
      </c>
      <c r="E61" s="464" t="inlineStr">
        <is>
          <t>Energy</t>
        </is>
      </c>
      <c r="F61" s="464" t="inlineStr">
        <is>
          <t>Pumped hydro storage</t>
        </is>
      </c>
      <c r="G61" s="464" t="inlineStr">
        <is>
          <t>抽水蓄能容量电价</t>
        </is>
      </c>
      <c r="H61" s="464" t="inlineStr">
        <is>
          <t>Pumped hydro storage capacity pricing</t>
        </is>
      </c>
      <c r="I61" s="464" t="inlineStr">
        <is>
          <t>N/A</t>
        </is>
      </c>
      <c r="J61" s="464"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464" t="inlineStr">
        <is>
          <t>Energy security; Renewable energy development</t>
        </is>
      </c>
      <c r="L61" s="464" t="inlineStr">
        <is>
          <t>Indirect</t>
        </is>
      </c>
      <c r="M61" s="464" t="inlineStr">
        <is>
          <t>national</t>
        </is>
      </c>
      <c r="N61" s="464" t="inlineStr">
        <is>
          <t>N/A</t>
        </is>
      </c>
      <c r="O61" s="464" t="inlineStr">
        <is>
          <t>27/01/2026</t>
        </is>
      </c>
      <c r="P61" s="464" t="inlineStr">
        <is>
          <t>27/01/2026</t>
        </is>
      </c>
      <c r="Q61" s="464" t="inlineStr">
        <is>
          <t>N/A</t>
        </is>
      </c>
      <c r="R61" s="464" t="inlineStr">
        <is>
          <t>N/A</t>
        </is>
      </c>
      <c r="S61" s="464" t="inlineStr">
        <is>
          <t>N/A</t>
        </is>
      </c>
      <c r="T61" s="464">
        <f>IF(P61="","In force",IF(P61="N/A","In force",IF(TODAY()&lt;DATE(VALUE(RIGHT(P61,4)),VALUE(MID(P61,4,2)),VALUE(LEFT(P61,2))),"Scheduled",IF(Q61="","In force",IF(Q61="N/A","In force",IF(TODAY()&lt;DATE(VALUE(RIGHT(Q61,4)),VALUE(MID(Q61,4,2)),VALUE(LEFT(Q61,2))),"In force","Ended"))))))</f>
        <v/>
      </c>
      <c r="U61" s="464" t="inlineStr">
        <is>
          <t>National Development and Reform Commission; National Energy Administration</t>
        </is>
      </c>
      <c r="V61" s="464" t="inlineStr">
        <is>
          <t>Pumped hydro storage</t>
        </is>
      </c>
      <c r="W61" s="464" t="inlineStr">
        <is>
          <t>New; existing</t>
        </is>
      </c>
      <c r="X61" s="464" t="inlineStr">
        <is>
          <t>Compliant, in-operation pumped hydro storage stations</t>
        </is>
      </c>
      <c r="Y61" s="464" t="inlineStr">
        <is>
          <t>N/A</t>
        </is>
      </c>
      <c r="Z61" s="464" t="inlineStr">
        <is>
          <t>N/A</t>
        </is>
      </c>
      <c r="AA61" s="464" t="inlineStr">
        <is>
          <t>Firms</t>
        </is>
      </c>
      <c r="AB61" s="464" t="inlineStr">
        <is>
          <t>Pumped hydro storage station operators (primarily grid companies and power generation enterprises)</t>
        </is>
      </c>
      <c r="AC61" s="464" t="inlineStr">
        <is>
          <t>Energy storage</t>
        </is>
      </c>
      <c r="AD61" s="464" t="inlineStr">
        <is>
          <t>Pumped hydro storage stations provide available capacity and peak-shaving and valley-filling services</t>
        </is>
      </c>
      <c r="AE61" s="464" t="inlineStr">
        <is>
          <t>N/A</t>
        </is>
      </c>
      <c r="AF61" s="464" t="inlineStr">
        <is>
          <t>N/A</t>
        </is>
      </c>
      <c r="AG61" s="464"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H61" s="464" t="inlineStr">
        <is>
          <t>Pumped hydro storage stations must provide pumping and generation services per dispatch instructions; specific assessment and settlement rules are determined at the provincial level.</t>
        </is>
      </c>
      <c r="AI61" s="464" t="inlineStr">
        <is>
          <t>N/A</t>
        </is>
      </c>
      <c r="AJ61" s="464" t="inlineStr">
        <is>
          <t>N/A (determined at provincial level; no unified formula has been disclosed)</t>
        </is>
      </c>
      <c r="AK61" s="464" t="inlineStr">
        <is>
          <t>N/A</t>
        </is>
      </c>
      <c r="AL61" s="464" t="inlineStr">
        <is>
          <t>N/A</t>
        </is>
      </c>
      <c r="AM61" s="464" t="inlineStr">
        <is>
          <t>N/A</t>
        </is>
      </c>
      <c r="AN61" s="464" t="inlineStr">
        <is>
          <t>N/A</t>
        </is>
      </c>
      <c r="AO61" s="464" t="inlineStr">
        <is>
          <t>N/A</t>
        </is>
      </c>
      <c r="AP61" s="464" t="inlineStr">
        <is>
          <t>N/A</t>
        </is>
      </c>
      <c r="AQ61" s="464" t="inlineStr">
        <is>
          <t>N/A</t>
        </is>
      </c>
      <c r="AR61" s="464" t="inlineStr">
        <is>
          <t>N/A</t>
        </is>
      </c>
      <c r="AS61" s="464" t="inlineStr">
        <is>
          <t>N/A</t>
        </is>
      </c>
      <c r="AT61" s="464" t="inlineStr">
        <is>
          <t>N/A</t>
        </is>
      </c>
      <c r="AU61" s="464" t="inlineStr">
        <is>
          <t>N/A</t>
        </is>
      </c>
      <c r="AV61" s="464" t="inlineStr">
        <is>
          <t>N/A</t>
        </is>
      </c>
      <c r="AW61" s="464" t="inlineStr">
        <is>
          <t>N/A</t>
        </is>
      </c>
      <c r="AX61" s="464" t="inlineStr">
        <is>
          <t>N/A</t>
        </is>
      </c>
      <c r="AY61" s="464" t="inlineStr">
        <is>
          <t>N/A</t>
        </is>
      </c>
      <c r="AZ61" s="464" t="inlineStr">
        <is>
          <t>N/A</t>
        </is>
      </c>
      <c r="BA61" s="464" t="inlineStr">
        <is>
          <t>N/A</t>
        </is>
      </c>
      <c r="BB61" s="464" t="inlineStr">
        <is>
          <t>N/A</t>
        </is>
      </c>
      <c r="BC61" s="464" t="inlineStr">
        <is>
          <t>N/A</t>
        </is>
      </c>
      <c r="BD61" s="464" t="inlineStr">
        <is>
          <t>N/A</t>
        </is>
      </c>
      <c r="BE61" s="464" t="inlineStr">
        <is>
          <t>N/A</t>
        </is>
      </c>
      <c r="BF61" s="464" t="inlineStr">
        <is>
          <t>D35</t>
        </is>
      </c>
      <c r="BG61" s="464" t="inlineStr">
        <is>
          <t>CO2</t>
        </is>
      </c>
      <c r="BH61" s="464" t="inlineStr">
        <is>
          <t>positive</t>
        </is>
      </c>
      <c r="BI61" s="464" t="inlineStr">
        <is>
          <t>Pollution control</t>
        </is>
      </c>
      <c r="BJ61" s="464" t="inlineStr">
        <is>
          <t>NDRC and NEA Notice on Improving the Generation-Side Capacity Pricing Mechanism (Fa Gai Jia Ge [2026] No. 114)</t>
        </is>
      </c>
      <c r="BK61" s="464" t="inlineStr">
        <is>
          <t>https://www.gov.cn/zhengce/zhengceku/202601/content_7056676.htm</t>
        </is>
      </c>
      <c r="BL61" s="464" t="inlineStr">
        <is>
          <t>https://zfxxgk.ndrc.gov.cn/wap/iteminfo.jsp?id=20602</t>
        </is>
      </c>
      <c r="BM61" s="464" t="inlineStr"/>
    </row>
    <row r="62">
      <c r="A62" s="610" t="inlineStr">
        <is>
          <t>CHNADPRITI01S000</t>
        </is>
      </c>
      <c r="B62" s="610" t="inlineStr">
        <is>
          <t>Instrument</t>
        </is>
      </c>
      <c r="C62" s="610" t="inlineStr">
        <is>
          <t>Administered price</t>
        </is>
      </c>
      <c r="D62" s="610" t="inlineStr">
        <is>
          <t>Residential increasing-block tariff</t>
        </is>
      </c>
      <c r="E62" s="610" t="inlineStr">
        <is>
          <t>Buildings</t>
        </is>
      </c>
      <c r="F62" s="610" t="inlineStr">
        <is>
          <t>Residential electricity consumption</t>
        </is>
      </c>
      <c r="G62" s="610" t="inlineStr">
        <is>
          <t>居民生活用电阶梯电价</t>
        </is>
      </c>
      <c r="H62" s="610" t="inlineStr">
        <is>
          <t>Residential increasing-block electricity pricing</t>
        </is>
      </c>
      <c r="I62" s="610" t="inlineStr">
        <is>
          <t>N/A</t>
        </is>
      </c>
      <c r="J62" s="610"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610" t="inlineStr">
        <is>
          <t>Energy conservation; Pollution control</t>
        </is>
      </c>
      <c r="L62" s="610" t="inlineStr">
        <is>
          <t>Indirect</t>
        </is>
      </c>
      <c r="M62" s="610" t="inlineStr">
        <is>
          <t>national</t>
        </is>
      </c>
      <c r="N62" s="610" t="inlineStr">
        <is>
          <t>N/A</t>
        </is>
      </c>
      <c r="O62" s="610" t="inlineStr">
        <is>
          <t>29/11/2011</t>
        </is>
      </c>
      <c r="P62" s="610" t="inlineStr">
        <is>
          <t>01/07/2012</t>
        </is>
      </c>
      <c r="Q62" s="610" t="inlineStr">
        <is>
          <t>N/A</t>
        </is>
      </c>
      <c r="R62" s="610" t="inlineStr">
        <is>
          <t>N/A</t>
        </is>
      </c>
      <c r="S62" s="610" t="inlineStr">
        <is>
          <t>In December 2013, the NDRC issued the Notice on Improving the Residential Increasing-Block Pricing System (Fa Gai Jia Ge [2013] No. 2523), further refining the framework and requiring localities to adjust implementation details based on actual conditions.</t>
        </is>
      </c>
      <c r="T62" s="610">
        <f>IF(P62="","In force",IF(P62="N/A","In force",IF(TODAY()&lt;DATE(VALUE(RIGHT(P62,4)),VALUE(MID(P62,4,2)),VALUE(LEFT(P62,2))),"Scheduled",IF(Q62="","In force",IF(Q62="N/A","In force",IF(TODAY()&lt;DATE(VALUE(RIGHT(Q62,4)),VALUE(MID(Q62,4,2)),VALUE(LEFT(Q62,2))),"In force","Ended"))))))</f>
        <v/>
      </c>
      <c r="U62" s="610" t="inlineStr">
        <is>
          <t>National Development and Reform Commission; provincial pricing authorities</t>
        </is>
      </c>
      <c r="V62" s="610" t="inlineStr">
        <is>
          <t>Residential electricity consumption</t>
        </is>
      </c>
      <c r="W62" s="610" t="inlineStr">
        <is>
          <t>existing</t>
        </is>
      </c>
      <c r="X62" s="610"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Y62" s="610" t="inlineStr">
        <is>
          <t>N/A</t>
        </is>
      </c>
      <c r="Z62" s="610" t="inlineStr">
        <is>
          <t>Block thresholds: first block covers approximately 80% of households’ average monthly consumption; second block covers 80% to 95%; third block above 95%.</t>
        </is>
      </c>
      <c r="AA62" s="610" t="inlineStr">
        <is>
          <t>Households</t>
        </is>
      </c>
      <c r="AB62" s="610" t="inlineStr">
        <is>
          <t>Urban and rural households with one-household-one-meter connections. In principle, one residential unit with one property deed corresponds to one meter; where no property deed exists, the meter installed by the grid company is taken as the unit.</t>
        </is>
      </c>
      <c r="AC62" s="610" t="inlineStr">
        <is>
          <t>Electricity consumption</t>
        </is>
      </c>
      <c r="AD62" s="610" t="inlineStr">
        <is>
          <t>Daily residential electricity consumption by households, including but not limited to lighting, cooling, heating, cooking and appliance use.</t>
        </is>
      </c>
      <c r="AE62" s="610" t="inlineStr">
        <is>
          <t>0.05; 0.30</t>
        </is>
      </c>
      <c r="AF62" s="610" t="inlineStr">
        <is>
          <t>CNY/kWh</t>
        </is>
      </c>
      <c r="AG62" s="610"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H62" s="610"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I62" s="610" t="inlineStr">
        <is>
          <t>Grid companies calculate tier-based charges according to each household’s monthly cumulative consumption and the applicable block thresholds and tariff rates.</t>
        </is>
      </c>
      <c r="AJ62" s="610" t="inlineStr">
        <is>
          <t>Provincial pricing authorities determine block thresholds and base tariff rates according to local residential electricity consumption distributions and socio-economic development levels.</t>
        </is>
      </c>
      <c r="AK62" s="610" t="inlineStr">
        <is>
          <t>N/A</t>
        </is>
      </c>
      <c r="AL62" s="610" t="inlineStr">
        <is>
          <t>N/A</t>
        </is>
      </c>
      <c r="AM62" s="610" t="inlineStr">
        <is>
          <t>N/A</t>
        </is>
      </c>
      <c r="AN62" s="610" t="inlineStr">
        <is>
          <t>N/A</t>
        </is>
      </c>
      <c r="AO62" s="610" t="inlineStr">
        <is>
          <t>N/A</t>
        </is>
      </c>
      <c r="AP62" s="610" t="inlineStr">
        <is>
          <t>N/A</t>
        </is>
      </c>
      <c r="AQ62" s="610" t="inlineStr">
        <is>
          <t>N/A</t>
        </is>
      </c>
      <c r="AR62" s="610" t="inlineStr">
        <is>
          <t>N/A</t>
        </is>
      </c>
      <c r="AS62" s="610" t="inlineStr">
        <is>
          <t>N/A</t>
        </is>
      </c>
      <c r="AT62" s="610" t="inlineStr">
        <is>
          <t>N/A</t>
        </is>
      </c>
      <c r="AU62" s="610" t="inlineStr">
        <is>
          <t>N/A</t>
        </is>
      </c>
      <c r="AV62" s="610" t="inlineStr">
        <is>
          <t>N/A</t>
        </is>
      </c>
      <c r="AW62" s="610" t="inlineStr">
        <is>
          <t>N/A</t>
        </is>
      </c>
      <c r="AX62" s="610" t="inlineStr">
        <is>
          <t>N/A</t>
        </is>
      </c>
      <c r="AY62" s="610" t="inlineStr">
        <is>
          <t>N/A</t>
        </is>
      </c>
      <c r="AZ62" s="610" t="inlineStr">
        <is>
          <t>N/A</t>
        </is>
      </c>
      <c r="BA62" s="610" t="inlineStr">
        <is>
          <t>N/A</t>
        </is>
      </c>
      <c r="BB62" s="610" t="inlineStr">
        <is>
          <t>N/A</t>
        </is>
      </c>
      <c r="BC62" s="610" t="inlineStr">
        <is>
          <t>N/A</t>
        </is>
      </c>
      <c r="BD62" s="610" t="inlineStr">
        <is>
          <t>N/A</t>
        </is>
      </c>
      <c r="BE62" s="610" t="inlineStr">
        <is>
          <t>N/A</t>
        </is>
      </c>
      <c r="BF62" s="610" t="inlineStr">
        <is>
          <t>D35</t>
        </is>
      </c>
      <c r="BG62" s="610" t="inlineStr">
        <is>
          <t>CO2</t>
        </is>
      </c>
      <c r="BH62" s="610" t="inlineStr">
        <is>
          <t>positive</t>
        </is>
      </c>
      <c r="BI62" s="610" t="inlineStr">
        <is>
          <t>Pollution control</t>
        </is>
      </c>
      <c r="BJ62" s="610" t="inlineStr">
        <is>
          <t>NDRC Notice on Trial Implementation of Increasing-Block Electricity Pricing for Residential Electricity Consumption (Fa Gai Jia Ge [2011] No. 2617); NDRC Notice on Improving the Residential Increasing-Block Pricing System (Fa Gai Jia Ge [2013] No. 2523)</t>
        </is>
      </c>
      <c r="BK62" s="610" t="inlineStr">
        <is>
          <t>https://zfxxgk.ndrc.gov.cn/web/iteminfo.jsp?id=19692</t>
        </is>
      </c>
      <c r="BL62" s="610" t="inlineStr">
        <is>
          <t>https://www.gov.cn/gzdt/2011-12/01/content_2007657.htm</t>
        </is>
      </c>
      <c r="BM62" s="610" t="inlineStr"/>
    </row>
    <row r="63">
      <c r="A63" s="610" t="inlineStr">
        <is>
          <t>CHNADPIDPI01S000</t>
        </is>
      </c>
      <c r="B63" s="610" t="inlineStr">
        <is>
          <t>Instrument</t>
        </is>
      </c>
      <c r="C63" s="610" t="inlineStr">
        <is>
          <t>Administered price</t>
        </is>
      </c>
      <c r="D63" s="610" t="inlineStr">
        <is>
          <t>Industrial differentiated electricity pricing</t>
        </is>
      </c>
      <c r="E63" s="610" t="inlineStr">
        <is>
          <t>Industry</t>
        </is>
      </c>
      <c r="F63" s="610" t="inlineStr">
        <is>
          <t>Electrolytic aluminium; ferroalloy; calcium carbide; caustic soda; cement; steel; copper; zinc smelting</t>
        </is>
      </c>
      <c r="G63" s="610" t="inlineStr">
        <is>
          <t>高耗能行业差别电价制度</t>
        </is>
      </c>
      <c r="H63" s="610" t="inlineStr">
        <is>
          <t>Industrial differentiated electricity pricing</t>
        </is>
      </c>
      <c r="I63" s="610" t="inlineStr">
        <is>
          <t>N/A</t>
        </is>
      </c>
      <c r="J63" s="610"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610" t="inlineStr">
        <is>
          <t>Industrial development; Energy conservation</t>
        </is>
      </c>
      <c r="L63" s="610" t="inlineStr">
        <is>
          <t>Direct</t>
        </is>
      </c>
      <c r="M63" s="610" t="inlineStr">
        <is>
          <t>national</t>
        </is>
      </c>
      <c r="N63" s="610" t="inlineStr">
        <is>
          <t>N/A</t>
        </is>
      </c>
      <c r="O63" s="610" t="inlineStr">
        <is>
          <t>N/A</t>
        </is>
      </c>
      <c r="P63" s="610" t="inlineStr">
        <is>
          <t>01/06/2004</t>
        </is>
      </c>
      <c r="Q63" s="610" t="inlineStr">
        <is>
          <t>N/A</t>
        </is>
      </c>
      <c r="R63" s="610" t="inlineStr">
        <is>
          <t>29/05/2024</t>
        </is>
      </c>
      <c r="S63" s="610"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T63" s="610">
        <f>IF(P63="","In force",IF(P63="N/A","In force",IF(TODAY()&lt;DATE(VALUE(RIGHT(P63,4)),VALUE(MID(P63,4,2)),VALUE(LEFT(P63,2))),"Scheduled",IF(Q63="","In force",IF(Q63="N/A","In force",IF(TODAY()&lt;DATE(VALUE(RIGHT(Q63,4)),VALUE(MID(Q63,4,2)),VALUE(LEFT(Q63,2))),"In force","Ended"))))))</f>
        <v/>
      </c>
      <c r="U63" s="610" t="inlineStr">
        <is>
          <t>National Development and Reform Commission; provincial pricing authorities</t>
        </is>
      </c>
      <c r="V63" s="610" t="inlineStr">
        <is>
          <t>Industrial electricity consumption</t>
        </is>
      </c>
      <c r="W63" s="610" t="inlineStr">
        <is>
          <t>existing</t>
        </is>
      </c>
      <c r="X63" s="610"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Y63" s="610" t="inlineStr">
        <is>
          <t>N/A</t>
        </is>
      </c>
      <c r="Z63" s="610" t="inlineStr">
        <is>
          <t>Classification by enterprise type (encouraged/restricted/eliminated) per national industrial policy; different surcharge standards per category</t>
        </is>
      </c>
      <c r="AA63" s="610" t="inlineStr">
        <is>
          <t>Firms</t>
        </is>
      </c>
      <c r="AB63" s="610" t="inlineStr">
        <is>
          <t>Industrial enterprises belonging to the eight listed high-energy-consuming industries</t>
        </is>
      </c>
      <c r="AC63" s="610" t="inlineStr">
        <is>
          <t>Electricity consumption</t>
        </is>
      </c>
      <c r="AD63" s="610" t="inlineStr">
        <is>
          <t>Electricity consumed in the production and operating activities of high-energy-consuming industrial enterprises</t>
        </is>
      </c>
      <c r="AE63" s="610" t="inlineStr">
        <is>
          <t>0.10; 0.30</t>
        </is>
      </c>
      <c r="AF63" s="610" t="inlineStr">
        <is>
          <t>CNY/kWh</t>
        </is>
      </c>
      <c r="AG63" s="610"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H63" s="610"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I63" s="610" t="inlineStr">
        <is>
          <t>Provincial industry authorities classify enterprises into industrial policy categories based on national industrial policy and enterprise admission standards.</t>
        </is>
      </c>
      <c r="AJ63" s="610" t="inlineStr">
        <is>
          <t>Grid companies apply the corresponding tariff surcharges at the time of electricity billing according to the enterprise categories and surcharge standards published by pricing authorities.</t>
        </is>
      </c>
      <c r="AK63" s="610" t="inlineStr">
        <is>
          <t>N/A</t>
        </is>
      </c>
      <c r="AL63" s="610" t="inlineStr">
        <is>
          <t>N/A</t>
        </is>
      </c>
      <c r="AM63" s="610" t="inlineStr">
        <is>
          <t>N/A</t>
        </is>
      </c>
      <c r="AN63" s="610" t="inlineStr">
        <is>
          <t>N/A</t>
        </is>
      </c>
      <c r="AO63" s="610" t="inlineStr">
        <is>
          <t>N/A</t>
        </is>
      </c>
      <c r="AP63" s="610" t="inlineStr">
        <is>
          <t>N/A</t>
        </is>
      </c>
      <c r="AQ63" s="610" t="inlineStr">
        <is>
          <t>N/A</t>
        </is>
      </c>
      <c r="AR63" s="610" t="inlineStr">
        <is>
          <t>N/A</t>
        </is>
      </c>
      <c r="AS63" s="610" t="inlineStr">
        <is>
          <t>N/A</t>
        </is>
      </c>
      <c r="AT63" s="610" t="inlineStr">
        <is>
          <t>N/A</t>
        </is>
      </c>
      <c r="AU63" s="610" t="inlineStr">
        <is>
          <t>N/A</t>
        </is>
      </c>
      <c r="AV63" s="610" t="inlineStr">
        <is>
          <t>N/A</t>
        </is>
      </c>
      <c r="AW63" s="610" t="inlineStr">
        <is>
          <t>N/A</t>
        </is>
      </c>
      <c r="AX63" s="610" t="inlineStr">
        <is>
          <t>N/A</t>
        </is>
      </c>
      <c r="AY63" s="610" t="inlineStr">
        <is>
          <t>N/A</t>
        </is>
      </c>
      <c r="AZ63" s="610" t="inlineStr">
        <is>
          <t>N/A</t>
        </is>
      </c>
      <c r="BA63" s="610" t="inlineStr">
        <is>
          <t>N/A</t>
        </is>
      </c>
      <c r="BB63" s="610" t="inlineStr">
        <is>
          <t>N/A</t>
        </is>
      </c>
      <c r="BC63" s="610" t="inlineStr">
        <is>
          <t>N/A</t>
        </is>
      </c>
      <c r="BD63" s="610" t="inlineStr">
        <is>
          <t>N/A</t>
        </is>
      </c>
      <c r="BE63" s="610" t="inlineStr">
        <is>
          <t>N/A</t>
        </is>
      </c>
      <c r="BF63" s="610" t="inlineStr">
        <is>
          <t>C24; C23; D35</t>
        </is>
      </c>
      <c r="BG63" s="610" t="inlineStr">
        <is>
          <t>CO2</t>
        </is>
      </c>
      <c r="BH63" s="610" t="inlineStr">
        <is>
          <t>positive</t>
        </is>
      </c>
      <c r="BI63" s="610" t="inlineStr">
        <is>
          <t>Pollution control; Energy security</t>
        </is>
      </c>
      <c r="BJ63" s="610"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K63" s="610" t="inlineStr">
        <is>
          <t>https://zfxxgk.ndrc.gov.cn/web/iteminfo.jsp?id=19692</t>
        </is>
      </c>
      <c r="BL63" s="610" t="inlineStr">
        <is>
          <t>https://www.gov.cn/zhengce/zhengceku/202405/content_6951522.htm</t>
        </is>
      </c>
      <c r="BM63" s="610" t="inlineStr"/>
    </row>
  </sheetData>
  <mergeCells count="9">
    <mergeCell ref="G1:L1"/>
    <mergeCell ref="BJ1:BL1"/>
    <mergeCell ref="AK1:BC1"/>
    <mergeCell ref="V1:AJ1"/>
    <mergeCell ref="BF1:BI1"/>
    <mergeCell ref="BD1:BE1"/>
    <mergeCell ref="M1:U1"/>
    <mergeCell ref="C1:F1"/>
    <mergeCell ref="A1:B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AZ164"/>
  <sheetViews>
    <sheetView workbookViewId="0">
      <selection activeCell="A1" sqref="A1:BA2"/>
    </sheetView>
  </sheetViews>
  <sheetFormatPr baseColWidth="8" defaultRowHeight="13.9"/>
  <sheetData>
    <row r="1" ht="15.75" customHeight="1">
      <c r="A1" s="591" t="inlineStr">
        <is>
          <t>Identification</t>
        </is>
      </c>
      <c r="B1" s="93" t="n"/>
      <c r="C1" s="611" t="inlineStr">
        <is>
          <t>Instrument typology</t>
        </is>
      </c>
      <c r="D1" s="109" t="n"/>
      <c r="E1" s="109" t="n"/>
      <c r="F1" s="110" t="n"/>
      <c r="G1" s="612" t="inlineStr">
        <is>
          <t>Policy description</t>
        </is>
      </c>
      <c r="H1" s="228" t="n"/>
      <c r="I1" s="228" t="n"/>
      <c r="J1" s="228" t="n"/>
      <c r="K1" s="228" t="n"/>
      <c r="L1" s="228" t="n"/>
      <c r="M1" s="613" t="inlineStr">
        <is>
          <t>Administrative information</t>
        </is>
      </c>
      <c r="N1" s="228" t="n"/>
      <c r="O1" s="228" t="n"/>
      <c r="P1" s="228" t="n"/>
      <c r="Q1" s="228" t="n"/>
      <c r="R1" s="228" t="n"/>
      <c r="S1" s="228" t="n"/>
      <c r="T1" s="228" t="n"/>
      <c r="U1" s="228" t="n"/>
      <c r="V1" s="614" t="inlineStr">
        <is>
          <t>Policy regulatory base and intensity</t>
        </is>
      </c>
      <c r="W1" s="228" t="n"/>
      <c r="X1" s="228" t="n"/>
      <c r="Y1" s="228" t="n"/>
      <c r="Z1" s="228" t="n"/>
      <c r="AA1" s="228" t="n"/>
      <c r="AB1" s="228" t="n"/>
      <c r="AC1" s="228" t="n"/>
      <c r="AD1" s="228" t="n"/>
      <c r="AE1" s="228" t="n"/>
      <c r="AF1" s="228" t="n"/>
      <c r="AG1" s="228" t="n"/>
      <c r="AH1" s="228" t="n"/>
      <c r="AI1" s="228" t="n"/>
      <c r="AJ1" s="228" t="n"/>
      <c r="AK1" s="615" t="inlineStr">
        <is>
          <t>Instrument-specific attributes</t>
        </is>
      </c>
      <c r="AL1" s="228" t="n"/>
      <c r="AM1" s="228" t="n"/>
      <c r="AN1" s="228" t="n"/>
      <c r="AO1" s="228" t="n"/>
      <c r="AP1" s="228" t="n"/>
      <c r="AQ1" s="616" t="inlineStr">
        <is>
          <t>GHG emission base</t>
        </is>
      </c>
      <c r="AR1" s="229" t="n"/>
      <c r="AS1" s="617" t="inlineStr">
        <is>
          <t>Classification &amp; Indicators</t>
        </is>
      </c>
      <c r="AT1" s="228" t="n"/>
      <c r="AU1" s="228" t="n"/>
      <c r="AV1" s="228" t="n"/>
      <c r="AW1" s="618" t="inlineStr">
        <is>
          <t>References to legislation</t>
        </is>
      </c>
      <c r="AX1" s="228" t="n"/>
      <c r="AY1" s="228" t="n"/>
      <c r="AZ1" s="619" t="n"/>
    </row>
    <row r="2" ht="15.75" customHeight="1">
      <c r="A2" s="601" t="inlineStr">
        <is>
          <t>Policy Instrument ID</t>
        </is>
      </c>
      <c r="B2" s="601" t="inlineStr">
        <is>
          <t>Instrument / subscheme</t>
        </is>
      </c>
      <c r="C2" s="620" t="inlineStr">
        <is>
          <t>Group</t>
        </is>
      </c>
      <c r="D2" s="620" t="inlineStr">
        <is>
          <t>Approach</t>
        </is>
      </c>
      <c r="E2" s="620" t="inlineStr">
        <is>
          <t>Emission sector</t>
        </is>
      </c>
      <c r="F2" s="620" t="inlineStr">
        <is>
          <t>Sub-sector</t>
        </is>
      </c>
      <c r="G2" s="621" t="inlineStr">
        <is>
          <t>Domestic instrument name</t>
        </is>
      </c>
      <c r="H2" s="621" t="inlineStr">
        <is>
          <t>English instrument name</t>
        </is>
      </c>
      <c r="I2" s="621" t="inlineStr">
        <is>
          <t>Policy Package</t>
        </is>
      </c>
      <c r="J2" s="621" t="inlineStr">
        <is>
          <t>Description</t>
        </is>
      </c>
      <c r="K2" s="621" t="inlineStr">
        <is>
          <t>Objective</t>
        </is>
      </c>
      <c r="L2" s="621" t="inlineStr">
        <is>
          <t>Mitigation relevance</t>
        </is>
      </c>
      <c r="M2" s="622" t="inlineStr">
        <is>
          <t>Jurisdiction level</t>
        </is>
      </c>
      <c r="N2" s="622" t="inlineStr">
        <is>
          <t>Jurisdiction name</t>
        </is>
      </c>
      <c r="O2" s="622" t="inlineStr">
        <is>
          <t>Adoption date</t>
        </is>
      </c>
      <c r="P2" s="622" t="inlineStr">
        <is>
          <t>Start date</t>
        </is>
      </c>
      <c r="Q2" s="622" t="inlineStr">
        <is>
          <t>End date</t>
        </is>
      </c>
      <c r="R2" s="622" t="inlineStr">
        <is>
          <t>Last revisions</t>
        </is>
      </c>
      <c r="S2" s="622" t="inlineStr">
        <is>
          <t>Last revisions (Details)</t>
        </is>
      </c>
      <c r="T2" s="622" t="inlineStr">
        <is>
          <t>Status</t>
        </is>
      </c>
      <c r="U2" s="622" t="inlineStr">
        <is>
          <t>Administrating authorities</t>
        </is>
      </c>
      <c r="V2" s="623" t="inlineStr">
        <is>
          <t>Asset</t>
        </is>
      </c>
      <c r="W2" s="623" t="inlineStr">
        <is>
          <t>Asset (Status)</t>
        </is>
      </c>
      <c r="X2" s="623" t="inlineStr">
        <is>
          <t>Asset (Details)</t>
        </is>
      </c>
      <c r="Y2" s="623" t="inlineStr">
        <is>
          <t>Asset (Other)</t>
        </is>
      </c>
      <c r="Z2" s="623" t="inlineStr">
        <is>
          <t>Asset (Cut-off range)</t>
        </is>
      </c>
      <c r="AA2" s="623" t="inlineStr">
        <is>
          <t>Agent</t>
        </is>
      </c>
      <c r="AB2" s="623" t="inlineStr">
        <is>
          <t>Agent (Detail)</t>
        </is>
      </c>
      <c r="AC2" s="623" t="inlineStr">
        <is>
          <t>Activity</t>
        </is>
      </c>
      <c r="AD2" s="623" t="inlineStr">
        <is>
          <t>Activity (Details)</t>
        </is>
      </c>
      <c r="AE2" s="623" t="inlineStr">
        <is>
          <t>Intensity (Value)</t>
        </is>
      </c>
      <c r="AF2" s="623" t="inlineStr">
        <is>
          <t>Intensity (Unit)</t>
        </is>
      </c>
      <c r="AG2" s="623" t="inlineStr">
        <is>
          <t>Intensity (Details)</t>
        </is>
      </c>
      <c r="AH2" s="623" t="inlineStr">
        <is>
          <t>Requirement specification</t>
        </is>
      </c>
      <c r="AI2" s="623" t="inlineStr">
        <is>
          <t>Compliance calculation methodology I</t>
        </is>
      </c>
      <c r="AJ2" s="623" t="inlineStr">
        <is>
          <t>Compliance calculation methodology II</t>
        </is>
      </c>
      <c r="AK2" s="621" t="inlineStr">
        <is>
          <t>Compliance monitoring</t>
        </is>
      </c>
      <c r="AL2" s="621" t="inlineStr">
        <is>
          <t>Compliance monitoring details</t>
        </is>
      </c>
      <c r="AM2" s="621" t="inlineStr">
        <is>
          <t>Compliance enforcement</t>
        </is>
      </c>
      <c r="AN2" s="621" t="inlineStr">
        <is>
          <t>Compliance enforcement details</t>
        </is>
      </c>
      <c r="AO2" s="621" t="inlineStr">
        <is>
          <t>Compliance promotion</t>
        </is>
      </c>
      <c r="AP2" s="621" t="inlineStr">
        <is>
          <t>Compliance promotion detail</t>
        </is>
      </c>
      <c r="AQ2" s="624" t="inlineStr">
        <is>
          <t>GHG emission coverage (absolute)</t>
        </is>
      </c>
      <c r="AR2" s="624" t="inlineStr">
        <is>
          <t>GHG emission coverage (% domestic emissions)</t>
        </is>
      </c>
      <c r="AS2" s="625" t="inlineStr">
        <is>
          <t>Economic sector</t>
        </is>
      </c>
      <c r="AT2" s="625" t="inlineStr">
        <is>
          <t>GHGs affected</t>
        </is>
      </c>
      <c r="AU2" s="625" t="inlineStr">
        <is>
          <t>Mitigation effects</t>
        </is>
      </c>
      <c r="AV2" s="625" t="inlineStr">
        <is>
          <t>Mitigation co-benefits</t>
        </is>
      </c>
      <c r="AW2" s="626" t="inlineStr">
        <is>
          <t>Legal statute</t>
        </is>
      </c>
      <c r="AX2" s="626" t="inlineStr">
        <is>
          <t>Legal document</t>
        </is>
      </c>
      <c r="AY2" s="626" t="inlineStr">
        <is>
          <t>Other weblinks</t>
        </is>
      </c>
      <c r="AZ2" s="609" t="n"/>
    </row>
    <row r="3">
      <c r="A3" s="610" t="inlineStr">
        <is>
          <t>CHNTECBFHI01S000</t>
        </is>
      </c>
      <c r="B3" s="610" t="inlineStr">
        <is>
          <t>Instrument</t>
        </is>
      </c>
      <c r="C3" s="610" t="inlineStr">
        <is>
          <t>Technology standard</t>
        </is>
      </c>
      <c r="D3" s="610" t="inlineStr">
        <is>
          <t>Bans and phase-outs of fossil fuel heating systems</t>
        </is>
      </c>
      <c r="E3" s="610" t="inlineStr">
        <is>
          <t>Industry; Buildings</t>
        </is>
      </c>
      <c r="F3" s="610" t="inlineStr">
        <is>
          <t>Industrial heating; Building heating; District heating</t>
        </is>
      </c>
      <c r="G3" s="610" t="inlineStr">
        <is>
          <t>禁止新建和逐步淘汰燃煤锅炉</t>
        </is>
      </c>
      <c r="H3" s="610" t="inlineStr">
        <is>
          <t>Ban on New Coal-Fired Boilers and Phase-Out of Existing Units</t>
        </is>
      </c>
      <c r="I3" s="610" t="inlineStr">
        <is>
          <t>N/A</t>
        </is>
      </c>
      <c r="J3" s="610"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610" t="inlineStr">
        <is>
          <t>Climate change mitigation</t>
        </is>
      </c>
      <c r="L3" s="610" t="inlineStr">
        <is>
          <t>Direct</t>
        </is>
      </c>
      <c r="M3" s="610" t="inlineStr">
        <is>
          <t>national</t>
        </is>
      </c>
      <c r="N3" s="610" t="inlineStr">
        <is>
          <t>N/A</t>
        </is>
      </c>
      <c r="O3" s="610" t="inlineStr">
        <is>
          <t>29/08/2015</t>
        </is>
      </c>
      <c r="P3" s="610" t="inlineStr">
        <is>
          <t>01/01/2016</t>
        </is>
      </c>
      <c r="Q3" s="610" t="inlineStr">
        <is>
          <t>N/A</t>
        </is>
      </c>
      <c r="R3" s="610" t="inlineStr">
        <is>
          <t>29/11/2023</t>
        </is>
      </c>
      <c r="S3" s="610"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T3" s="610">
        <f>IF(P3="","In force",IF(P3="N/A","In force",IF(TODAY()&lt;DATE(VALUE(RIGHT(P3,4)),VALUE(MID(P3,4,2)),VALUE(LEFT(P3,2))),"Scheduled",IF(Q3="","In force",IF(Q3="N/A","In force",IF(TODAY()&lt;DATE(VALUE(RIGHT(Q3,4)),VALUE(MID(Q3,4,2)),VALUE(LEFT(Q3,2))),"In force","Ended"))))))</f>
        <v/>
      </c>
      <c r="U3" s="610" t="inlineStr">
        <is>
          <t>Ministry of Ecology and Environment; National Development and Reform Commission; State Administration for Market Regulation; National Energy Administration</t>
        </is>
      </c>
      <c r="V3" s="610" t="inlineStr">
        <is>
          <t>Coal-fired boilers</t>
        </is>
      </c>
      <c r="W3" s="610" t="inlineStr">
        <is>
          <t>new; existing</t>
        </is>
      </c>
      <c r="X3" s="610"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Y3" s="610" t="inlineStr">
        <is>
          <t>N/A</t>
        </is>
      </c>
      <c r="Z3" s="610" t="inlineStr">
        <is>
          <t>≤10 steam tons/hour; ≤35 steam tons/hour</t>
        </is>
      </c>
      <c r="AA3" s="610" t="inlineStr">
        <is>
          <t>Firms; Governments</t>
        </is>
      </c>
      <c r="AB3" s="610" t="inlineStr">
        <is>
          <t>Industrial enterprises and heating enterprises using coal-fired boilers; entities investing in new coal-fired boiler construction; and local governments responsible for implementing phase-out plans.</t>
        </is>
      </c>
      <c r="AC3" s="610" t="inlineStr">
        <is>
          <t>Production; Consumption (use, ownership or capital formation)</t>
        </is>
      </c>
      <c r="AD3" s="610"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E3" s="610" t="inlineStr">
        <is>
          <t>N/A</t>
        </is>
      </c>
      <c r="AF3" s="610" t="inlineStr">
        <is>
          <t>N/A</t>
        </is>
      </c>
      <c r="AG3" s="610" t="inlineStr">
        <is>
          <t>N/A</t>
        </is>
      </c>
      <c r="AH3" s="610"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I3" s="610" t="inlineStr">
        <is>
          <t>N/A</t>
        </is>
      </c>
      <c r="AJ3" s="610" t="inlineStr">
        <is>
          <t>N/A</t>
        </is>
      </c>
      <c r="AK3" s="610" t="inlineStr">
        <is>
          <t>Inspections or audits conducted by government authorities or third parties</t>
        </is>
      </c>
      <c r="AL3" s="610"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M3" s="610" t="inlineStr">
        <is>
          <t>Compliance order; Monetary penalties</t>
        </is>
      </c>
      <c r="AN3" s="610"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O3" s="610"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P3" s="610"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Q3" s="610" t="inlineStr">
        <is>
          <t>N/A</t>
        </is>
      </c>
      <c r="AR3" s="610" t="inlineStr">
        <is>
          <t>N/A</t>
        </is>
      </c>
      <c r="AS3" s="610" t="inlineStr">
        <is>
          <t>C25; D35; E36; E37; E38; E39</t>
        </is>
      </c>
      <c r="AT3" s="610" t="inlineStr">
        <is>
          <t>CO2</t>
        </is>
      </c>
      <c r="AU3" s="610" t="inlineStr">
        <is>
          <t>Positive</t>
        </is>
      </c>
      <c r="AV3" s="610" t="inlineStr">
        <is>
          <t>Pollution control; Energy conservation; Renewable energy development</t>
        </is>
      </c>
      <c r="AW3" s="610" t="inlineStr">
        <is>
          <t>Air Pollution Prevention and Control Law of the People's Republic of China (revised 29 August 2015, effective 1 January 2016); Action Plan for Green, Low-Carbon and High-Quality Development of Boilers (Fa Gai Huan Zi [2023] No. 1638)</t>
        </is>
      </c>
      <c r="AX3" s="610" t="inlineStr">
        <is>
          <t>https://www.mee.gov.cn/ywgz/fgbz/fl/201811/t20181113_673567.shtml</t>
        </is>
      </c>
      <c r="AY3" s="610" t="inlineStr">
        <is>
          <t>https://zfxxgk.ndrc.gov.cn/web/iteminfo.jsp?id=20297</t>
        </is>
      </c>
      <c r="AZ3" s="610" t="inlineStr"/>
    </row>
    <row r="4">
      <c r="A4" s="610" t="inlineStr">
        <is>
          <t>CHNTECBPPI01S000</t>
        </is>
      </c>
      <c r="B4" s="610" t="inlineStr">
        <is>
          <t>Instrument</t>
        </is>
      </c>
      <c r="C4" s="610" t="inlineStr">
        <is>
          <t>Technology standard</t>
        </is>
      </c>
      <c r="D4" s="610" t="inlineStr">
        <is>
          <t>Bans and phase-outs of plastic products</t>
        </is>
      </c>
      <c r="E4" s="610" t="inlineStr">
        <is>
          <t>Industry</t>
        </is>
      </c>
      <c r="F4" s="610" t="inlineStr">
        <is>
          <t>Plastic products manufacturing; Retail; Food service; Accommodation; Express delivery</t>
        </is>
      </c>
      <c r="G4" s="610" t="inlineStr">
        <is>
          <t>塑料制品禁限制</t>
        </is>
      </c>
      <c r="H4" s="610" t="inlineStr">
        <is>
          <t>Ban and Restrictions on Plastic Products</t>
        </is>
      </c>
      <c r="I4" s="610" t="inlineStr">
        <is>
          <t>N/A</t>
        </is>
      </c>
      <c r="J4" s="610"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610" t="inlineStr">
        <is>
          <t>Pollution control; Circular economy</t>
        </is>
      </c>
      <c r="L4" s="610" t="inlineStr">
        <is>
          <t>Indirect</t>
        </is>
      </c>
      <c r="M4" s="610" t="inlineStr">
        <is>
          <t>national</t>
        </is>
      </c>
      <c r="N4" s="610" t="inlineStr">
        <is>
          <t>N/A</t>
        </is>
      </c>
      <c r="O4" s="610" t="inlineStr">
        <is>
          <t>16/01/2020</t>
        </is>
      </c>
      <c r="P4" s="610" t="inlineStr">
        <is>
          <t>16/01/2020</t>
        </is>
      </c>
      <c r="Q4" s="610" t="inlineStr">
        <is>
          <t>N/A</t>
        </is>
      </c>
      <c r="R4" s="610" t="inlineStr">
        <is>
          <t>08/09/2021</t>
        </is>
      </c>
      <c r="S4" s="610"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T4" s="610">
        <f>IF(P4="","In force",IF(P4="N/A","In force",IF(TODAY()&lt;DATE(VALUE(RIGHT(P4,4)),VALUE(MID(P4,4,2)),VALUE(LEFT(P4,2))),"Scheduled",IF(Q4="","In force",IF(Q4="N/A","In force",IF(TODAY()&lt;DATE(VALUE(RIGHT(Q4,4)),VALUE(MID(Q4,4,2)),VALUE(LEFT(Q4,2))),"In force","Ended"))))))</f>
        <v/>
      </c>
      <c r="U4" s="610" t="inlineStr">
        <is>
          <t>National Development and Reform Commission; Ministry of Ecology and Environment; Ministry of Commerce; State Administration for Market Regulation; State Post Bureau; Ministry of Agriculture and Rural Affairs</t>
        </is>
      </c>
      <c r="V4" s="610" t="inlineStr">
        <is>
          <t>Plastic products subject to bans and restrictions</t>
        </is>
      </c>
      <c r="W4" s="610" t="inlineStr">
        <is>
          <t>existing</t>
        </is>
      </c>
      <c r="X4" s="610"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Y4" s="610" t="inlineStr">
        <is>
          <t>N/A</t>
        </is>
      </c>
      <c r="Z4" s="610" t="inlineStr">
        <is>
          <t>N/A</t>
        </is>
      </c>
      <c r="AA4" s="610" t="inlineStr">
        <is>
          <t>Firms</t>
        </is>
      </c>
      <c r="AB4" s="610" t="inlineStr">
        <is>
          <t>Plastic products manufacturers; retail enterprises; food service enterprises; hotels; express delivery enterprises; e-commerce platforms.</t>
        </is>
      </c>
      <c r="AC4" s="610" t="inlineStr">
        <is>
          <t>Production; Sales; Consumption</t>
        </is>
      </c>
      <c r="AD4" s="610"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E4" s="610" t="inlineStr">
        <is>
          <t>N/A</t>
        </is>
      </c>
      <c r="AF4" s="610" t="inlineStr">
        <is>
          <t>N/A</t>
        </is>
      </c>
      <c r="AG4" s="610" t="inlineStr">
        <is>
          <t>N/A</t>
        </is>
      </c>
      <c r="AH4" s="610"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I4" s="610" t="inlineStr">
        <is>
          <t>N/A</t>
        </is>
      </c>
      <c r="AJ4" s="610" t="inlineStr">
        <is>
          <t>N/A</t>
        </is>
      </c>
      <c r="AK4" s="610" t="inlineStr">
        <is>
          <t>Inspections or audits conducted by government authorities or third parties</t>
        </is>
      </c>
      <c r="AL4" s="610"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M4" s="610" t="inlineStr">
        <is>
          <t>Monetary penalties; Fines; Confiscation of illegal gains</t>
        </is>
      </c>
      <c r="AN4" s="610"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O4" s="610"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P4" s="610"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Q4" s="610" t="inlineStr">
        <is>
          <t>N/A</t>
        </is>
      </c>
      <c r="AR4" s="610" t="inlineStr">
        <is>
          <t>N/A</t>
        </is>
      </c>
      <c r="AS4" s="610" t="inlineStr">
        <is>
          <t>C20; C22; G47; I55; I56; H53</t>
        </is>
      </c>
      <c r="AT4" s="610" t="inlineStr">
        <is>
          <t>CO2</t>
        </is>
      </c>
      <c r="AU4" s="610" t="inlineStr">
        <is>
          <t>Positive</t>
        </is>
      </c>
      <c r="AV4" s="610" t="inlineStr">
        <is>
          <t>Pollution control; Resource conservation; Circular economy</t>
        </is>
      </c>
      <c r="AW4" s="610" t="inlineStr">
        <is>
          <t>Opinions on Further Strengthening Plastic Pollution Control (Fa Gai Huan Zi [2020] No. 80)</t>
        </is>
      </c>
      <c r="AX4" s="610" t="inlineStr">
        <is>
          <t>https://www.ndrc.gov.cn/xxgk/zcfb/tz/202001/t20200119_1219275_ext.html</t>
        </is>
      </c>
      <c r="AY4" s="610"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c r="AZ4" s="610" t="inlineStr"/>
    </row>
    <row r="5">
      <c r="A5" s="610" t="inlineStr">
        <is>
          <t>CHNTECFGAI01S000</t>
        </is>
      </c>
      <c r="B5" s="610" t="inlineStr">
        <is>
          <t>Instrument</t>
        </is>
      </c>
      <c r="C5" s="610" t="inlineStr">
        <is>
          <t>Technology standard</t>
        </is>
      </c>
      <c r="D5" s="610" t="inlineStr">
        <is>
          <t>Bans and phase-outs of fluorinated greenhouse gases (F-gases)</t>
        </is>
      </c>
      <c r="E5" s="610" t="inlineStr">
        <is>
          <t>Industry</t>
        </is>
      </c>
      <c r="F5" s="610" t="inlineStr">
        <is>
          <t>Refrigeration equipment manufacturing</t>
        </is>
      </c>
      <c r="G5" s="610" t="inlineStr">
        <is>
          <t>禁止生产以HFCs为制冷剂的电冰箱和冰柜</t>
        </is>
      </c>
      <c r="H5" s="610" t="inlineStr">
        <is>
          <t>Ban on Production of Household Refrigerators and Freezers Using HFCs as Refrigerants</t>
        </is>
      </c>
      <c r="I5" s="610" t="inlineStr">
        <is>
          <t>N/A</t>
        </is>
      </c>
      <c r="J5" s="610"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610" t="inlineStr">
        <is>
          <t>Climate change mitigation</t>
        </is>
      </c>
      <c r="L5" s="610" t="inlineStr">
        <is>
          <t>Direct</t>
        </is>
      </c>
      <c r="M5" s="610" t="inlineStr">
        <is>
          <t>national</t>
        </is>
      </c>
      <c r="N5" s="610" t="inlineStr">
        <is>
          <t>N/A</t>
        </is>
      </c>
      <c r="O5" s="610" t="inlineStr">
        <is>
          <t>15/11/2025</t>
        </is>
      </c>
      <c r="P5" s="610" t="inlineStr">
        <is>
          <t>01/01/2026</t>
        </is>
      </c>
      <c r="Q5" s="610" t="inlineStr">
        <is>
          <t>N/A</t>
        </is>
      </c>
      <c r="R5" s="610" t="inlineStr">
        <is>
          <t>N/A</t>
        </is>
      </c>
      <c r="S5" s="610" t="inlineStr">
        <is>
          <t>N/A</t>
        </is>
      </c>
      <c r="T5" s="610">
        <f>IF(P5="","In force",IF(P5="N/A","In force",IF(TODAY()&lt;DATE(VALUE(RIGHT(P5,4)),VALUE(MID(P5,4,2)),VALUE(LEFT(P5,2))),"Scheduled",IF(Q5="","In force",IF(Q5="N/A","In force",IF(TODAY()&lt;DATE(VALUE(RIGHT(Q5,4)),VALUE(MID(Q5,4,2)),VALUE(LEFT(Q5,2))),"In force","Ended"))))))</f>
        <v/>
      </c>
      <c r="U5" s="610" t="inlineStr">
        <is>
          <t>Ministry of Ecology and Environment; National Development and Reform Commission; Ministry of Industry and Information Technology; Ministry of Commerce; General Administration of Customs</t>
        </is>
      </c>
      <c r="V5" s="610" t="inlineStr">
        <is>
          <t>Household refrigerators and freezers using HFCs as refrigerants</t>
        </is>
      </c>
      <c r="W5" s="610" t="inlineStr">
        <is>
          <t>new</t>
        </is>
      </c>
      <c r="X5" s="610"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Y5" s="610" t="inlineStr">
        <is>
          <t>N/A</t>
        </is>
      </c>
      <c r="Z5" s="610" t="inlineStr">
        <is>
          <t>N/A</t>
        </is>
      </c>
      <c r="AA5" s="610" t="inlineStr">
        <is>
          <t>Firms</t>
        </is>
      </c>
      <c r="AB5" s="610" t="inlineStr">
        <is>
          <t>Manufacturers producing household refrigerators and freezers using HFCs as refrigerants within China.</t>
        </is>
      </c>
      <c r="AC5" s="610" t="inlineStr">
        <is>
          <t>Production</t>
        </is>
      </c>
      <c r="AD5" s="610"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E5" s="610" t="inlineStr">
        <is>
          <t>N/A</t>
        </is>
      </c>
      <c r="AF5" s="610" t="inlineStr">
        <is>
          <t>N/A</t>
        </is>
      </c>
      <c r="AG5" s="610" t="inlineStr">
        <is>
          <t>N/A</t>
        </is>
      </c>
      <c r="AH5" s="610"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I5" s="610" t="inlineStr">
        <is>
          <t>N/A</t>
        </is>
      </c>
      <c r="AJ5" s="610" t="inlineStr">
        <is>
          <t>N/A</t>
        </is>
      </c>
      <c r="AK5" s="610" t="inlineStr">
        <is>
          <t>Inspections or audits conducted by government authorities or third parties</t>
        </is>
      </c>
      <c r="AL5" s="610"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M5" s="610" t="inlineStr">
        <is>
          <t>Compliance order; Monetary penalties</t>
        </is>
      </c>
      <c r="AN5" s="610"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O5" s="610" t="inlineStr">
        <is>
          <t>Encourage enterprises to increase R&amp;D and promotion of environmentally friendly refrigerants (such as R600a, R290); guide export-oriented enterprises to align with international market HFC control requirements and promote product upgrading.</t>
        </is>
      </c>
      <c r="AP5" s="610" t="inlineStr">
        <is>
          <t>Encourage enterprises to increase R&amp;D and promotion of environmentally friendly refrigerants (such as R600a, R290); guide export-oriented enterprises to align with international market HFC control requirements and promote product upgrading.</t>
        </is>
      </c>
      <c r="AQ5" s="610" t="inlineStr">
        <is>
          <t>N/A</t>
        </is>
      </c>
      <c r="AR5" s="610" t="inlineStr">
        <is>
          <t>N/A</t>
        </is>
      </c>
      <c r="AS5" s="610" t="inlineStr">
        <is>
          <t>C27</t>
        </is>
      </c>
      <c r="AT5" s="610" t="inlineStr">
        <is>
          <t>HFCs</t>
        </is>
      </c>
      <c r="AU5" s="610" t="inlineStr">
        <is>
          <t>Positive</t>
        </is>
      </c>
      <c r="AV5" s="610" t="inlineStr">
        <is>
          <t>Industrial development; Technological innovation</t>
        </is>
      </c>
      <c r="AW5" s="610" t="inlineStr">
        <is>
          <t>Announcement on Prohibiting the Production of Household Refrigerators and Freezers Using Hydrofluorocarbons (HFCs) as Refrigerants (Ministry of Ecology and Environment Announcement 2025 No. 27)</t>
        </is>
      </c>
      <c r="AX5" s="610" t="inlineStr">
        <is>
          <t>https://www.mee.gov.cn/xxgk2018/xxgk/xxgk01/202511/t20251124_1134724.html</t>
        </is>
      </c>
      <c r="AY5" s="610" t="inlineStr">
        <is>
          <t>https://www.mee.gov.cn/ywdt/zbft/202511/t20251120_1134527.shtml</t>
        </is>
      </c>
      <c r="AZ5" s="610" t="inlineStr"/>
    </row>
    <row r="6">
      <c r="A6" s="610" t="inlineStr">
        <is>
          <t>CHNTECODSI01S000</t>
        </is>
      </c>
      <c r="B6" s="610" t="inlineStr">
        <is>
          <t>Instrument</t>
        </is>
      </c>
      <c r="C6" s="610" t="inlineStr">
        <is>
          <t>Technology standard</t>
        </is>
      </c>
      <c r="D6" s="610" t="inlineStr">
        <is>
          <t>Bans and phase-outs of ozone-depleting substances</t>
        </is>
      </c>
      <c r="E6" s="610" t="inlineStr">
        <is>
          <t>Industry</t>
        </is>
      </c>
      <c r="F6" s="610" t="inlineStr">
        <is>
          <t>Chemical manufacturing; Refrigeration and air conditioning; Foam plastics; Fire protection; Solvents</t>
        </is>
      </c>
      <c r="G6" s="610" t="inlineStr">
        <is>
          <t>消耗臭氧层物质管理条例</t>
        </is>
      </c>
      <c r="H6" s="610" t="inlineStr">
        <is>
          <t>Regulation on the Administration of Ozone-Depleting Substances</t>
        </is>
      </c>
      <c r="I6" s="610" t="inlineStr">
        <is>
          <t>N/A</t>
        </is>
      </c>
      <c r="J6" s="610"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610" t="inlineStr">
        <is>
          <t>Ozone layer protection</t>
        </is>
      </c>
      <c r="L6" s="610" t="inlineStr">
        <is>
          <t>Indirect</t>
        </is>
      </c>
      <c r="M6" s="610" t="inlineStr">
        <is>
          <t>national</t>
        </is>
      </c>
      <c r="N6" s="610" t="inlineStr">
        <is>
          <t>N/A</t>
        </is>
      </c>
      <c r="O6" s="610" t="inlineStr">
        <is>
          <t>08/04/2010</t>
        </is>
      </c>
      <c r="P6" s="610" t="inlineStr">
        <is>
          <t>01/06/2010</t>
        </is>
      </c>
      <c r="Q6" s="610" t="inlineStr">
        <is>
          <t>N/A</t>
        </is>
      </c>
      <c r="R6" s="610" t="inlineStr">
        <is>
          <t>29/12/2023</t>
        </is>
      </c>
      <c r="S6" s="610"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T6" s="610">
        <f>IF(P6="","In force",IF(P6="N/A","In force",IF(TODAY()&lt;DATE(VALUE(RIGHT(P6,4)),VALUE(MID(P6,4,2)),VALUE(LEFT(P6,2))),"Scheduled",IF(Q6="","In force",IF(Q6="N/A","In force",IF(TODAY()&lt;DATE(VALUE(RIGHT(Q6,4)),VALUE(MID(Q6,4,2)),VALUE(LEFT(Q6,2))),"In force","Ended"))))))</f>
        <v/>
      </c>
      <c r="U6" s="610" t="inlineStr">
        <is>
          <t>Ministry of Ecology and Environment; National Development and Reform Commission; Ministry of Industry and Information Technology; Ministry of Commerce; General Administration of Customs</t>
        </is>
      </c>
      <c r="V6" s="610" t="inlineStr">
        <is>
          <t>Ozone-depleting substances (ODS) and hydrofluorocarbons (HFCs)</t>
        </is>
      </c>
      <c r="W6" s="610" t="inlineStr">
        <is>
          <t>new; existing</t>
        </is>
      </c>
      <c r="X6" s="610"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Y6" s="610" t="inlineStr">
        <is>
          <t>N/A</t>
        </is>
      </c>
      <c r="Z6" s="610" t="inlineStr">
        <is>
          <t>N/A</t>
        </is>
      </c>
      <c r="AA6" s="610" t="inlineStr">
        <is>
          <t>Firms</t>
        </is>
      </c>
      <c r="AB6" s="610" t="inlineStr">
        <is>
          <t>Entities engaged in the production, sale, use, import and export of ozone-depleting substances (including HFCs), as well as entities that incidentally generate ODS during production processes.</t>
        </is>
      </c>
      <c r="AC6" s="610" t="inlineStr">
        <is>
          <t>Production; Sales; Import/Export; Consumption (use, ownership or capital formation)</t>
        </is>
      </c>
      <c r="AD6" s="610"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E6" s="610" t="inlineStr">
        <is>
          <t>N/A</t>
        </is>
      </c>
      <c r="AF6" s="610" t="inlineStr">
        <is>
          <t>N/A</t>
        </is>
      </c>
      <c r="AG6" s="610" t="inlineStr">
        <is>
          <t>N/A</t>
        </is>
      </c>
      <c r="AH6" s="610"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I6" s="610" t="inlineStr">
        <is>
          <t>N/A</t>
        </is>
      </c>
      <c r="AJ6" s="610" t="inlineStr">
        <is>
          <t>N/A</t>
        </is>
      </c>
      <c r="AK6" s="610" t="inlineStr">
        <is>
          <t>Inspections or audits conducted by government authorities or third parties</t>
        </is>
      </c>
      <c r="AL6" s="610"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M6" s="610" t="inlineStr">
        <is>
          <t>Compliance order; Monetary penalties</t>
        </is>
      </c>
      <c r="AN6" s="610"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O6" s="610"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P6" s="610"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Q6" s="610" t="inlineStr">
        <is>
          <t>N/A</t>
        </is>
      </c>
      <c r="AR6" s="610" t="inlineStr">
        <is>
          <t>N/A</t>
        </is>
      </c>
      <c r="AS6" s="610" t="inlineStr">
        <is>
          <t>C20; C26; C29</t>
        </is>
      </c>
      <c r="AT6" s="610" t="inlineStr">
        <is>
          <t>HFCs</t>
        </is>
      </c>
      <c r="AU6" s="610" t="inlineStr">
        <is>
          <t>Positive</t>
        </is>
      </c>
      <c r="AV6" s="610" t="inlineStr">
        <is>
          <t>Pollution control; Industrial development; Technological innovation</t>
        </is>
      </c>
      <c r="AW6" s="610" t="inlineStr">
        <is>
          <t>Regulation on the Administration of Ozone-Depleting Substances (State Council Decree No. 573, adopted 8 April 2010; revised 19 March 2018; second revision by State Council Decree No. 770, effective 1 March 2024)</t>
        </is>
      </c>
      <c r="AX6" s="610" t="inlineStr">
        <is>
          <t>https://www.gov.cn/zhengce/content/202401/content_6924477.htm</t>
        </is>
      </c>
      <c r="AY6" s="610" t="inlineStr">
        <is>
          <t>N/A</t>
        </is>
      </c>
      <c r="AZ6" s="610" t="inlineStr"/>
    </row>
    <row r="7">
      <c r="A7" s="610" t="inlineStr">
        <is>
          <t>CHNTECMEMI01S000</t>
        </is>
      </c>
      <c r="B7" s="610" t="inlineStr">
        <is>
          <t>Instrument</t>
        </is>
      </c>
      <c r="C7" s="610" t="inlineStr">
        <is>
          <t>Technology standard</t>
        </is>
      </c>
      <c r="D7" s="610" t="inlineStr">
        <is>
          <t>Minimum Energy Performance Standards (MEPS) for electric motors</t>
        </is>
      </c>
      <c r="E7" s="610" t="inlineStr">
        <is>
          <t>Industry</t>
        </is>
      </c>
      <c r="F7" s="610" t="inlineStr">
        <is>
          <t>Electric motor manufacturing; General equipment manufacturing</t>
        </is>
      </c>
      <c r="G7" s="610" t="inlineStr">
        <is>
          <t>电动机能效限定值及能效等级</t>
        </is>
      </c>
      <c r="H7" s="610" t="inlineStr">
        <is>
          <t>Minimum Allowable Values of Energy Efficiency and Energy Efficiency Grades for Electric Motors</t>
        </is>
      </c>
      <c r="I7" s="610" t="inlineStr">
        <is>
          <t>N/A</t>
        </is>
      </c>
      <c r="J7" s="610"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610" t="inlineStr">
        <is>
          <t>Energy efficiency</t>
        </is>
      </c>
      <c r="L7" s="610" t="inlineStr">
        <is>
          <t>Direct</t>
        </is>
      </c>
      <c r="M7" s="610" t="inlineStr">
        <is>
          <t>national</t>
        </is>
      </c>
      <c r="N7" s="610" t="inlineStr">
        <is>
          <t>N/A</t>
        </is>
      </c>
      <c r="O7" s="610" t="inlineStr">
        <is>
          <t>10/01/2002</t>
        </is>
      </c>
      <c r="P7" s="610" t="inlineStr">
        <is>
          <t>01/08/2002</t>
        </is>
      </c>
      <c r="Q7" s="610" t="inlineStr">
        <is>
          <t>N/A</t>
        </is>
      </c>
      <c r="R7" s="610" t="inlineStr">
        <is>
          <t>29/05/2020</t>
        </is>
      </c>
      <c r="S7" s="610"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T7" s="610">
        <f>IF(P7="","In force",IF(P7="N/A","In force",IF(TODAY()&lt;DATE(VALUE(RIGHT(P7,4)),VALUE(MID(P7,4,2)),VALUE(LEFT(P7,2))),"Scheduled",IF(Q7="","In force",IF(Q7="N/A","In force",IF(TODAY()&lt;DATE(VALUE(RIGHT(Q7,4)),VALUE(MID(Q7,4,2)),VALUE(LEFT(Q7,2))),"In force","Ended"))))))</f>
        <v/>
      </c>
      <c r="U7" s="610" t="inlineStr">
        <is>
          <t>State Administration for Market Regulation; Standardization Administration of China</t>
        </is>
      </c>
      <c r="V7" s="610" t="inlineStr">
        <is>
          <t>Electric motors</t>
        </is>
      </c>
      <c r="W7" s="610" t="inlineStr">
        <is>
          <t>new</t>
        </is>
      </c>
      <c r="X7" s="610" t="inlineStr">
        <is>
          <t>Three-phase asynchronous motors (0.75 kW–375 kW, 2/4/6 pole), single-phase asynchronous motors (0.12 kW–3.7 kW, 2/4 pole), air conditioner fan motors (output 0.03 kW–3.7 kW). Covers the majority of general-purpose industrial drive motors.</t>
        </is>
      </c>
      <c r="Y7" s="610" t="inlineStr">
        <is>
          <t>N/A</t>
        </is>
      </c>
      <c r="Z7" s="610" t="inlineStr">
        <is>
          <t>N/A</t>
        </is>
      </c>
      <c r="AA7" s="610" t="inlineStr">
        <is>
          <t>Firms</t>
        </is>
      </c>
      <c r="AB7" s="610" t="inlineStr">
        <is>
          <t>Manufacturers and importers producing, importing or selling electric motors within China.</t>
        </is>
      </c>
      <c r="AC7" s="610" t="inlineStr">
        <is>
          <t>Production; Sales; Import</t>
        </is>
      </c>
      <c r="AD7" s="610" t="inlineStr">
        <is>
          <t>Production, import and sale of electric motors. Products must meet the minimum energy efficiency values specified in the standard before being placed on the market.</t>
        </is>
      </c>
      <c r="AE7" s="610" t="inlineStr">
        <is>
          <t>Grade 3</t>
        </is>
      </c>
      <c r="AF7" s="610" t="inlineStr">
        <is>
          <t>Energy efficiency grade</t>
        </is>
      </c>
      <c r="AG7" s="610" t="inlineStr">
        <is>
          <t>Electric motors must achieve at least Grade 3 (IE3) minimum energy efficiency to enter the market; Grades 1 and 2 are voluntary higher efficiency levels</t>
        </is>
      </c>
      <c r="AH7" s="610"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I7" s="610" t="inlineStr">
        <is>
          <t>N/A</t>
        </is>
      </c>
      <c r="AJ7" s="610" t="inlineStr">
        <is>
          <t>N/A</t>
        </is>
      </c>
      <c r="AK7" s="610" t="inlineStr">
        <is>
          <t>Inspections or audits conducted by government authorities or third parties</t>
        </is>
      </c>
      <c r="AL7" s="610"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M7" s="610" t="inlineStr">
        <is>
          <t>Compliance order; Monetary penalties</t>
        </is>
      </c>
      <c r="AN7" s="610"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O7" s="610" t="inlineStr">
        <is>
          <t>The state encourages production and use of Grade 1 and Grade 2 high-efficiency motors; promotes the high-efficiency motor market through energy-saving product certification and green public procurement.</t>
        </is>
      </c>
      <c r="AP7" s="610" t="inlineStr">
        <is>
          <t>The state encourages production and use of Grade 1 and Grade 2 high-efficiency motors; promotes the high-efficiency motor market through energy-saving product certification and green public procurement.</t>
        </is>
      </c>
      <c r="AQ7"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7" s="610" t="inlineStr">
        <is>
          <t>~35% of industrial CO₂ emissions (Source: ibid.; share of motor system CO₂ in industrial sector emissions; combined value for the three motor MEPS standards)</t>
        </is>
      </c>
      <c r="AS7" s="610" t="inlineStr">
        <is>
          <t>C27; C28</t>
        </is>
      </c>
      <c r="AT7" s="610" t="inlineStr">
        <is>
          <t>CO2</t>
        </is>
      </c>
      <c r="AU7" s="610" t="inlineStr">
        <is>
          <t>Positive</t>
        </is>
      </c>
      <c r="AV7" s="610" t="inlineStr">
        <is>
          <t>Energy conservation; Industrial development</t>
        </is>
      </c>
      <c r="AW7" s="610" t="inlineStr">
        <is>
          <t>GB 18613-2020 Minimum Allowable Values of Energy Efficiency and Energy Efficiency Grades for Electric Motors</t>
        </is>
      </c>
      <c r="AX7" s="610" t="inlineStr">
        <is>
          <t>https://openstd.samr.gov.cn/bzgk/std/newGbInfo?hcno=42E6A7FD8C7E4BD896221D92ABA1709B</t>
        </is>
      </c>
      <c r="AY7" s="610" t="inlineStr">
        <is>
          <t>https://openstd.samr.gov.cn/bzgk/std/newGbInfo?hcno=787D750F63BE1E92FB45A618082D1326</t>
        </is>
      </c>
      <c r="AZ7" s="610" t="inlineStr"/>
    </row>
    <row r="8">
      <c r="A8" s="610" t="inlineStr">
        <is>
          <t>CHNTECMEMI02S000</t>
        </is>
      </c>
      <c r="B8" s="610" t="inlineStr">
        <is>
          <t>Instrument</t>
        </is>
      </c>
      <c r="C8" s="610" t="inlineStr">
        <is>
          <t>Technology standard</t>
        </is>
      </c>
      <c r="D8" s="610" t="inlineStr">
        <is>
          <t>Minimum Energy Performance Standards (MEPS) for electric motors</t>
        </is>
      </c>
      <c r="E8" s="610" t="inlineStr">
        <is>
          <t>Industry</t>
        </is>
      </c>
      <c r="F8" s="610" t="inlineStr">
        <is>
          <t>Electric motor manufacturing; General equipment manufacturing</t>
        </is>
      </c>
      <c r="G8" s="610" t="inlineStr">
        <is>
          <t>永磁同步电动机能效限定值及能效等级</t>
        </is>
      </c>
      <c r="H8" s="610" t="inlineStr">
        <is>
          <t>Minimum Allowable Values of Energy Efficiency and Energy Efficiency Grades for Permanent Magnet Synchronous Motors</t>
        </is>
      </c>
      <c r="I8" s="610" t="inlineStr">
        <is>
          <t>N/A</t>
        </is>
      </c>
      <c r="J8" s="610"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610" t="inlineStr">
        <is>
          <t>Energy efficiency</t>
        </is>
      </c>
      <c r="L8" s="610" t="inlineStr">
        <is>
          <t>Direct</t>
        </is>
      </c>
      <c r="M8" s="610" t="inlineStr">
        <is>
          <t>national</t>
        </is>
      </c>
      <c r="N8" s="610" t="inlineStr">
        <is>
          <t>N/A</t>
        </is>
      </c>
      <c r="O8" s="610" t="inlineStr">
        <is>
          <t>18/12/2013</t>
        </is>
      </c>
      <c r="P8" s="610" t="inlineStr">
        <is>
          <t>01/09/2014</t>
        </is>
      </c>
      <c r="Q8" s="610" t="inlineStr">
        <is>
          <t>N/A</t>
        </is>
      </c>
      <c r="R8" s="610" t="inlineStr">
        <is>
          <t>29/09/2024</t>
        </is>
      </c>
      <c r="S8" s="610"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T8" s="610">
        <f>IF(P8="","In force",IF(P8="N/A","In force",IF(TODAY()&lt;DATE(VALUE(RIGHT(P8,4)),VALUE(MID(P8,4,2)),VALUE(LEFT(P8,2))),"Scheduled",IF(Q8="","In force",IF(Q8="N/A","In force",IF(TODAY()&lt;DATE(VALUE(RIGHT(Q8,4)),VALUE(MID(Q8,4,2)),VALUE(LEFT(Q8,2))),"In force","Ended"))))))</f>
        <v/>
      </c>
      <c r="U8" s="610" t="inlineStr">
        <is>
          <t>State Administration for Market Regulation; Standardization Administration of China</t>
        </is>
      </c>
      <c r="V8" s="610" t="inlineStr">
        <is>
          <t>Permanent magnet synchronous motors</t>
        </is>
      </c>
      <c r="W8" s="610" t="inlineStr">
        <is>
          <t>new</t>
        </is>
      </c>
      <c r="X8" s="610" t="inlineStr">
        <is>
          <t>Line-start three-phase permanent magnet synchronous motors (0.55 kW–1,000 kW, at or below 1,140 V), including motors for lifts and variable-frequency drives. The 2024 edition extends the power range and adds coverage of high-voltage models.</t>
        </is>
      </c>
      <c r="Y8" s="610" t="inlineStr">
        <is>
          <t>N/A</t>
        </is>
      </c>
      <c r="Z8" s="610" t="inlineStr">
        <is>
          <t>N/A</t>
        </is>
      </c>
      <c r="AA8" s="610" t="inlineStr">
        <is>
          <t>Firms</t>
        </is>
      </c>
      <c r="AB8" s="610" t="inlineStr">
        <is>
          <t>Manufacturers and importers producing, importing or selling permanent magnet synchronous motors within China.</t>
        </is>
      </c>
      <c r="AC8" s="610" t="inlineStr">
        <is>
          <t>Production; Sales; Import</t>
        </is>
      </c>
      <c r="AD8" s="610" t="inlineStr">
        <is>
          <t>Production, import and sale of permanent magnet synchronous motors. Products must meet the minimum energy efficiency values specified in the standard before being placed on the market.</t>
        </is>
      </c>
      <c r="AE8" s="610" t="inlineStr">
        <is>
          <t>Grade 3</t>
        </is>
      </c>
      <c r="AF8" s="610" t="inlineStr">
        <is>
          <t>Energy efficiency grade</t>
        </is>
      </c>
      <c r="AG8" s="610" t="inlineStr">
        <is>
          <t>Permanent magnet synchronous motors must achieve at least Grade 3 minimum energy efficiency to enter the market; Grades 1 and 2 are voluntary higher efficiency levels</t>
        </is>
      </c>
      <c r="AH8" s="610"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I8" s="610" t="inlineStr">
        <is>
          <t>N/A</t>
        </is>
      </c>
      <c r="AJ8" s="610" t="inlineStr">
        <is>
          <t>N/A</t>
        </is>
      </c>
      <c r="AK8" s="610" t="inlineStr">
        <is>
          <t>Inspections or audits conducted by government authorities or third parties</t>
        </is>
      </c>
      <c r="AL8" s="610" t="inlineStr">
        <is>
          <t>Market regulatory authorities conduct energy efficiency label supervision inspections and product quality spot checks on permanent magnet synchronous motor products.</t>
        </is>
      </c>
      <c r="AM8" s="610" t="inlineStr">
        <is>
          <t>Compliance order; Monetary penalties</t>
        </is>
      </c>
      <c r="AN8" s="610"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O8" s="610" t="inlineStr">
        <is>
          <t>The state encourages production and use of Grade 1 and Grade 2 high-efficiency permanent magnet synchronous motors through energy-saving product certification and green public procurement.</t>
        </is>
      </c>
      <c r="AP8" s="610" t="inlineStr">
        <is>
          <t>The state encourages production and use of Grade 1 and Grade 2 high-efficiency permanent magnet synchronous motors through energy-saving product certification and green public procurement.</t>
        </is>
      </c>
      <c r="AQ8"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8" s="610" t="inlineStr">
        <is>
          <t>~35% of industrial CO₂ emissions (Source: ibid.; share of motor system CO₂ in industrial sector emissions; combined value for the three motor MEPS standards)</t>
        </is>
      </c>
      <c r="AS8" s="610" t="inlineStr">
        <is>
          <t>C27; C28</t>
        </is>
      </c>
      <c r="AT8" s="610" t="inlineStr">
        <is>
          <t>CO2</t>
        </is>
      </c>
      <c r="AU8" s="610" t="inlineStr">
        <is>
          <t>Positive</t>
        </is>
      </c>
      <c r="AV8" s="610" t="inlineStr">
        <is>
          <t>Energy conservation; Industrial development</t>
        </is>
      </c>
      <c r="AW8" s="610" t="inlineStr">
        <is>
          <t>GB 30253-2024 Minimum Allowable Values of Energy Efficiency and Energy Efficiency Grades for Permanent Magnet Synchronous Motors</t>
        </is>
      </c>
      <c r="AX8" s="610" t="inlineStr">
        <is>
          <t>https://openstd.samr.gov.cn/bzgk/std/newGbInfo?hcno=F87545B23AF9D0EE22F9CDA964203177</t>
        </is>
      </c>
      <c r="AY8" s="610" t="inlineStr">
        <is>
          <t>https://openstd.samr.gov.cn/bzgk/std/newGbInfo?hcno=09DFEC51BC2235CAC5AD05B4B2B321F2</t>
        </is>
      </c>
      <c r="AZ8" s="610" t="inlineStr"/>
    </row>
    <row r="9">
      <c r="A9" s="610" t="inlineStr">
        <is>
          <t>CHNTECMEMI03S000</t>
        </is>
      </c>
      <c r="B9" s="610" t="inlineStr">
        <is>
          <t>Instrument</t>
        </is>
      </c>
      <c r="C9" s="610" t="inlineStr">
        <is>
          <t>Technology standard</t>
        </is>
      </c>
      <c r="D9" s="610" t="inlineStr">
        <is>
          <t>Minimum Energy Performance Standards (MEPS) for electric motors</t>
        </is>
      </c>
      <c r="E9" s="610" t="inlineStr">
        <is>
          <t>Industry</t>
        </is>
      </c>
      <c r="F9" s="610" t="inlineStr">
        <is>
          <t>Electric motor manufacturing; General equipment manufacturing</t>
        </is>
      </c>
      <c r="G9" s="610" t="inlineStr">
        <is>
          <t>高压三相笼型异步电动机能效限定值及能效等级</t>
        </is>
      </c>
      <c r="H9" s="610" t="inlineStr">
        <is>
          <t>Minimum Allowable Values of Energy Efficiency and Energy Efficiency Grades for High-Voltage Three-Phase Cage Asynchronous Motors</t>
        </is>
      </c>
      <c r="I9" s="610" t="inlineStr">
        <is>
          <t>N/A</t>
        </is>
      </c>
      <c r="J9" s="610"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610" t="inlineStr">
        <is>
          <t>Energy efficiency</t>
        </is>
      </c>
      <c r="L9" s="610" t="inlineStr">
        <is>
          <t>Direct</t>
        </is>
      </c>
      <c r="M9" s="610" t="inlineStr">
        <is>
          <t>national</t>
        </is>
      </c>
      <c r="N9" s="610" t="inlineStr">
        <is>
          <t>N/A</t>
        </is>
      </c>
      <c r="O9" s="610" t="inlineStr">
        <is>
          <t>18/12/2013</t>
        </is>
      </c>
      <c r="P9" s="610" t="inlineStr">
        <is>
          <t>01/09/2014</t>
        </is>
      </c>
      <c r="Q9" s="610" t="inlineStr">
        <is>
          <t>N/A</t>
        </is>
      </c>
      <c r="R9" s="610" t="inlineStr">
        <is>
          <t>23/08/2024</t>
        </is>
      </c>
      <c r="S9" s="610"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T9" s="610">
        <f>IF(P9="","In force",IF(P9="N/A","In force",IF(TODAY()&lt;DATE(VALUE(RIGHT(P9,4)),VALUE(MID(P9,4,2)),VALUE(LEFT(P9,2))),"Scheduled",IF(Q9="","In force",IF(Q9="N/A","In force",IF(TODAY()&lt;DATE(VALUE(RIGHT(Q9,4)),VALUE(MID(Q9,4,2)),VALUE(LEFT(Q9,2))),"In force","Ended"))))))</f>
        <v/>
      </c>
      <c r="U9" s="610" t="inlineStr">
        <is>
          <t>State Administration for Market Regulation; Standardization Administration of China</t>
        </is>
      </c>
      <c r="V9" s="610" t="inlineStr">
        <is>
          <t>High-voltage three-phase cage asynchronous motors</t>
        </is>
      </c>
      <c r="W9" s="610" t="inlineStr">
        <is>
          <t>new</t>
        </is>
      </c>
      <c r="X9" s="610" t="inlineStr">
        <is>
          <t>50 Hz three-phase AC powered, 6 kV/10 kV voltage class, rated power 160 kW–25,000 kW, 2–12 pole, continuous duty (S1), vertical and horizontal motors including explosion-proof types. The 2024 edition extends coverage to explosion-proof models.</t>
        </is>
      </c>
      <c r="Y9" s="610" t="inlineStr">
        <is>
          <t>N/A</t>
        </is>
      </c>
      <c r="Z9" s="610" t="inlineStr">
        <is>
          <t>N/A</t>
        </is>
      </c>
      <c r="AA9" s="610" t="inlineStr">
        <is>
          <t>Firms</t>
        </is>
      </c>
      <c r="AB9" s="610" t="inlineStr">
        <is>
          <t>Manufacturers and importers producing, importing or selling high-voltage three-phase cage asynchronous motors within China.</t>
        </is>
      </c>
      <c r="AC9" s="610" t="inlineStr">
        <is>
          <t>Production; Sales; Import</t>
        </is>
      </c>
      <c r="AD9" s="610" t="inlineStr">
        <is>
          <t>Production, import and sale of high-voltage three-phase cage asynchronous motors. Products must meet the minimum energy efficiency values specified in the standard before being placed on the market.</t>
        </is>
      </c>
      <c r="AE9" s="610" t="inlineStr">
        <is>
          <t>Grade 3</t>
        </is>
      </c>
      <c r="AF9" s="610" t="inlineStr">
        <is>
          <t>Energy efficiency grade</t>
        </is>
      </c>
      <c r="AG9" s="610" t="inlineStr">
        <is>
          <t>High-voltage three-phase cage asynchronous motors must achieve at least Grade 3 minimum energy efficiency to enter the market; Grades 1 and 2 are voluntary higher efficiency levels</t>
        </is>
      </c>
      <c r="AH9" s="610"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I9" s="610" t="inlineStr">
        <is>
          <t>N/A</t>
        </is>
      </c>
      <c r="AJ9" s="610" t="inlineStr">
        <is>
          <t>N/A</t>
        </is>
      </c>
      <c r="AK9" s="610" t="inlineStr">
        <is>
          <t>Inspections or audits conducted by government authorities or third parties</t>
        </is>
      </c>
      <c r="AL9" s="610" t="inlineStr">
        <is>
          <t>Market regulatory authorities conduct energy efficiency label supervision inspections and product quality spot checks on high-voltage motor products.</t>
        </is>
      </c>
      <c r="AM9" s="610" t="inlineStr">
        <is>
          <t>Compliance order; Monetary penalties</t>
        </is>
      </c>
      <c r="AN9" s="610" t="inlineStr">
        <is>
          <t>For production, import or sale of high-voltage motor products that do not meet mandatory energy efficiency standards, market regulatory authorities shall order cessation of production, import or sale, confiscate illegal gains and impose fines.</t>
        </is>
      </c>
      <c r="AO9" s="610" t="inlineStr">
        <is>
          <t>The state encourages production and use of Grade 1 and Grade 2 high-efficiency high-voltage motors through energy-saving product certification and green public procurement.</t>
        </is>
      </c>
      <c r="AP9" s="610" t="inlineStr">
        <is>
          <t>The state encourages production and use of Grade 1 and Grade 2 high-efficiency high-voltage motors through energy-saving product certification and green public procurement.</t>
        </is>
      </c>
      <c r="AQ9"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9" s="610" t="inlineStr">
        <is>
          <t>~35% of industrial CO₂ emissions (Source: ibid.; share of motor system CO₂ in industrial sector emissions; combined value for the three motor MEPS standards)</t>
        </is>
      </c>
      <c r="AS9" s="610" t="inlineStr">
        <is>
          <t>C27; C28</t>
        </is>
      </c>
      <c r="AT9" s="610" t="inlineStr">
        <is>
          <t>CO2</t>
        </is>
      </c>
      <c r="AU9" s="610" t="inlineStr">
        <is>
          <t>Positive</t>
        </is>
      </c>
      <c r="AV9" s="610" t="inlineStr">
        <is>
          <t>Energy conservation; Industrial development</t>
        </is>
      </c>
      <c r="AW9" s="610" t="inlineStr">
        <is>
          <t>GB 30254-2024 Minimum Allowable Values of Energy Efficiency and Energy Efficiency Grades for High-Voltage Three-Phase Cage Asynchronous Motors</t>
        </is>
      </c>
      <c r="AX9" s="610" t="inlineStr">
        <is>
          <t>https://openstd.samr.gov.cn/bzgk/std/newGbInfo?hcno=12889A1BC521618359ED88153B76EEA7</t>
        </is>
      </c>
      <c r="AY9" s="610" t="inlineStr">
        <is>
          <t>https://openstd.samr.gov.cn/bzgk/std/newGbInfo?hcno=79725E39A25E09B11C6736FC579D982F</t>
        </is>
      </c>
      <c r="AZ9" s="610" t="inlineStr"/>
    </row>
    <row r="10">
      <c r="A10" s="610" t="inlineStr">
        <is>
          <t>CHNTECBQLI01S000</t>
        </is>
      </c>
      <c r="B10" s="610" t="inlineStr">
        <is>
          <t>Instrument</t>
        </is>
      </c>
      <c r="C10" s="610" t="inlineStr">
        <is>
          <t>Technology standard</t>
        </is>
      </c>
      <c r="D10" s="610" t="inlineStr">
        <is>
          <t>Biofuel quotas for land transport fuels</t>
        </is>
      </c>
      <c r="E10" s="610" t="inlineStr">
        <is>
          <t>Transport</t>
        </is>
      </c>
      <c r="F10" s="610" t="inlineStr">
        <is>
          <t>Road transport</t>
        </is>
      </c>
      <c r="G10" s="610" t="inlineStr">
        <is>
          <t>推广使用车用乙醇汽油</t>
        </is>
      </c>
      <c r="H10" s="610" t="inlineStr">
        <is>
          <t>Promotion of Ethanol Gasoline for Motor Vehicles</t>
        </is>
      </c>
      <c r="I10" s="610" t="inlineStr">
        <is>
          <t>N/A</t>
        </is>
      </c>
      <c r="J10" s="610"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610" t="inlineStr">
        <is>
          <t>Energy security; Ecological protection; Pollution control; Industrial development</t>
        </is>
      </c>
      <c r="L10" s="610" t="inlineStr">
        <is>
          <t>Indirect</t>
        </is>
      </c>
      <c r="M10" s="610" t="inlineStr">
        <is>
          <t>national</t>
        </is>
      </c>
      <c r="N10" s="610" t="inlineStr">
        <is>
          <t>N/A</t>
        </is>
      </c>
      <c r="O10" s="610" t="inlineStr">
        <is>
          <t>13/09/2017</t>
        </is>
      </c>
      <c r="P10" s="610" t="inlineStr">
        <is>
          <t>13/09/2017</t>
        </is>
      </c>
      <c r="Q10" s="610" t="inlineStr">
        <is>
          <t>N/A</t>
        </is>
      </c>
      <c r="R10" s="610" t="inlineStr">
        <is>
          <t>30/06/2025</t>
        </is>
      </c>
      <c r="S10" s="610"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T10" s="610">
        <f>IF(P10="","In force",IF(P10="N/A","In force",IF(TODAY()&lt;DATE(VALUE(RIGHT(P10,4)),VALUE(MID(P10,4,2)),VALUE(LEFT(P10,2))),"Scheduled",IF(Q10="","In force",IF(Q10="N/A","In force",IF(TODAY()&lt;DATE(VALUE(RIGHT(Q10,4)),VALUE(MID(Q10,4,2)),VALUE(LEFT(Q10,2))),"In force","Ended"))))))</f>
        <v/>
      </c>
      <c r="U10" s="610" t="inlineStr">
        <is>
          <t>National Energy Administration; National Development and Reform Commission; State Administration for Market Regulation; Ministry of Industry and Information Technology; Ministry of Finance</t>
        </is>
      </c>
      <c r="V10" s="610" t="inlineStr">
        <is>
          <t>Ethanol gasoline for motor vehicles (E10)</t>
        </is>
      </c>
      <c r="W10" s="610" t="inlineStr">
        <is>
          <t>existing</t>
        </is>
      </c>
      <c r="X10" s="610"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Y10" s="610" t="inlineStr">
        <is>
          <t>N/A</t>
        </is>
      </c>
      <c r="Z10" s="610" t="inlineStr">
        <is>
          <t>N/A</t>
        </is>
      </c>
      <c r="AA10" s="610" t="inlineStr">
        <is>
          <t>Firms</t>
        </is>
      </c>
      <c r="AB10" s="610" t="inlineStr">
        <is>
          <t>Gasoline producers (Sinopec, PetroChina, CNOOC, etc.); refined oil product sales enterprises.</t>
        </is>
      </c>
      <c r="AC10" s="610" t="inlineStr">
        <is>
          <t>Production; Sales</t>
        </is>
      </c>
      <c r="AD10" s="610" t="inlineStr">
        <is>
          <t>Production of biofuel ethanol, gasoline blending, and sale of ethanol gasoline (E10) for motor vehicles. Vehicle owners passively consume the fuel supplied.</t>
        </is>
      </c>
      <c r="AE10" s="610" t="inlineStr">
        <is>
          <t>10%</t>
        </is>
      </c>
      <c r="AF10" s="610" t="inlineStr">
        <is>
          <t>% (volume fraction)</t>
        </is>
      </c>
      <c r="AG10" s="610"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H10" s="610"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I10" s="610" t="inlineStr">
        <is>
          <t>N/A</t>
        </is>
      </c>
      <c r="AJ10" s="610" t="inlineStr">
        <is>
          <t>N/A</t>
        </is>
      </c>
      <c r="AK10" s="610" t="inlineStr">
        <is>
          <t>Inspections or audits conducted by government authorities or third parties</t>
        </is>
      </c>
      <c r="AL10" s="610"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M10" s="610" t="inlineStr">
        <is>
          <t>Monetary penalties</t>
        </is>
      </c>
      <c r="AN10" s="610" t="inlineStr">
        <is>
          <t>Administrative penalties; orders for rectification. Sale of ethanol gasoline not conforming to GB 18351 is subject to penalties by market regulation authorities under the Product Quality Law.</t>
        </is>
      </c>
      <c r="AO10" s="610" t="inlineStr">
        <is>
          <t>Tax incentives; fiscal subsidies (for biofuel ethanol producers). The state provides policy support such as VAT refunds and feedstock subsidies for fuel ethanol producers.</t>
        </is>
      </c>
      <c r="AP10" s="610" t="inlineStr">
        <is>
          <t>Tax incentives; fiscal subsidies (for biofuel ethanol producers). The state provides policy support such as VAT refunds and feedstock subsidies for fuel ethanol producers.</t>
        </is>
      </c>
      <c r="AQ10" s="610" t="inlineStr">
        <is>
          <t>N/A</t>
        </is>
      </c>
      <c r="AR10" s="610" t="inlineStr">
        <is>
          <t>N/A</t>
        </is>
      </c>
      <c r="AS10" s="610" t="inlineStr">
        <is>
          <t>C19; C20; G47</t>
        </is>
      </c>
      <c r="AT10" s="610" t="inlineStr">
        <is>
          <t>CO2</t>
        </is>
      </c>
      <c r="AU10" s="610" t="inlineStr">
        <is>
          <t>Positive</t>
        </is>
      </c>
      <c r="AV10" s="610" t="inlineStr">
        <is>
          <t>Energy security; Pollution control; Ecological protection</t>
        </is>
      </c>
      <c r="AW10" s="610" t="inlineStr">
        <is>
          <t>Implementation Plan for Expanding Biofuel Ethanol Production and Promoting the Use of Ethanol Gasoline for Motor Vehicles (Fa Gai Neng Yuan [2017] No. 1508)</t>
        </is>
      </c>
      <c r="AX10" s="610" t="inlineStr">
        <is>
          <t>https://www.nea.gov.cn/2017-09/13/c_136606035.htm</t>
        </is>
      </c>
      <c r="AY10" s="610"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c r="AZ10" s="610" t="inlineStr"/>
    </row>
    <row r="11">
      <c r="A11" s="610" t="inlineStr">
        <is>
          <t>CHNFRMITGI01S000</t>
        </is>
      </c>
      <c r="B11" s="610" t="inlineStr">
        <is>
          <t>Instrument</t>
        </is>
      </c>
      <c r="C11" s="610" t="inlineStr">
        <is>
          <t>Framework regulation</t>
        </is>
      </c>
      <c r="D11" s="610" t="inlineStr">
        <is>
          <t>Industrial transition governance</t>
        </is>
      </c>
      <c r="E11" s="610" t="inlineStr">
        <is>
          <t>Cross-sectoral</t>
        </is>
      </c>
      <c r="F11" s="610" t="inlineStr">
        <is>
          <t>N/A</t>
        </is>
      </c>
      <c r="G11" s="610" t="inlineStr">
        <is>
          <t>产业结构调整指导目录</t>
        </is>
      </c>
      <c r="H11" s="610" t="inlineStr">
        <is>
          <t>Industrial Structure Adjustment Guidance Catalogue</t>
        </is>
      </c>
      <c r="I11" s="610" t="inlineStr">
        <is>
          <t>N/A</t>
        </is>
      </c>
      <c r="J11" s="610"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610" t="inlineStr">
        <is>
          <t>Industrial development; Climate change mitigation</t>
        </is>
      </c>
      <c r="L11" s="610" t="inlineStr">
        <is>
          <t>Direct</t>
        </is>
      </c>
      <c r="M11" s="610" t="inlineStr">
        <is>
          <t>national</t>
        </is>
      </c>
      <c r="N11" s="610" t="inlineStr">
        <is>
          <t>N/A</t>
        </is>
      </c>
      <c r="O11" s="610" t="inlineStr">
        <is>
          <t>02/12/2005</t>
        </is>
      </c>
      <c r="P11" s="610" t="inlineStr">
        <is>
          <t>02/12/2005</t>
        </is>
      </c>
      <c r="Q11" s="610" t="inlineStr">
        <is>
          <t>N/A</t>
        </is>
      </c>
      <c r="R11" s="610" t="inlineStr">
        <is>
          <t>27/12/2023</t>
        </is>
      </c>
      <c r="S11" s="610"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T11" s="610">
        <f>IF(P11="","In force",IF(P11="N/A","In force",IF(TODAY()&lt;DATE(VALUE(RIGHT(P11,4)),VALUE(MID(P11,4,2)),VALUE(LEFT(P11,2))),"Scheduled",IF(Q11="","In force",IF(Q11="N/A","In force",IF(TODAY()&lt;DATE(VALUE(RIGHT(Q11,4)),VALUE(MID(Q11,4,2)),VALUE(LEFT(Q11,2))),"In force","Ended"))))))</f>
        <v/>
      </c>
      <c r="U11" s="610" t="inlineStr">
        <is>
          <t>National Development and Reform Commission; Relevant State Council departments; Provincial people's governments</t>
        </is>
      </c>
      <c r="V11" s="610" t="inlineStr">
        <is>
          <t>Production facilities across all sectors</t>
        </is>
      </c>
      <c r="W11" s="610" t="inlineStr">
        <is>
          <t>Existing</t>
        </is>
      </c>
      <c r="X11" s="610"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Y11" s="610" t="inlineStr">
        <is>
          <t>N/A</t>
        </is>
      </c>
      <c r="Z11" s="610" t="inlineStr">
        <is>
          <t>N/A</t>
        </is>
      </c>
      <c r="AA11" s="610" t="inlineStr">
        <is>
          <t>Firms</t>
        </is>
      </c>
      <c r="AB11" s="610"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C11" s="610" t="inlineStr">
        <is>
          <t>Production, generation or conversion</t>
        </is>
      </c>
      <c r="AD11" s="610"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E11" s="610" t="inlineStr">
        <is>
          <t>352 Encouraged entries; 231 Restricted entries; 422 Eliminated entries</t>
        </is>
      </c>
      <c r="AF11" s="610" t="inlineStr">
        <is>
          <t>Number of industry classification entries</t>
        </is>
      </c>
      <c r="AG11" s="610"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H11" s="610"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I11" s="610" t="inlineStr">
        <is>
          <t>N/A</t>
        </is>
      </c>
      <c r="AJ11" s="610" t="inlineStr">
        <is>
          <t>N/A</t>
        </is>
      </c>
      <c r="AK11" s="610" t="inlineStr">
        <is>
          <t>Project approval compliance review; Periodic catalogue revision; On-site verification</t>
        </is>
      </c>
      <c r="AL11" s="610"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M11" s="610" t="inlineStr">
        <is>
          <t>Denial of approval, verification or filing; Denial of loans; Order to cease production or close; Revocation of permits</t>
        </is>
      </c>
      <c r="AN11" s="610"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O11" s="610"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P11" s="610"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Q11" s="610" t="inlineStr">
        <is>
          <t>N/A</t>
        </is>
      </c>
      <c r="AR11" s="610" t="inlineStr">
        <is>
          <t>N/A</t>
        </is>
      </c>
      <c r="AS11" s="610" t="inlineStr">
        <is>
          <t>A01; A02; A03; B05; B06; B07; B08; B09; C10; C11; C12; C13; C14; C15; C16; C17; C18; C19; C20; C21; C22; C23; C24; C25; C26; C27; C28; C29; C30; C31; C32; C33; D35; E36; E37; E38; E39; F41; F42; F43; H49; H50; H51; H52; H53</t>
        </is>
      </c>
      <c r="AT11" s="610" t="inlineStr">
        <is>
          <t>CO2</t>
        </is>
      </c>
      <c r="AU11" s="610" t="inlineStr">
        <is>
          <t>Positive</t>
        </is>
      </c>
      <c r="AV11" s="610" t="inlineStr">
        <is>
          <t>Energy conservation; Pollution control; Technological innovation; Industrial development</t>
        </is>
      </c>
      <c r="AW11" s="610" t="inlineStr">
        <is>
          <t>Industrial Structure Adjustment Guidance Catalogue (2024 edition) (National Development and Reform Commission Order No. 7)</t>
        </is>
      </c>
      <c r="AX11" s="610" t="inlineStr">
        <is>
          <t>https://www.ndrc.gov.cn/xxgk/zcfb/fzggwl/202312/t20231229_1362999_ext.html</t>
        </is>
      </c>
      <c r="AY11" s="610" t="inlineStr">
        <is>
          <t>Decision of the State Council on Issuing and Implementing the Interim Provisions on Promoting Industrial Structural Adjustment (SC [2005] No. 40): https://www.gov.cn/gongbao/content/2005/content_130166.htm</t>
        </is>
      </c>
      <c r="AZ11" s="610" t="inlineStr"/>
    </row>
    <row r="12">
      <c r="A12" s="610" t="inlineStr">
        <is>
          <t>CHNFRMCAPI01S000</t>
        </is>
      </c>
      <c r="B12" s="610" t="inlineStr">
        <is>
          <t>Instrument</t>
        </is>
      </c>
      <c r="C12" s="610" t="inlineStr">
        <is>
          <t>Framework regulation</t>
        </is>
      </c>
      <c r="D12" s="610" t="inlineStr">
        <is>
          <t>Capacity replacement</t>
        </is>
      </c>
      <c r="E12" s="610" t="inlineStr">
        <is>
          <t>Industry</t>
        </is>
      </c>
      <c r="F12" s="610" t="inlineStr">
        <is>
          <t>Steel</t>
        </is>
      </c>
      <c r="G12" s="610" t="inlineStr">
        <is>
          <t>钢铁行业产能置换制度</t>
        </is>
      </c>
      <c r="H12" s="610" t="inlineStr">
        <is>
          <t>Steel Industry Capacity Replacement System</t>
        </is>
      </c>
      <c r="I12" s="610" t="inlineStr">
        <is>
          <t>N/A</t>
        </is>
      </c>
      <c r="J12" s="610"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610" t="inlineStr">
        <is>
          <t>Industrial development; Climate change mitigation</t>
        </is>
      </c>
      <c r="L12" s="610" t="inlineStr">
        <is>
          <t>Indirect</t>
        </is>
      </c>
      <c r="M12" s="610" t="inlineStr">
        <is>
          <t>national</t>
        </is>
      </c>
      <c r="N12" s="610" t="inlineStr">
        <is>
          <t>N/A</t>
        </is>
      </c>
      <c r="O12" s="610" t="inlineStr">
        <is>
          <t>20/04/2015</t>
        </is>
      </c>
      <c r="P12" s="610" t="inlineStr">
        <is>
          <t>20/04/2015</t>
        </is>
      </c>
      <c r="Q12" s="610" t="inlineStr">
        <is>
          <t>N/A</t>
        </is>
      </c>
      <c r="R12" s="610" t="inlineStr">
        <is>
          <t>29/04/2026</t>
        </is>
      </c>
      <c r="S12" s="610"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T12" s="610">
        <f>IF(P12="","In force",IF(P12="N/A","In force",IF(TODAY()&lt;DATE(VALUE(RIGHT(P12,4)),VALUE(MID(P12,4,2)),VALUE(LEFT(P12,2))),"Scheduled",IF(Q12="","In force",IF(Q12="N/A","In force",IF(TODAY()&lt;DATE(VALUE(RIGHT(Q12,4)),VALUE(MID(Q12,4,2)),VALUE(LEFT(Q12,2))),"In force","Ended"))))))</f>
        <v/>
      </c>
      <c r="U12" s="610" t="inlineStr">
        <is>
          <t>Ministry of Industry and Information Technology; provincial industry and information technology authorities</t>
        </is>
      </c>
      <c r="V12" s="610" t="inlineStr">
        <is>
          <t>Ironmaking and steelmaking smelting equipment</t>
        </is>
      </c>
      <c r="W12" s="610" t="inlineStr">
        <is>
          <t>Existing</t>
        </is>
      </c>
      <c r="X12" s="610"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Y12" s="610" t="inlineStr">
        <is>
          <t>N/A</t>
        </is>
      </c>
      <c r="Z12" s="610" t="inlineStr">
        <is>
          <t>N/A</t>
        </is>
      </c>
      <c r="AA12" s="610" t="inlineStr">
        <is>
          <t>Firms</t>
        </is>
      </c>
      <c r="AB12" s="610"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C12" s="610" t="inlineStr">
        <is>
          <t>Production</t>
        </is>
      </c>
      <c r="AD12" s="610"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E12" s="610" t="inlineStr">
        <is>
          <t>1.5:1 (general projects); 1.25:1 (mergers and restructuring); 1:1 (green projects)</t>
        </is>
      </c>
      <c r="AF12" s="610" t="inlineStr">
        <is>
          <t>Capacity replacement ratio (retired : new capacity)</t>
        </is>
      </c>
      <c r="AG12" s="610"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H12" s="610"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I12" s="610" t="inlineStr">
        <is>
          <t>N/A</t>
        </is>
      </c>
      <c r="AJ12" s="610" t="inlineStr">
        <is>
          <t>N/A</t>
        </is>
      </c>
      <c r="AK12" s="610" t="inlineStr">
        <is>
          <t>Public notification of capacity replacement plans; spot checks and verification</t>
        </is>
      </c>
      <c r="AL12" s="610"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M12" s="610" t="inlineStr">
        <is>
          <t>Denial of project filing; Order to rectify</t>
        </is>
      </c>
      <c r="AN12" s="610"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O12" s="610"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P12" s="610"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Q12" s="610"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R12" s="610" t="inlineStr">
        <is>
          <t>Approximately 15% (Source: China Metallurgical News, 2024; steel industry share of national CO₂ emissions)</t>
        </is>
      </c>
      <c r="AS12" s="610" t="inlineStr">
        <is>
          <t>C24</t>
        </is>
      </c>
      <c r="AT12" s="610" t="inlineStr">
        <is>
          <t>CO2</t>
        </is>
      </c>
      <c r="AU12" s="610" t="inlineStr">
        <is>
          <t>Positive</t>
        </is>
      </c>
      <c r="AV12" s="610" t="inlineStr">
        <is>
          <t>Energy conservation; Pollution control; Technological innovation; Industrial development</t>
        </is>
      </c>
      <c r="AW12" s="610" t="inlineStr">
        <is>
          <t>Implementation Measures for Steel Industry Capacity Replacement (MIIT Yuan [2026] No. 97)</t>
        </is>
      </c>
      <c r="AX12" s="610" t="inlineStr">
        <is>
          <t>https://www.miit.gov.cn/jgsj/ycls/gzdt/art/2026/art_848a5055921e42da8d120f3eb97b7faf.html</t>
        </is>
      </c>
      <c r="AY12" s="610"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c r="AZ12" s="610" t="inlineStr"/>
    </row>
    <row r="13">
      <c r="A13" s="610" t="inlineStr">
        <is>
          <t>CHNFRMCAPI02S000</t>
        </is>
      </c>
      <c r="B13" s="610" t="inlineStr">
        <is>
          <t>Instrument</t>
        </is>
      </c>
      <c r="C13" s="610" t="inlineStr">
        <is>
          <t>Framework regulation</t>
        </is>
      </c>
      <c r="D13" s="610" t="inlineStr">
        <is>
          <t>Capacity replacement</t>
        </is>
      </c>
      <c r="E13" s="610" t="inlineStr">
        <is>
          <t>Industry</t>
        </is>
      </c>
      <c r="F13" s="610" t="inlineStr">
        <is>
          <t>Cement; Flat glass</t>
        </is>
      </c>
      <c r="G13" s="610" t="inlineStr">
        <is>
          <t>水泥玻璃行业产能置换制度</t>
        </is>
      </c>
      <c r="H13" s="610" t="inlineStr">
        <is>
          <t>Cement and Glass Industry Capacity Replacement System</t>
        </is>
      </c>
      <c r="I13" s="610" t="inlineStr">
        <is>
          <t>N/A</t>
        </is>
      </c>
      <c r="J13" s="610"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610" t="inlineStr">
        <is>
          <t>Industrial development; Energy efficiency</t>
        </is>
      </c>
      <c r="L13" s="610" t="inlineStr">
        <is>
          <t>Indirect</t>
        </is>
      </c>
      <c r="M13" s="610" t="inlineStr">
        <is>
          <t>national</t>
        </is>
      </c>
      <c r="N13" s="610" t="inlineStr">
        <is>
          <t>N/A</t>
        </is>
      </c>
      <c r="O13" s="610" t="inlineStr">
        <is>
          <t>20/04/2015</t>
        </is>
      </c>
      <c r="P13" s="610" t="inlineStr">
        <is>
          <t>20/04/2015</t>
        </is>
      </c>
      <c r="Q13" s="610" t="inlineStr">
        <is>
          <t>N/A</t>
        </is>
      </c>
      <c r="R13" s="610" t="inlineStr">
        <is>
          <t>17/10/2024</t>
        </is>
      </c>
      <c r="S13" s="610"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T13" s="610">
        <f>IF(P13="","In force",IF(P13="N/A","In force",IF(TODAY()&lt;DATE(VALUE(RIGHT(P13,4)),VALUE(MID(P13,4,2)),VALUE(LEFT(P13,2))),"Scheduled",IF(Q13="","In force",IF(Q13="N/A","In force",IF(TODAY()&lt;DATE(VALUE(RIGHT(Q13,4)),VALUE(MID(Q13,4,2)),VALUE(LEFT(Q13,2))),"In force","Ended"))))))</f>
        <v/>
      </c>
      <c r="U13" s="610" t="inlineStr">
        <is>
          <t>Ministry of Industry and Information Technology; provincial industry and information technology authorities</t>
        </is>
      </c>
      <c r="V13" s="610" t="inlineStr">
        <is>
          <t>Cement clinker production lines; Flat glass production lines</t>
        </is>
      </c>
      <c r="W13" s="610" t="inlineStr">
        <is>
          <t>Existing</t>
        </is>
      </c>
      <c r="X13" s="610"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Y13" s="610" t="inlineStr">
        <is>
          <t>N/A</t>
        </is>
      </c>
      <c r="Z13" s="610" t="inlineStr">
        <is>
          <t>N/A</t>
        </is>
      </c>
      <c r="AA13" s="610" t="inlineStr">
        <is>
          <t>Firms</t>
        </is>
      </c>
      <c r="AB13" s="610"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C13" s="610" t="inlineStr">
        <is>
          <t>Production</t>
        </is>
      </c>
      <c r="AD13" s="610"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E13" s="610" t="inlineStr">
        <is>
          <t>Cement: 2:1 (key areas) / 1.5:1 (non-key areas); Flat glass: 1.25:1 (key areas) / 1:1 (non-key areas)</t>
        </is>
      </c>
      <c r="AF13" s="610" t="inlineStr">
        <is>
          <t>Capacity replacement ratio (retired : new capacity)</t>
        </is>
      </c>
      <c r="AG13" s="610"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H13" s="610"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I13" s="610" t="inlineStr">
        <is>
          <t>N/A</t>
        </is>
      </c>
      <c r="AJ13" s="610" t="inlineStr">
        <is>
          <t>N/A</t>
        </is>
      </c>
      <c r="AK13" s="610" t="inlineStr">
        <is>
          <t>Public notification of capacity replacement plans; spot checks and verification</t>
        </is>
      </c>
      <c r="AL13" s="610"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M13" s="610" t="inlineStr">
        <is>
          <t>Denial of project filing; Order to rectify</t>
        </is>
      </c>
      <c r="AN13" s="610"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O13" s="610"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P13" s="610"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Q13" s="610"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R13" s="610" t="inlineStr">
        <is>
          <t>Approximately 13% (Source: China Cement Association; cement industry share of national CO₂ emissions)</t>
        </is>
      </c>
      <c r="AS13" s="610" t="inlineStr">
        <is>
          <t>C23</t>
        </is>
      </c>
      <c r="AT13" s="610" t="inlineStr">
        <is>
          <t>CO2</t>
        </is>
      </c>
      <c r="AU13" s="610" t="inlineStr">
        <is>
          <t>Positive</t>
        </is>
      </c>
      <c r="AV13" s="610" t="inlineStr">
        <is>
          <t>Energy conservation; Pollution control; Technological innovation; Industrial development</t>
        </is>
      </c>
      <c r="AW13" s="610" t="inlineStr">
        <is>
          <t>Implementation Measures for Cement and Glass Industry Capacity Replacement (2024 Version) (MIIT Yuan [2024] No. 206)</t>
        </is>
      </c>
      <c r="AX13" s="610" t="inlineStr">
        <is>
          <t>https://www.miit.gov.cn/zwgk/zcwj/wjfb/tz/art/2024/art_e93e2f13bdae44b2b97d0fc4abb6f841.html</t>
        </is>
      </c>
      <c r="AY13" s="610"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c r="AZ13" s="610" t="inlineStr"/>
    </row>
    <row r="14">
      <c r="A14" s="610" t="inlineStr">
        <is>
          <t>CHNFRMCAPI03S000</t>
        </is>
      </c>
      <c r="B14" s="610" t="inlineStr">
        <is>
          <t>Instrument</t>
        </is>
      </c>
      <c r="C14" s="610" t="inlineStr">
        <is>
          <t>Framework regulation</t>
        </is>
      </c>
      <c r="D14" s="610" t="inlineStr">
        <is>
          <t>Capacity replacement</t>
        </is>
      </c>
      <c r="E14" s="610" t="inlineStr">
        <is>
          <t>Industry</t>
        </is>
      </c>
      <c r="F14" s="610" t="inlineStr">
        <is>
          <t>Electrolytic aluminium</t>
        </is>
      </c>
      <c r="G14" s="610" t="inlineStr">
        <is>
          <t>电解铝行业产能置换制度</t>
        </is>
      </c>
      <c r="H14" s="610" t="inlineStr">
        <is>
          <t>Electrolytic Aluminium Industry Capacity Replacement System</t>
        </is>
      </c>
      <c r="I14" s="610" t="inlineStr">
        <is>
          <t>N/A</t>
        </is>
      </c>
      <c r="J14" s="610"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610" t="inlineStr">
        <is>
          <t>Industrial development</t>
        </is>
      </c>
      <c r="L14" s="610" t="inlineStr">
        <is>
          <t>Indirect</t>
        </is>
      </c>
      <c r="M14" s="610" t="inlineStr">
        <is>
          <t>national</t>
        </is>
      </c>
      <c r="N14" s="610" t="inlineStr">
        <is>
          <t>N/A</t>
        </is>
      </c>
      <c r="O14" s="610" t="inlineStr">
        <is>
          <t>20/04/2015</t>
        </is>
      </c>
      <c r="P14" s="610" t="inlineStr">
        <is>
          <t>20/04/2015</t>
        </is>
      </c>
      <c r="Q14" s="610" t="inlineStr">
        <is>
          <t>N/A</t>
        </is>
      </c>
      <c r="R14" s="610" t="inlineStr">
        <is>
          <t>01/01/2018</t>
        </is>
      </c>
      <c r="S14" s="610"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T14" s="610">
        <f>IF(P14="","In force",IF(P14="N/A","In force",IF(TODAY()&lt;DATE(VALUE(RIGHT(P14,4)),VALUE(MID(P14,4,2)),VALUE(LEFT(P14,2))),"Scheduled",IF(Q14="","In force",IF(Q14="N/A","In force",IF(TODAY()&lt;DATE(VALUE(RIGHT(Q14,4)),VALUE(MID(Q14,4,2)),VALUE(LEFT(Q14,2))),"In force","Ended"))))))</f>
        <v/>
      </c>
      <c r="U14" s="610" t="inlineStr">
        <is>
          <t>Ministry of Industry and Information Technology; provincial industry and information technology authorities</t>
        </is>
      </c>
      <c r="V14" s="610" t="inlineStr">
        <is>
          <t>Electrolytic aluminium cells</t>
        </is>
      </c>
      <c r="W14" s="610" t="inlineStr">
        <is>
          <t>Existing</t>
        </is>
      </c>
      <c r="X14" s="610"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Y14" s="610" t="inlineStr">
        <is>
          <t>N/A</t>
        </is>
      </c>
      <c r="Z14" s="610" t="inlineStr">
        <is>
          <t>N/A</t>
        </is>
      </c>
      <c r="AA14" s="610" t="inlineStr">
        <is>
          <t>Firms</t>
        </is>
      </c>
      <c r="AB14" s="610"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C14" s="610" t="inlineStr">
        <is>
          <t>Production</t>
        </is>
      </c>
      <c r="AD14" s="610"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E14" s="610" t="inlineStr">
        <is>
          <t>Equal- or reduction-ratio replacement</t>
        </is>
      </c>
      <c r="AF14" s="610" t="inlineStr">
        <is>
          <t>Capacity replacement type (equal / reduction)</t>
        </is>
      </c>
      <c r="AG14" s="610"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H14" s="610"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I14" s="610" t="inlineStr">
        <is>
          <t>N/A</t>
        </is>
      </c>
      <c r="AJ14" s="610" t="inlineStr">
        <is>
          <t>N/A</t>
        </is>
      </c>
      <c r="AK14" s="610" t="inlineStr">
        <is>
          <t>Public notification of capacity replacement plans; spot checks and verification</t>
        </is>
      </c>
      <c r="AL14" s="610"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M14" s="610" t="inlineStr">
        <is>
          <t>Denial of project filing; Order to rectify</t>
        </is>
      </c>
      <c r="AN14" s="610"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O14" s="610"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P14" s="610"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Q14" s="610"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R14" s="610" t="inlineStr">
        <is>
          <t>Approximately 5% (Source: China Nonferrous Metals Industry Association, July 2025; electrolytic aluminium industry share of national total CO₂ emissions)</t>
        </is>
      </c>
      <c r="AS14" s="610" t="inlineStr">
        <is>
          <t>C24</t>
        </is>
      </c>
      <c r="AT14" s="610" t="inlineStr">
        <is>
          <t>CO2</t>
        </is>
      </c>
      <c r="AU14" s="610" t="inlineStr">
        <is>
          <t>Positive</t>
        </is>
      </c>
      <c r="AV14" s="610" t="inlineStr">
        <is>
          <t>Energy conservation; Pollution control; Industrial development</t>
        </is>
      </c>
      <c r="AW14" s="610" t="inlineStr">
        <is>
          <t>Notice on Matters Relating to the Implementation of Capacity Replacement by Electrolytic Aluminium Enterprises through Merger, Restructuring and Other Means (MIIT Yuan [2018] No. 12)</t>
        </is>
      </c>
      <c r="AX14" s="610" t="inlineStr">
        <is>
          <t>https://www.miit.gov.cn/jgsj/ycls/gzdt/art/2020/art_1b8d65c150a04513a2aedc3b5d8a8488.html</t>
        </is>
      </c>
      <c r="AY14" s="610"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c r="AZ14" s="610" t="inlineStr"/>
    </row>
    <row r="15">
      <c r="A15" s="610" t="inlineStr">
        <is>
          <t>CHNFRMEEMI01S000</t>
        </is>
      </c>
      <c r="B15" s="610" t="inlineStr">
        <is>
          <t>Instrument</t>
        </is>
      </c>
      <c r="C15" s="610" t="inlineStr">
        <is>
          <t>Framework regulation</t>
        </is>
      </c>
      <c r="D15" s="610" t="inlineStr">
        <is>
          <t>Enterprise energy management obligation</t>
        </is>
      </c>
      <c r="E15" s="610" t="inlineStr">
        <is>
          <t>Cross-sectoral</t>
        </is>
      </c>
      <c r="F15" s="610" t="inlineStr">
        <is>
          <t>N/A</t>
        </is>
      </c>
      <c r="G15" s="610" t="inlineStr">
        <is>
          <t>重点用能单位节能管理制度</t>
        </is>
      </c>
      <c r="H15" s="610" t="inlineStr">
        <is>
          <t>Key Energy-Consuming Unit Energy Conservation Management System</t>
        </is>
      </c>
      <c r="I15" s="610" t="inlineStr">
        <is>
          <t>N/A</t>
        </is>
      </c>
      <c r="J15" s="610"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610" t="inlineStr">
        <is>
          <t>Energy efficiency; Energy security</t>
        </is>
      </c>
      <c r="L15" s="610" t="inlineStr">
        <is>
          <t>Direct</t>
        </is>
      </c>
      <c r="M15" s="610" t="inlineStr">
        <is>
          <t>national</t>
        </is>
      </c>
      <c r="N15" s="610" t="inlineStr">
        <is>
          <t>N/A</t>
        </is>
      </c>
      <c r="O15" s="610" t="inlineStr">
        <is>
          <t>10/03/1999</t>
        </is>
      </c>
      <c r="P15" s="610" t="inlineStr">
        <is>
          <t>10/03/1999</t>
        </is>
      </c>
      <c r="Q15" s="610" t="inlineStr">
        <is>
          <t>N/A</t>
        </is>
      </c>
      <c r="R15" s="610" t="inlineStr">
        <is>
          <t>22/02/2018</t>
        </is>
      </c>
      <c r="S15" s="610"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T15" s="610">
        <f>IF(P15="","In force",IF(P15="N/A","In force",IF(TODAY()&lt;DATE(VALUE(RIGHT(P15,4)),VALUE(MID(P15,4,2)),VALUE(LEFT(P15,2))),"Scheduled",IF(Q15="","In force",IF(Q15="N/A","In force",IF(TODAY()&lt;DATE(VALUE(RIGHT(Q15,4)),VALUE(MID(Q15,4,2)),VALUE(LEFT(Q15,2))),"In force","Ended"))))))</f>
        <v/>
      </c>
      <c r="U15" s="610" t="inlineStr">
        <is>
          <t>National Development and Reform Commission; provincial people's governments</t>
        </is>
      </c>
      <c r="V15" s="610" t="inlineStr">
        <is>
          <t>N/A</t>
        </is>
      </c>
      <c r="W15" s="610" t="inlineStr">
        <is>
          <t>N/A</t>
        </is>
      </c>
      <c r="X15" s="610" t="inlineStr">
        <is>
          <t>N/A</t>
        </is>
      </c>
      <c r="Y15" s="610" t="inlineStr">
        <is>
          <t>N/A</t>
        </is>
      </c>
      <c r="Z15" s="610" t="inlineStr">
        <is>
          <t>N/A</t>
        </is>
      </c>
      <c r="AA15" s="610" t="inlineStr">
        <is>
          <t>Firms</t>
        </is>
      </c>
      <c r="AB15" s="610"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C15" s="610" t="inlineStr">
        <is>
          <t>Consumption (use, ownership or capital formation)</t>
        </is>
      </c>
      <c r="AD15" s="610"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E15" s="610" t="inlineStr">
        <is>
          <t>Annual comprehensive energy consumption of 10,000 tce (general threshold); 5,000 tce (specially designated)</t>
        </is>
      </c>
      <c r="AF15" s="610" t="inlineStr">
        <is>
          <t>tce/year</t>
        </is>
      </c>
      <c r="AG15" s="610"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H15" s="610"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I15" s="610" t="inlineStr">
        <is>
          <t>N/A</t>
        </is>
      </c>
      <c r="AJ15" s="610" t="inlineStr">
        <is>
          <t>N/A</t>
        </is>
      </c>
      <c r="AK15" s="610" t="inlineStr">
        <is>
          <t>Energy audit; Energy utilisation status reporting; Energy conservation supervision and inspection</t>
        </is>
      </c>
      <c r="AL15" s="610"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M15" s="610" t="inlineStr">
        <is>
          <t>Administrative penalty; Order to rectify; Financial penalty</t>
        </is>
      </c>
      <c r="AN15" s="610"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O15" s="610"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P15" s="610"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Q15" s="610" t="inlineStr">
        <is>
          <t>N/A</t>
        </is>
      </c>
      <c r="AR15" s="610" t="inlineStr">
        <is>
          <t>N/A</t>
        </is>
      </c>
      <c r="AS15" s="610" t="inlineStr">
        <is>
          <t>B05; B06; B07; B08; B09; C10; C11; C12; C13; C14; C15; C16; C17; C18; C19; C20; C21; C22; C23; C24; C25; C26; C27; C28; C29; C30; C31; C32; C33; D35; F41; F42; F43; H49</t>
        </is>
      </c>
      <c r="AT15" s="610" t="inlineStr">
        <is>
          <t>CO2</t>
        </is>
      </c>
      <c r="AU15" s="610" t="inlineStr">
        <is>
          <t>Positive</t>
        </is>
      </c>
      <c r="AV15" s="610" t="inlineStr">
        <is>
          <t>Energy conservation; Pollution control; Technological innovation</t>
        </is>
      </c>
      <c r="AW15" s="610" t="inlineStr">
        <is>
          <t>Energy Conservation Management Measures for Key Energy-Consuming Units (NDRC and Six Other Departments Decree No. 15, 2018)</t>
        </is>
      </c>
      <c r="AX15" s="610" t="inlineStr">
        <is>
          <t>https://zfxxgk.ndrc.gov.cn/web/iteminfo.jsp?id=18518</t>
        </is>
      </c>
      <c r="AY15" s="610"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c r="AZ15" s="610" t="inlineStr"/>
    </row>
    <row r="16">
      <c r="A16" s="610" t="inlineStr">
        <is>
          <t>CHNFRMEPMI01S000</t>
        </is>
      </c>
      <c r="B16" s="610" t="inlineStr">
        <is>
          <t>Instrument</t>
        </is>
      </c>
      <c r="C16" s="610" t="inlineStr">
        <is>
          <t>Framework regulation</t>
        </is>
      </c>
      <c r="D16" s="610" t="inlineStr">
        <is>
          <t>Energy performance management framework for public institutions</t>
        </is>
      </c>
      <c r="E16" s="610" t="inlineStr">
        <is>
          <t>Buildings</t>
        </is>
      </c>
      <c r="F16" s="610" t="inlineStr">
        <is>
          <t>Government operations</t>
        </is>
      </c>
      <c r="G16" s="610" t="inlineStr">
        <is>
          <t>公共机构节能</t>
        </is>
      </c>
      <c r="H16" s="610" t="inlineStr">
        <is>
          <t>Energy Conservation in Public Institutions</t>
        </is>
      </c>
      <c r="I16" s="610" t="inlineStr">
        <is>
          <t>'15th Five-Year' Work Programme for Energy Conservation and Carbon Reduction in Public Institutions (Guoguan Energy Conservation [2026] No. 161)</t>
        </is>
      </c>
      <c r="J16" s="610"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610" t="inlineStr">
        <is>
          <t>Energy efficiency</t>
        </is>
      </c>
      <c r="L16" s="610" t="inlineStr">
        <is>
          <t>Direct</t>
        </is>
      </c>
      <c r="M16" s="610" t="inlineStr">
        <is>
          <t>national</t>
        </is>
      </c>
      <c r="N16" s="610" t="inlineStr">
        <is>
          <t>N/A</t>
        </is>
      </c>
      <c r="O16" s="610" t="inlineStr">
        <is>
          <t>01/08/2008</t>
        </is>
      </c>
      <c r="P16" s="610" t="inlineStr">
        <is>
          <t>01/10/2008</t>
        </is>
      </c>
      <c r="Q16" s="610" t="inlineStr">
        <is>
          <t>N/A</t>
        </is>
      </c>
      <c r="R16" s="610" t="inlineStr">
        <is>
          <t>01/03/2017</t>
        </is>
      </c>
      <c r="S16" s="610"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T16" s="610">
        <f>IF(P16="","In force",IF(P16="N/A","In force",IF(TODAY()&lt;DATE(VALUE(RIGHT(P16,4)),VALUE(MID(P16,4,2)),VALUE(LEFT(P16,2))),"Scheduled",IF(Q16="","In force",IF(Q16="N/A","In force",IF(TODAY()&lt;DATE(VALUE(RIGHT(Q16,4)),VALUE(MID(Q16,4,2)),VALUE(LEFT(Q16,2))),"In force","Ended"))))))</f>
        <v/>
      </c>
      <c r="U16" s="610" t="inlineStr">
        <is>
          <t>National Government Offices Administration; National Development and Reform Commission; government offices administration authorities at all levels</t>
        </is>
      </c>
      <c r="V16" s="610" t="inlineStr">
        <is>
          <t>Buildings and their energy-using systems and equipment</t>
        </is>
      </c>
      <c r="W16" s="610" t="inlineStr">
        <is>
          <t>existing</t>
        </is>
      </c>
      <c r="X16" s="610"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Y16" s="610" t="inlineStr">
        <is>
          <t>N/A</t>
        </is>
      </c>
      <c r="Z16" s="610" t="inlineStr">
        <is>
          <t>N/A</t>
        </is>
      </c>
      <c r="AA16" s="610" t="inlineStr">
        <is>
          <t>Governments</t>
        </is>
      </c>
      <c r="AB16" s="610"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C16" s="610" t="inlineStr">
        <is>
          <t>Consumption (use, ownership or capital formation); Maintenance</t>
        </is>
      </c>
      <c r="AD16" s="610"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E16" s="610" t="inlineStr">
        <is>
          <t>N/A</t>
        </is>
      </c>
      <c r="AF16" s="610" t="inlineStr">
        <is>
          <t>N/A</t>
        </is>
      </c>
      <c r="AG16" s="610" t="inlineStr">
        <is>
          <t>N/A</t>
        </is>
      </c>
      <c r="AH16" s="610"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I16" s="610" t="inlineStr">
        <is>
          <t>N/A</t>
        </is>
      </c>
      <c r="AJ16" s="610" t="inlineStr">
        <is>
          <t>N/A</t>
        </is>
      </c>
      <c r="AK16" s="610" t="inlineStr">
        <is>
          <t>Inspections or audits conducted by government authorities or third parties</t>
        </is>
      </c>
      <c r="AL16" s="610"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M16" s="610" t="inlineStr">
        <is>
          <t>Compliance order</t>
        </is>
      </c>
      <c r="AN16" s="610"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O16" s="610"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P16" s="610"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Q16" s="610" t="inlineStr">
        <is>
          <t>N/A</t>
        </is>
      </c>
      <c r="AR16" s="610" t="inlineStr">
        <is>
          <t>N/A</t>
        </is>
      </c>
      <c r="AS16" s="610" t="inlineStr">
        <is>
          <t>O84; P85; Q86; Q87; Q88; M72; R90; R91; R93</t>
        </is>
      </c>
      <c r="AT16" s="610" t="inlineStr">
        <is>
          <t>CO2</t>
        </is>
      </c>
      <c r="AU16" s="610" t="inlineStr">
        <is>
          <t>Positive</t>
        </is>
      </c>
      <c r="AV16" s="610" t="inlineStr">
        <is>
          <t>Energy conservation; Industrial development</t>
        </is>
      </c>
      <c r="AW16" s="610"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X16" s="610" t="inlineStr">
        <is>
          <t>https://www.gov.cn/gongbao/content/2017/content_5219166.htm</t>
        </is>
      </c>
      <c r="AY16" s="610" t="inlineStr">
        <is>
          <t>https://www.ggj.gov.cn/tzgg/202607/t20260731_49588.htm</t>
        </is>
      </c>
      <c r="AZ16" s="610" t="inlineStr"/>
    </row>
    <row r="17">
      <c r="A17" s="610" t="inlineStr">
        <is>
          <t>CHNFRMAPCI01S000</t>
        </is>
      </c>
      <c r="B17" s="610" t="inlineStr">
        <is>
          <t>Instrument</t>
        </is>
      </c>
      <c r="C17" s="610" t="inlineStr">
        <is>
          <t>Framework regulation</t>
        </is>
      </c>
      <c r="D17" s="610" t="inlineStr">
        <is>
          <t>Agricultural pollution control</t>
        </is>
      </c>
      <c r="E17" s="610" t="inlineStr">
        <is>
          <t>AFOLU</t>
        </is>
      </c>
      <c r="F17" s="610" t="inlineStr">
        <is>
          <t>Livestock farming</t>
        </is>
      </c>
      <c r="G17" s="610" t="inlineStr">
        <is>
          <t>畜禽规模养殖污染防治制度</t>
        </is>
      </c>
      <c r="H17" s="610" t="inlineStr">
        <is>
          <t>Livestock Scale Farming Pollution Prevention and Control System</t>
        </is>
      </c>
      <c r="I17" s="610" t="inlineStr">
        <is>
          <t>N/A</t>
        </is>
      </c>
      <c r="J17" s="610"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610" t="inlineStr">
        <is>
          <t>Pollution control; Circular economy; Ecological protection</t>
        </is>
      </c>
      <c r="L17" s="610" t="inlineStr">
        <is>
          <t>Indirect</t>
        </is>
      </c>
      <c r="M17" s="610" t="inlineStr">
        <is>
          <t>national</t>
        </is>
      </c>
      <c r="N17" s="610" t="inlineStr">
        <is>
          <t>N/A</t>
        </is>
      </c>
      <c r="O17" s="610" t="inlineStr">
        <is>
          <t>08/10/2013</t>
        </is>
      </c>
      <c r="P17" s="610" t="inlineStr">
        <is>
          <t>01/01/2014</t>
        </is>
      </c>
      <c r="Q17" s="610" t="inlineStr">
        <is>
          <t>N/A</t>
        </is>
      </c>
      <c r="R17" s="610" t="inlineStr">
        <is>
          <t>02/03/2019</t>
        </is>
      </c>
      <c r="S17" s="610"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T17" s="610">
        <f>IF(P17="","In force",IF(P17="N/A","In force",IF(TODAY()&lt;DATE(VALUE(RIGHT(P17,4)),VALUE(MID(P17,4,2)),VALUE(LEFT(P17,2))),"Scheduled",IF(Q17="","In force",IF(Q17="N/A","In force",IF(TODAY()&lt;DATE(VALUE(RIGHT(Q17,4)),VALUE(MID(Q17,4,2)),VALUE(LEFT(Q17,2))),"In force","Ended"))))))</f>
        <v/>
      </c>
      <c r="U17" s="610" t="inlineStr">
        <is>
          <t>Ministry of Ecology and Environment; Ministry of Agriculture and Rural Affairs</t>
        </is>
      </c>
      <c r="V17" s="610" t="inlineStr">
        <is>
          <t>Scale livestock farms and breeding communities</t>
        </is>
      </c>
      <c r="W17" s="610" t="inlineStr">
        <is>
          <t>Existing</t>
        </is>
      </c>
      <c r="X17" s="610"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Y17" s="610" t="inlineStr">
        <is>
          <t>N/A</t>
        </is>
      </c>
      <c r="Z17" s="610" t="inlineStr">
        <is>
          <t>N/A</t>
        </is>
      </c>
      <c r="AA17" s="610" t="inlineStr">
        <is>
          <t>Firms</t>
        </is>
      </c>
      <c r="AB17" s="610"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C17" s="610" t="inlineStr">
        <is>
          <t>Production, generation or conversion</t>
        </is>
      </c>
      <c r="AD17" s="610"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E17" s="610" t="inlineStr">
        <is>
          <t>Determined by provincial governments</t>
        </is>
      </c>
      <c r="AF17" s="610" t="inlineStr">
        <is>
          <t>Scale thresholds (e.g., annual pig slaughter &gt;= 500 head)</t>
        </is>
      </c>
      <c r="AG17" s="610"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H17" s="610"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I17" s="610" t="inlineStr">
        <is>
          <t>N/A</t>
        </is>
      </c>
      <c r="AJ17" s="610" t="inlineStr">
        <is>
          <t>N/A</t>
        </is>
      </c>
      <c r="AK17" s="610" t="inlineStr">
        <is>
          <t>Filing; Information reporting; On-site inspection</t>
        </is>
      </c>
      <c r="AL17" s="610"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M17" s="610" t="inlineStr">
        <is>
          <t>Order to cease construction; Fines; Order to relocate or close within a time limit</t>
        </is>
      </c>
      <c r="AN17" s="610"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O17" s="610"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P17" s="610"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Q17" s="610"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R17" s="610" t="inlineStr">
        <is>
          <t>Approximately 5%-8% (Source: China GHG Inventory; livestock farming sector emission share; covering scale farms and breeding communities accounting for approximately 60%-70% of national livestock production)</t>
        </is>
      </c>
      <c r="AS17" s="610" t="inlineStr">
        <is>
          <t>A01</t>
        </is>
      </c>
      <c r="AT17" s="610" t="inlineStr">
        <is>
          <t>CH4; N2O</t>
        </is>
      </c>
      <c r="AU17" s="610" t="inlineStr">
        <is>
          <t>Positive</t>
        </is>
      </c>
      <c r="AV17" s="610" t="inlineStr">
        <is>
          <t>Pollution control; Ecological protection; Resource conservation; Circular economy</t>
        </is>
      </c>
      <c r="AW17" s="610" t="inlineStr">
        <is>
          <t>Regulation on the Prevention and Control of Pollution from Scale Livestock Farming (State Council Order No. 643)</t>
        </is>
      </c>
      <c r="AX17" s="610" t="inlineStr">
        <is>
          <t>https://www.gov.cn/zhengce/2013-11/26/content_2602626.htm</t>
        </is>
      </c>
      <c r="AY17" s="610" t="inlineStr">
        <is>
          <t>Decision of the State Council on Amending Certain Administrative Regulations (State Council Order No. 709, 2019 revision): https://www.gov.cn/gongbao/content/2019/content_5468893.htm</t>
        </is>
      </c>
      <c r="AZ17" s="610" t="inlineStr"/>
    </row>
    <row r="18">
      <c r="A18" s="610" t="inlineStr">
        <is>
          <t>CHNFRMRPDI01S000</t>
        </is>
      </c>
      <c r="B18" s="610" t="inlineStr">
        <is>
          <t>Instrument</t>
        </is>
      </c>
      <c r="C18" s="610" t="inlineStr">
        <is>
          <t>Framework regulation</t>
        </is>
      </c>
      <c r="D18" s="610" t="inlineStr">
        <is>
          <t>Renewable priority dispatch</t>
        </is>
      </c>
      <c r="E18" s="610" t="inlineStr">
        <is>
          <t>Energy</t>
        </is>
      </c>
      <c r="F18" s="610" t="inlineStr">
        <is>
          <t>Electricity</t>
        </is>
      </c>
      <c r="G18" s="610" t="inlineStr">
        <is>
          <t>清洁能源优先发电、优先购电制度</t>
        </is>
      </c>
      <c r="H18" s="610" t="inlineStr">
        <is>
          <t>Clean Energy Priority Dispatch and Priority Purchase System</t>
        </is>
      </c>
      <c r="I18" s="610" t="inlineStr">
        <is>
          <t>N/A</t>
        </is>
      </c>
      <c r="J18" s="610"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610" t="inlineStr">
        <is>
          <t>Non-fossil energy; Energy security</t>
        </is>
      </c>
      <c r="L18" s="610" t="inlineStr">
        <is>
          <t>Direct</t>
        </is>
      </c>
      <c r="M18" s="610" t="inlineStr">
        <is>
          <t>national</t>
        </is>
      </c>
      <c r="N18" s="610" t="inlineStr">
        <is>
          <t>N/A</t>
        </is>
      </c>
      <c r="O18" s="610" t="inlineStr">
        <is>
          <t>08/11/2024</t>
        </is>
      </c>
      <c r="P18" s="610" t="inlineStr">
        <is>
          <t>01/01/2025</t>
        </is>
      </c>
      <c r="Q18" s="610" t="inlineStr">
        <is>
          <t>N/A</t>
        </is>
      </c>
      <c r="R18" s="610" t="inlineStr">
        <is>
          <t>N/A</t>
        </is>
      </c>
      <c r="S18" s="610"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T18" s="610">
        <f>IF(P18="","In force",IF(P18="N/A","In force",IF(TODAY()&lt;DATE(VALUE(RIGHT(P18,4)),VALUE(MID(P18,4,2)),VALUE(LEFT(P18,2))),"Scheduled",IF(Q18="","In force",IF(Q18="N/A","In force",IF(TODAY()&lt;DATE(VALUE(RIGHT(Q18,4)),VALUE(MID(Q18,4,2)),VALUE(LEFT(Q18,2))),"In force","Ended"))))))</f>
        <v/>
      </c>
      <c r="U18" s="610" t="inlineStr">
        <is>
          <t>National Development and Reform Commission; National Energy Administration; provincial energy authorities</t>
        </is>
      </c>
      <c r="V18" s="610" t="inlineStr">
        <is>
          <t>Renewable energy generating units</t>
        </is>
      </c>
      <c r="W18" s="610" t="inlineStr">
        <is>
          <t>Existing</t>
        </is>
      </c>
      <c r="X18" s="610"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Y18" s="610" t="inlineStr">
        <is>
          <t>N/A</t>
        </is>
      </c>
      <c r="Z18" s="610" t="inlineStr">
        <is>
          <t>N/A</t>
        </is>
      </c>
      <c r="AA18" s="610" t="inlineStr">
        <is>
          <t>Firms</t>
        </is>
      </c>
      <c r="AB18" s="610"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C18" s="610" t="inlineStr">
        <is>
          <t>Production, generation or conversion</t>
        </is>
      </c>
      <c r="AD18" s="610"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E18" s="610" t="inlineStr">
        <is>
          <t>Implemented in accordance with renewable energy electricity consumption responsibility weights</t>
        </is>
      </c>
      <c r="AF18" s="610" t="inlineStr">
        <is>
          <t>Renewable energy electricity consumption responsibility weight (%)</t>
        </is>
      </c>
      <c r="AG18" s="610"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H18" s="610"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I18" s="610" t="inlineStr">
        <is>
          <t>N/A</t>
        </is>
      </c>
      <c r="AJ18" s="610" t="inlineStr">
        <is>
          <t>N/A</t>
        </is>
      </c>
      <c r="AK18" s="610" t="inlineStr">
        <is>
          <t>Information reporting; Annual assessment; Energy regulatory agency supervision and inspection</t>
        </is>
      </c>
      <c r="AL18" s="610"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M18" s="610" t="inlineStr">
        <is>
          <t>Order to rectify; Fines; Administrative sanctions</t>
        </is>
      </c>
      <c r="AN18" s="610"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O18" s="610"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P18" s="610"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Q18" s="610"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R18" s="610" t="inlineStr">
        <is>
          <t>Approximately 20% (Source: NEA 2024 data; renewable energy generation displacing fossil fuel emissions as share of national emissions)</t>
        </is>
      </c>
      <c r="AS18" s="610" t="inlineStr">
        <is>
          <t>D35</t>
        </is>
      </c>
      <c r="AT18" s="610" t="inlineStr">
        <is>
          <t>CO2</t>
        </is>
      </c>
      <c r="AU18" s="610" t="inlineStr">
        <is>
          <t>Positive</t>
        </is>
      </c>
      <c r="AV18" s="610" t="inlineStr">
        <is>
          <t>Pollution control; Energy security; Industrial development; Renewable energy development</t>
        </is>
      </c>
      <c r="AW18" s="610" t="inlineStr">
        <is>
          <t>Energy Law of the People's Republic of China (Presidential Order No. 37, 2024)</t>
        </is>
      </c>
      <c r="AX18" s="610" t="inlineStr">
        <is>
          <t>https://www.gov.cn/yaowen/liebiao/202411/content_6985761.htm</t>
        </is>
      </c>
      <c r="AY18" s="610" t="inlineStr">
        <is>
          <t>Regulatory Measures for the Guaranteed Full Purchase of Renewable Energy Electricity (NDRC Order No. 15, 2024): https://www.gov.cn/gongbao/2024/issue_11326/202405/content_6949616.html</t>
        </is>
      </c>
      <c r="AZ18" s="610" t="inlineStr"/>
    </row>
    <row r="19">
      <c r="A19" s="610" t="inlineStr">
        <is>
          <t>CHNFRMPDPI01S000</t>
        </is>
      </c>
      <c r="B19" s="610" t="inlineStr">
        <is>
          <t>Instrument</t>
        </is>
      </c>
      <c r="C19" s="610" t="inlineStr">
        <is>
          <t>Framework regulation</t>
        </is>
      </c>
      <c r="D19" s="610" t="inlineStr">
        <is>
          <t>Pollution discharge permitting</t>
        </is>
      </c>
      <c r="E19" s="610" t="inlineStr">
        <is>
          <t>Industry</t>
        </is>
      </c>
      <c r="F19" s="610" t="inlineStr">
        <is>
          <t>Thermal power; Steel; Cement; Petrochemical; Chemical; Paper; Textile dyeing</t>
        </is>
      </c>
      <c r="G19" s="610" t="inlineStr">
        <is>
          <t>排污许可管理制度</t>
        </is>
      </c>
      <c r="H19" s="610" t="inlineStr">
        <is>
          <t>Pollution Discharge Permit Management System</t>
        </is>
      </c>
      <c r="I19" s="610" t="inlineStr">
        <is>
          <t>N/A</t>
        </is>
      </c>
      <c r="J19" s="610"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610" t="inlineStr">
        <is>
          <t>Pollution control</t>
        </is>
      </c>
      <c r="L19" s="610" t="inlineStr">
        <is>
          <t>Indirect</t>
        </is>
      </c>
      <c r="M19" s="610" t="inlineStr">
        <is>
          <t>national</t>
        </is>
      </c>
      <c r="N19" s="610" t="inlineStr">
        <is>
          <t>N/A</t>
        </is>
      </c>
      <c r="O19" s="610" t="inlineStr">
        <is>
          <t>10/11/2016</t>
        </is>
      </c>
      <c r="P19" s="610" t="inlineStr">
        <is>
          <t>10/11/2016</t>
        </is>
      </c>
      <c r="Q19" s="610" t="inlineStr">
        <is>
          <t>N/A</t>
        </is>
      </c>
      <c r="R19" s="610" t="inlineStr">
        <is>
          <t>24/01/2021</t>
        </is>
      </c>
      <c r="S19" s="610"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T19" s="610">
        <f>IF(P19="","In force",IF(P19="N/A","In force",IF(TODAY()&lt;DATE(VALUE(RIGHT(P19,4)),VALUE(MID(P19,4,2)),VALUE(LEFT(P19,2))),"Scheduled",IF(Q19="","In force",IF(Q19="N/A","In force",IF(TODAY()&lt;DATE(VALUE(RIGHT(Q19,4)),VALUE(MID(Q19,4,2)),VALUE(LEFT(Q19,2))),"In force","Ended"))))))</f>
        <v/>
      </c>
      <c r="U19" s="610" t="inlineStr">
        <is>
          <t>Ministry of Ecology and Environment; ecology and environment authorities at or above the level of municipalities divided into districts.</t>
        </is>
      </c>
      <c r="V19" s="610" t="inlineStr">
        <is>
          <t>Production facilities of stationary pollution sources subject to pollution discharge permit management.</t>
        </is>
      </c>
      <c r="W19" s="610" t="inlineStr">
        <is>
          <t>Existing</t>
        </is>
      </c>
      <c r="X19" s="610"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Y19" s="610" t="inlineStr">
        <is>
          <t>N/A</t>
        </is>
      </c>
      <c r="Z19" s="610" t="inlineStr">
        <is>
          <t>N/A</t>
        </is>
      </c>
      <c r="AA19" s="610" t="inlineStr">
        <is>
          <t>Firms; Governments</t>
        </is>
      </c>
      <c r="AB19" s="610"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C19" s="610" t="inlineStr">
        <is>
          <t>Production</t>
        </is>
      </c>
      <c r="AD19" s="610"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E19" s="610" t="inlineStr">
        <is>
          <t>Approximately 500,000 stationary pollution sources subject to pollution discharge permit management (approximately 100,000 under key management; approximately 400,000 under simplified management).</t>
        </is>
      </c>
      <c r="AF19" s="610" t="inlineStr">
        <is>
          <t>Number of stationary pollution sources under management (ten thousand sources)</t>
        </is>
      </c>
      <c r="AG19" s="610"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H19" s="610"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I19" s="610" t="inlineStr">
        <is>
          <t>N/A</t>
        </is>
      </c>
      <c r="AJ19" s="610" t="inlineStr">
        <is>
          <t>N/A</t>
        </is>
      </c>
      <c r="AK19" s="610" t="inlineStr">
        <is>
          <t>Online monitoring; on-site inspection; supervisory monitoring; implementation reporting; National Pollution Discharge Permit Management Information Platform.</t>
        </is>
      </c>
      <c r="AL19" s="610"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M19" s="610" t="inlineStr">
        <is>
          <t>Order to rectify; restriction of production; suspension of production for rectification; fines; order to suspend operations or close; administrative detention.</t>
        </is>
      </c>
      <c r="AN19" s="610"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O19" s="610"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P19" s="610"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Q19" s="610"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R19" s="610"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S19" s="610" t="inlineStr">
        <is>
          <t>C13; C17; C19; C20; C23; C24; D35</t>
        </is>
      </c>
      <c r="AT19" s="610" t="inlineStr">
        <is>
          <t>CO2</t>
        </is>
      </c>
      <c r="AU19" s="610" t="inlineStr">
        <is>
          <t>Positive</t>
        </is>
      </c>
      <c r="AV19" s="610" t="inlineStr">
        <is>
          <t>Pollution control; Resource conservation</t>
        </is>
      </c>
      <c r="AW19" s="610" t="inlineStr">
        <is>
          <t>Notice of the General Office of the State Council on Issuing the Implementation Plan for the Pollution Discharge Permit System (Guobanfa [2016] No. 81)</t>
        </is>
      </c>
      <c r="AX19" s="610" t="inlineStr">
        <is>
          <t>https://www.gov.cn/zhengce/content/2016-11/21/content_5135510.htm</t>
        </is>
      </c>
      <c r="AY19" s="610"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c r="AZ19" s="610" t="inlineStr"/>
    </row>
    <row r="20">
      <c r="A20" s="610" t="inlineStr">
        <is>
          <t>CHNFRMEPRI01S000</t>
        </is>
      </c>
      <c r="B20" s="610" t="inlineStr">
        <is>
          <t>Instrument</t>
        </is>
      </c>
      <c r="C20" s="610" t="inlineStr">
        <is>
          <t>Framework regulation</t>
        </is>
      </c>
      <c r="D20" s="610" t="inlineStr">
        <is>
          <t>Extended producer responsibility</t>
        </is>
      </c>
      <c r="E20" s="610" t="inlineStr">
        <is>
          <t>Cross-sectoral</t>
        </is>
      </c>
      <c r="F20" s="610" t="inlineStr">
        <is>
          <t>N/A</t>
        </is>
      </c>
      <c r="G20" s="610" t="inlineStr">
        <is>
          <t>生产者责任延伸制度</t>
        </is>
      </c>
      <c r="H20" s="610" t="inlineStr">
        <is>
          <t>Extended Producer Responsibility System</t>
        </is>
      </c>
      <c r="I20" s="610" t="inlineStr">
        <is>
          <t>N/A</t>
        </is>
      </c>
      <c r="J20" s="610"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610" t="inlineStr">
        <is>
          <t>Circular economy</t>
        </is>
      </c>
      <c r="L20" s="610" t="inlineStr">
        <is>
          <t>Indirect</t>
        </is>
      </c>
      <c r="M20" s="610" t="inlineStr">
        <is>
          <t>national</t>
        </is>
      </c>
      <c r="N20" s="610" t="inlineStr">
        <is>
          <t>N/A</t>
        </is>
      </c>
      <c r="O20" s="610" t="inlineStr">
        <is>
          <t>25/12/2016</t>
        </is>
      </c>
      <c r="P20" s="610" t="inlineStr">
        <is>
          <t>25/12/2016</t>
        </is>
      </c>
      <c r="Q20" s="610" t="inlineStr">
        <is>
          <t>N/A</t>
        </is>
      </c>
      <c r="R20" s="610" t="inlineStr">
        <is>
          <t>01/09/2020</t>
        </is>
      </c>
      <c r="S20" s="610"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T20" s="610">
        <f>IF(P20="","In force",IF(P20="N/A","In force",IF(TODAY()&lt;DATE(VALUE(RIGHT(P20,4)),VALUE(MID(P20,4,2)),VALUE(LEFT(P20,2))),"Scheduled",IF(Q20="","In force",IF(Q20="N/A","In force",IF(TODAY()&lt;DATE(VALUE(RIGHT(Q20,4)),VALUE(MID(Q20,4,2)),VALUE(LEFT(Q20,2))),"In force","Ended"))))))</f>
        <v/>
      </c>
      <c r="U20" s="610" t="inlineStr">
        <is>
          <t>National Development and Reform Commission; Ministry of Industry and Information Technology; Ministry of Ecology and Environment; State Administration for Market Regulation</t>
        </is>
      </c>
      <c r="V20" s="610" t="inlineStr">
        <is>
          <t>Product life-cycle take-back and treatment systems for products covered by the EPR system</t>
        </is>
      </c>
      <c r="W20" s="610" t="inlineStr">
        <is>
          <t>new; existing</t>
        </is>
      </c>
      <c r="X20" s="610"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Y20" s="610" t="inlineStr">
        <is>
          <t>N/A</t>
        </is>
      </c>
      <c r="Z20" s="610" t="inlineStr">
        <is>
          <t>N/A</t>
        </is>
      </c>
      <c r="AA20" s="610" t="inlineStr">
        <is>
          <t>Firms</t>
        </is>
      </c>
      <c r="AB20" s="610"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C20" s="610" t="inlineStr">
        <is>
          <t>Production, generation or conversion; Export, import, sales or purchase; Recovery, reuse or other post-consumer treatment</t>
        </is>
      </c>
      <c r="AD20" s="610"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E20" s="610" t="inlineStr">
        <is>
          <t>20% (recycled raw material use target); 50% (recovery and recycling rate target)</t>
        </is>
      </c>
      <c r="AF20" s="610" t="inlineStr">
        <is>
          <t>Recovery and recycling rate target (%)</t>
        </is>
      </c>
      <c r="AG20" s="610"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H20" s="610"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I20" s="610" t="inlineStr">
        <is>
          <t>N/A</t>
        </is>
      </c>
      <c r="AJ20" s="610" t="inlineStr">
        <is>
          <t>N/A</t>
        </is>
      </c>
      <c r="AK20" s="610" t="inlineStr">
        <is>
          <t>Information reporting; Sector EPR information platform; Environmental credit assessment; Whole-process monitoring</t>
        </is>
      </c>
      <c r="AL20" s="610"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M20" s="610" t="inlineStr">
        <is>
          <t>Order to rectify; Fines; Order to suspend production for remediation; Recovery of subsidy funds</t>
        </is>
      </c>
      <c r="AN20" s="610"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O20" s="610"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P20" s="610"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Q20" s="610" t="inlineStr">
        <is>
          <t>N/A</t>
        </is>
      </c>
      <c r="AR20" s="610" t="inlineStr">
        <is>
          <t>N/A</t>
        </is>
      </c>
      <c r="AS20" s="610" t="inlineStr">
        <is>
          <t>C10; C11; C12; C13; C14; C15; C16; C17; C18; C19; C20; C21; C22; C23; C24; C25; C26; C27; C28; C29; C30; C31; C32; C33</t>
        </is>
      </c>
      <c r="AT20" s="610" t="inlineStr">
        <is>
          <t>CO2</t>
        </is>
      </c>
      <c r="AU20" s="610" t="inlineStr">
        <is>
          <t>Positive</t>
        </is>
      </c>
      <c r="AV20" s="610" t="inlineStr">
        <is>
          <t>Resource conservation; Circular economy; Pollution control; Industrial development</t>
        </is>
      </c>
      <c r="AW20" s="610" t="inlineStr">
        <is>
          <t>Implementation Plan for the Extended Producer Responsibility System (SCGO [2016] No. 99)</t>
        </is>
      </c>
      <c r="AX20" s="610" t="inlineStr">
        <is>
          <t>https://www.gov.cn/zhengce/content/2017-01/03/content_5156043.htm</t>
        </is>
      </c>
      <c r="AY20" s="610" t="inlineStr">
        <is>
          <t>Law on the Prevention and Control of Environmental Pollution by Solid Waste (2020 revision), Article 66 (EPR enshrined in law): https://www.gov.cn/xinwen/2020-04/30/content_5507646.htm | Ecology and Environment Code (effective 2026), Articles 959, 978 and 1223</t>
        </is>
      </c>
      <c r="AZ20" s="610" t="inlineStr"/>
    </row>
    <row r="21">
      <c r="A21" s="610" t="inlineStr">
        <is>
          <t>CHNFRMEPRI02S000</t>
        </is>
      </c>
      <c r="B21" s="610" t="inlineStr">
        <is>
          <t>Instrument</t>
        </is>
      </c>
      <c r="C21" s="610" t="inlineStr">
        <is>
          <t>Framework regulation</t>
        </is>
      </c>
      <c r="D21" s="610" t="inlineStr">
        <is>
          <t>Extended producer responsibility</t>
        </is>
      </c>
      <c r="E21" s="610" t="inlineStr">
        <is>
          <t>Waste</t>
        </is>
      </c>
      <c r="F21" s="610" t="inlineStr">
        <is>
          <t>E-waste</t>
        </is>
      </c>
      <c r="G21" s="610" t="inlineStr">
        <is>
          <t>废弃电器电子产品回收处理制度</t>
        </is>
      </c>
      <c r="H21" s="610" t="inlineStr">
        <is>
          <t>Management of Waste Electrical and Electronic Equipment Recycling and Treatment</t>
        </is>
      </c>
      <c r="I21" s="610" t="inlineStr">
        <is>
          <t>N/A</t>
        </is>
      </c>
      <c r="J21" s="610"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610" t="inlineStr">
        <is>
          <t>Circular economy; Pollution control</t>
        </is>
      </c>
      <c r="L21" s="610" t="inlineStr">
        <is>
          <t>Indirect</t>
        </is>
      </c>
      <c r="M21" s="610" t="inlineStr">
        <is>
          <t>national</t>
        </is>
      </c>
      <c r="N21" s="610" t="inlineStr">
        <is>
          <t>N/A</t>
        </is>
      </c>
      <c r="O21" s="610" t="inlineStr">
        <is>
          <t>25/02/2009</t>
        </is>
      </c>
      <c r="P21" s="610" t="inlineStr">
        <is>
          <t>01/01/2011</t>
        </is>
      </c>
      <c r="Q21" s="610" t="inlineStr">
        <is>
          <t>N/A</t>
        </is>
      </c>
      <c r="R21" s="610" t="inlineStr">
        <is>
          <t>02/03/2019</t>
        </is>
      </c>
      <c r="S21" s="610"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T21" s="610">
        <f>IF(P21="","In force",IF(P21="N/A","In force",IF(TODAY()&lt;DATE(VALUE(RIGHT(P21,4)),VALUE(MID(P21,4,2)),VALUE(LEFT(P21,2))),"Scheduled",IF(Q21="","In force",IF(Q21="N/A","In force",IF(TODAY()&lt;DATE(VALUE(RIGHT(Q21,4)),VALUE(MID(Q21,4,2)),VALUE(LEFT(Q21,2))),"In force","Ended"))))))</f>
        <v/>
      </c>
      <c r="U21" s="610" t="inlineStr">
        <is>
          <t>Ministry of Ecology and Environment; NDRC; Ministry of Industry and Information Technology; Ministry of Finance</t>
        </is>
      </c>
      <c r="V21" s="610" t="inlineStr">
        <is>
          <t>Waste electrical and electronic equipment</t>
        </is>
      </c>
      <c r="W21" s="610" t="inlineStr">
        <is>
          <t>new; existing</t>
        </is>
      </c>
      <c r="X21" s="610"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Y21" s="610" t="inlineStr">
        <is>
          <t>N/A</t>
        </is>
      </c>
      <c r="Z21" s="610" t="inlineStr">
        <is>
          <t>N/A</t>
        </is>
      </c>
      <c r="AA21" s="610" t="inlineStr">
        <is>
          <t>Firms</t>
        </is>
      </c>
      <c r="AB21" s="610"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C21" s="610" t="inlineStr">
        <is>
          <t>Collection or sorting (post-consumer); Abatement or prevention</t>
        </is>
      </c>
      <c r="AD21" s="610"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E21" s="610" t="inlineStr">
        <is>
          <t>5 product categories (TVs, refrigerators, washing machines, air conditioners, microcomputers)</t>
        </is>
      </c>
      <c r="AF21" s="610" t="inlineStr">
        <is>
          <t>Number of product categories in the treatment catalogue</t>
        </is>
      </c>
      <c r="AG21" s="610"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H21" s="610"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I21" s="610" t="inlineStr">
        <is>
          <t>N/A</t>
        </is>
      </c>
      <c r="AJ21" s="610" t="inlineStr">
        <is>
          <t>N/A</t>
        </is>
      </c>
      <c r="AK21" s="610" t="inlineStr">
        <is>
          <t>Treatment qualification permit approval; Treatment information system reporting; On-site inspection; Surveillance monitoring</t>
        </is>
      </c>
      <c r="AL21" s="610"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M21" s="610" t="inlineStr">
        <is>
          <t>Order to cease treatment activities; Confiscation of illegal gains; Fines; Public notification and disclosure</t>
        </is>
      </c>
      <c r="AN21" s="610"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O21" s="610"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P21" s="610"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Q21" s="610" t="inlineStr">
        <is>
          <t>N/A</t>
        </is>
      </c>
      <c r="AR21" s="610" t="inlineStr">
        <is>
          <t>N/A</t>
        </is>
      </c>
      <c r="AS21" s="610" t="inlineStr">
        <is>
          <t>C26; C27; E38</t>
        </is>
      </c>
      <c r="AT21" s="610" t="inlineStr">
        <is>
          <t>CO2; HFCs</t>
        </is>
      </c>
      <c r="AU21" s="610" t="inlineStr">
        <is>
          <t>Positive</t>
        </is>
      </c>
      <c r="AV21" s="610" t="inlineStr">
        <is>
          <t>Resource conservation; Circular economy; Pollution control; Industrial development</t>
        </is>
      </c>
      <c r="AW21" s="610" t="inlineStr">
        <is>
          <t>Regulation on the Management of Waste Electrical and Electronic Equipment Recycling and Treatment (State Council Order No. 551)</t>
        </is>
      </c>
      <c r="AX21" s="610" t="inlineStr">
        <is>
          <t>https://www.gov.cn/gongbao/content/2019/content_5468893.htm</t>
        </is>
      </c>
      <c r="AY21" s="610" t="inlineStr">
        <is>
          <t>WEEE Treatment Catalogue (2014 edition, covering 14 product categories): https://www.gov.cn/zhengce/content/2015-02/11/content_9468.htm | WEEE Recycling and Treatment Reward and Subsidy economic instrument: CHNSUBRTSI01S000</t>
        </is>
      </c>
      <c r="AZ21" s="610" t="inlineStr"/>
    </row>
    <row r="22">
      <c r="A22" s="610" t="inlineStr">
        <is>
          <t>CHNFRMEPRI03S000</t>
        </is>
      </c>
      <c r="B22" s="610" t="inlineStr">
        <is>
          <t>Instrument</t>
        </is>
      </c>
      <c r="C22" s="610" t="inlineStr">
        <is>
          <t>Framework regulation</t>
        </is>
      </c>
      <c r="D22" s="610" t="inlineStr">
        <is>
          <t>Extended producer responsibility</t>
        </is>
      </c>
      <c r="E22" s="610" t="inlineStr">
        <is>
          <t>Industry; Waste</t>
        </is>
      </c>
      <c r="F22" s="610" t="inlineStr">
        <is>
          <t>New energy vehicles; Power batteries</t>
        </is>
      </c>
      <c r="G22" s="610" t="inlineStr">
        <is>
          <t>新能源汽车废旧动力电池回收和综合利用管理</t>
        </is>
      </c>
      <c r="H22" s="610" t="inlineStr">
        <is>
          <t>Management of Recycling and Comprehensive Utilisation of Waste Power Batteries from New Energy Vehicles</t>
        </is>
      </c>
      <c r="I22" s="610" t="inlineStr">
        <is>
          <t>N/A</t>
        </is>
      </c>
      <c r="J22" s="610"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610" t="inlineStr">
        <is>
          <t>Circular economy</t>
        </is>
      </c>
      <c r="L22" s="610" t="inlineStr">
        <is>
          <t>Indirect</t>
        </is>
      </c>
      <c r="M22" s="610" t="inlineStr">
        <is>
          <t>national</t>
        </is>
      </c>
      <c r="N22" s="610" t="inlineStr">
        <is>
          <t>N/A</t>
        </is>
      </c>
      <c r="O22" s="610" t="inlineStr">
        <is>
          <t>26/01/2018</t>
        </is>
      </c>
      <c r="P22" s="610" t="inlineStr">
        <is>
          <t>01/08/2018</t>
        </is>
      </c>
      <c r="Q22" s="610" t="inlineStr">
        <is>
          <t>N/A</t>
        </is>
      </c>
      <c r="R22" s="610" t="inlineStr">
        <is>
          <t>30/10/2025</t>
        </is>
      </c>
      <c r="S22" s="610"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T22" s="610">
        <f>IF(P22="","In force",IF(P22="N/A","In force",IF(TODAY()&lt;DATE(VALUE(RIGHT(P22,4)),VALUE(MID(P22,4,2)),VALUE(LEFT(P22,2))),"Scheduled",IF(Q22="","In force",IF(Q22="N/A","In force",IF(TODAY()&lt;DATE(VALUE(RIGHT(Q22,4)),VALUE(MID(Q22,4,2)),VALUE(LEFT(Q22,2))),"In force","Ended"))))))</f>
        <v/>
      </c>
      <c r="U22" s="610" t="inlineStr">
        <is>
          <t>Ministry of Industry and Information Technology; NDRC; Ministry of Ecology and Environment; Ministry of Transport; Ministry of Commerce; State Administration for Market Regulation</t>
        </is>
      </c>
      <c r="V22" s="610" t="inlineStr">
        <is>
          <t>Waste power batteries from new energy vehicles</t>
        </is>
      </c>
      <c r="W22" s="610" t="inlineStr">
        <is>
          <t>Existing</t>
        </is>
      </c>
      <c r="X22" s="610"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Y22" s="610" t="inlineStr">
        <is>
          <t>N/A</t>
        </is>
      </c>
      <c r="Z22" s="610" t="inlineStr">
        <is>
          <t>N/A</t>
        </is>
      </c>
      <c r="AA22" s="610" t="inlineStr">
        <is>
          <t>Firms</t>
        </is>
      </c>
      <c r="AB22" s="610"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C22" s="610" t="inlineStr">
        <is>
          <t>Collection or sorting (post-consumer); Recovery, reuse or other post-consumer treatment</t>
        </is>
      </c>
      <c r="AD22" s="610"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E22" s="610" t="inlineStr">
        <is>
          <t>Regenerative recovery enterprise capacity &gt;= 5,000 tonnes/year</t>
        </is>
      </c>
      <c r="AF22" s="610" t="inlineStr">
        <is>
          <t>Annual comprehensive utilisation capacity (tonnes/year)</t>
        </is>
      </c>
      <c r="AG22" s="610"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H22" s="610"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I22" s="610" t="inlineStr">
        <is>
          <t>N/A</t>
        </is>
      </c>
      <c r="AJ22" s="610" t="inlineStr">
        <is>
          <t>N/A</t>
        </is>
      </c>
      <c r="AK22" s="610" t="inlineStr">
        <is>
          <t>Traceability information platform whole-process traceability; Battery coding and digital ID cards; Information reporting; Supervision and inspection</t>
        </is>
      </c>
      <c r="AL22" s="610"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M22" s="610" t="inlineStr">
        <is>
          <t>Order to rectify; Fines; Order to suspend production for rectification</t>
        </is>
      </c>
      <c r="AN22" s="610"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O22" s="610"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P22" s="610"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Q22" s="610"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R22" s="610" t="inlineStr">
        <is>
          <t>N/A (Source: MIIT data; no unified national total share accounting for power battery recycling emission reductions is currently available)</t>
        </is>
      </c>
      <c r="AS22" s="610" t="inlineStr">
        <is>
          <t>C29; C27</t>
        </is>
      </c>
      <c r="AT22" s="610" t="inlineStr">
        <is>
          <t>CO2</t>
        </is>
      </c>
      <c r="AU22" s="610" t="inlineStr">
        <is>
          <t>Positive</t>
        </is>
      </c>
      <c r="AV22" s="610" t="inlineStr">
        <is>
          <t>Resource conservation; Circular economy; Pollution control; Industrial development</t>
        </is>
      </c>
      <c r="AW22" s="610" t="inlineStr">
        <is>
          <t>Interim Measures for the Management of Recycling and Comprehensive Utilisation of Waste Power Batteries from New Energy Vehicles (Six-Department Joint Departmental Regulation No. 73)</t>
        </is>
      </c>
      <c r="AX22" s="610" t="inlineStr">
        <is>
          <t>https://www.miit.gov.cn/zcfg/jdcjxl/art/2026/art_640a0abfac6549feb6ead9c591b7680d.html</t>
        </is>
      </c>
      <c r="AY22" s="610" t="inlineStr">
        <is>
          <t>NEV Waste Power Battery Comprehensive Utilisation Industry Standard Conditions (2024 edition) (MIIT Announcement No. 42 of 2024) | Action Plan of the General Office of the State Council for Perfecting the NEV Power Battery Recycling System (SCGO [2025] No. 10)</t>
        </is>
      </c>
      <c r="AZ22" s="610" t="inlineStr"/>
    </row>
    <row r="23">
      <c r="A23" s="610" t="inlineStr">
        <is>
          <t>CHNFRMGFGI01S000</t>
        </is>
      </c>
      <c r="B23" s="610" t="inlineStr">
        <is>
          <t>Instrument</t>
        </is>
      </c>
      <c r="C23" s="610" t="inlineStr">
        <is>
          <t>Framework regulation</t>
        </is>
      </c>
      <c r="D23" s="610" t="inlineStr">
        <is>
          <t>Green finance governance framework</t>
        </is>
      </c>
      <c r="E23" s="610" t="inlineStr">
        <is>
          <t>Cross-sectoral</t>
        </is>
      </c>
      <c r="F23" s="610" t="inlineStr">
        <is>
          <t>N/A</t>
        </is>
      </c>
      <c r="G23" s="610" t="inlineStr">
        <is>
          <t>银行业保险业绿色金融指引</t>
        </is>
      </c>
      <c r="H23" s="610" t="inlineStr">
        <is>
          <t>Green Finance Guidelines for Banking and Insurance</t>
        </is>
      </c>
      <c r="I23" s="610" t="inlineStr">
        <is>
          <t>N/A</t>
        </is>
      </c>
      <c r="J23" s="610"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610" t="inlineStr">
        <is>
          <t>Green economy; Climate change mitigation; Green finance</t>
        </is>
      </c>
      <c r="L23" s="610" t="inlineStr">
        <is>
          <t>Indirect</t>
        </is>
      </c>
      <c r="M23" s="610" t="inlineStr">
        <is>
          <t>national</t>
        </is>
      </c>
      <c r="N23" s="610" t="inlineStr">
        <is>
          <t>N/A</t>
        </is>
      </c>
      <c r="O23" s="610" t="inlineStr">
        <is>
          <t>01/06/2022</t>
        </is>
      </c>
      <c r="P23" s="610" t="inlineStr">
        <is>
          <t>01/06/2022</t>
        </is>
      </c>
      <c r="Q23" s="610" t="inlineStr">
        <is>
          <t>N/A</t>
        </is>
      </c>
      <c r="R23" s="610" t="inlineStr">
        <is>
          <t>N/A</t>
        </is>
      </c>
      <c r="S23" s="610" t="inlineStr">
        <is>
          <t>N/A</t>
        </is>
      </c>
      <c r="T23" s="610">
        <f>IF(P23="","In force",IF(P23="N/A","In force",IF(TODAY()&lt;DATE(VALUE(RIGHT(P23,4)),VALUE(MID(P23,4,2)),VALUE(LEFT(P23,2))),"Scheduled",IF(Q23="","In force",IF(Q23="N/A","In force",IF(TODAY()&lt;DATE(VALUE(RIGHT(Q23,4)),VALUE(MID(Q23,4,2)),VALUE(LEFT(Q23,2))),"In force","Ended"))))))</f>
        <v/>
      </c>
      <c r="U23" s="610" t="inlineStr">
        <is>
          <t>National Financial Regulatory Administration (formerly China Banking and Insurance Regulatory Commission)</t>
        </is>
      </c>
      <c r="V23" s="610" t="inlineStr">
        <is>
          <t>Green finance assets</t>
        </is>
      </c>
      <c r="W23" s="610" t="inlineStr">
        <is>
          <t>New; Existing</t>
        </is>
      </c>
      <c r="X23" s="610"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Y23" s="610" t="inlineStr">
        <is>
          <t>N/A</t>
        </is>
      </c>
      <c r="Z23" s="610" t="inlineStr">
        <is>
          <t>N/A</t>
        </is>
      </c>
      <c r="AA23" s="610" t="inlineStr">
        <is>
          <t>Firms</t>
        </is>
      </c>
      <c r="AB23" s="610"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C23" s="610" t="inlineStr">
        <is>
          <t>Financing and investment</t>
        </is>
      </c>
      <c r="AD23" s="610"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E23" s="610" t="inlineStr">
        <is>
          <t>N/A</t>
        </is>
      </c>
      <c r="AF23" s="610" t="inlineStr">
        <is>
          <t>N/A</t>
        </is>
      </c>
      <c r="AG23" s="610" t="inlineStr">
        <is>
          <t>N/A</t>
        </is>
      </c>
      <c r="AH23" s="610"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I23" s="610" t="inlineStr">
        <is>
          <t>N/A</t>
        </is>
      </c>
      <c r="AJ23" s="610" t="inlineStr">
        <is>
          <t>N/A</t>
        </is>
      </c>
      <c r="AK23" s="610" t="inlineStr">
        <is>
          <t>Information reporting; Internal audit; Supervision and inspection</t>
        </is>
      </c>
      <c r="AL23" s="610"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M23" s="610" t="inlineStr">
        <is>
          <t>Compliance order; Administrative penalty; Rectification order</t>
        </is>
      </c>
      <c r="AN23" s="610"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O23" s="610" t="inlineStr">
        <is>
          <t>Supervisory rating linkage; Market incentives</t>
        </is>
      </c>
      <c r="AP23" s="610"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Q23" s="610" t="inlineStr">
        <is>
          <t>N/A</t>
        </is>
      </c>
      <c r="AR23" s="610" t="inlineStr">
        <is>
          <t>N/A</t>
        </is>
      </c>
      <c r="AS23" s="610" t="inlineStr">
        <is>
          <t>K64</t>
        </is>
      </c>
      <c r="AT23" s="610" t="inlineStr">
        <is>
          <t>CO2; CH4; N2O</t>
        </is>
      </c>
      <c r="AU23" s="610" t="inlineStr">
        <is>
          <t>Positive</t>
        </is>
      </c>
      <c r="AV23" s="610" t="inlineStr">
        <is>
          <t>Industrial development; Pollution control; Technological innovation</t>
        </is>
      </c>
      <c r="AW23" s="610" t="inlineStr">
        <is>
          <t>Notice of the China Banking and Insurance Regulatory Commission on Issuing the Green Finance Guidelines for Banking and Insurance (Yin Bao Jian Fa [2022] No. 15)</t>
        </is>
      </c>
      <c r="AX23" s="610" t="inlineStr">
        <is>
          <t>https://www.gov.cn/zhengce/zhengceku/2022-06/03/content_5693849.htm</t>
        </is>
      </c>
      <c r="AY23" s="610" t="inlineStr">
        <is>
          <t>N/A</t>
        </is>
      </c>
      <c r="AZ23" s="610" t="inlineStr"/>
    </row>
    <row r="24">
      <c r="A24" s="610" t="inlineStr">
        <is>
          <t>CHNFRMPSMI01S000</t>
        </is>
      </c>
      <c r="B24" s="610" t="inlineStr">
        <is>
          <t>Instrument</t>
        </is>
      </c>
      <c r="C24" s="610" t="inlineStr">
        <is>
          <t>Framework regulation</t>
        </is>
      </c>
      <c r="D24" s="610" t="inlineStr">
        <is>
          <t>Production scheduling mandate</t>
        </is>
      </c>
      <c r="E24" s="610" t="inlineStr">
        <is>
          <t>Industry</t>
        </is>
      </c>
      <c r="F24" s="610" t="inlineStr">
        <is>
          <t>Cement</t>
        </is>
      </c>
      <c r="G24" s="610" t="inlineStr">
        <is>
          <t>水泥常态化错峰生产制度</t>
        </is>
      </c>
      <c r="H24" s="610" t="inlineStr">
        <is>
          <t>Cement Normalized Peak-shifting Production System</t>
        </is>
      </c>
      <c r="I24" s="610" t="inlineStr">
        <is>
          <t>N/A</t>
        </is>
      </c>
      <c r="J24" s="610"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610" t="inlineStr">
        <is>
          <t>Industrial development; Pollution control; Climate change mitigation</t>
        </is>
      </c>
      <c r="L24" s="610" t="inlineStr">
        <is>
          <t>Indirect</t>
        </is>
      </c>
      <c r="M24" s="610" t="inlineStr">
        <is>
          <t>national</t>
        </is>
      </c>
      <c r="N24" s="610" t="inlineStr">
        <is>
          <t>N/A</t>
        </is>
      </c>
      <c r="O24" s="610" t="inlineStr">
        <is>
          <t>05/05/2016</t>
        </is>
      </c>
      <c r="P24" s="610" t="inlineStr">
        <is>
          <t>05/05/2016</t>
        </is>
      </c>
      <c r="Q24" s="610" t="inlineStr">
        <is>
          <t>N/A</t>
        </is>
      </c>
      <c r="R24" s="610" t="inlineStr">
        <is>
          <t>28/12/2020</t>
        </is>
      </c>
      <c r="S24" s="610"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T24" s="610">
        <f>IF(P24="","In force",IF(P24="N/A","In force",IF(TODAY()&lt;DATE(VALUE(RIGHT(P24,4)),VALUE(MID(P24,4,2)),VALUE(LEFT(P24,2))),"Scheduled",IF(Q24="","In force",IF(Q24="N/A","In force",IF(TODAY()&lt;DATE(VALUE(RIGHT(Q24,4)),VALUE(MID(Q24,4,2)),VALUE(LEFT(Q24,2))),"In force","Ended"))))))</f>
        <v/>
      </c>
      <c r="U24" s="610" t="inlineStr">
        <is>
          <t>Ministry of Industry and Information Technology; Ministry of Ecology and Environment</t>
        </is>
      </c>
      <c r="V24" s="610" t="inlineStr">
        <is>
          <t>Cement clinker production lines</t>
        </is>
      </c>
      <c r="W24" s="610" t="inlineStr">
        <is>
          <t>Existing</t>
        </is>
      </c>
      <c r="X24" s="610"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Y24" s="610" t="inlineStr">
        <is>
          <t>N/A</t>
        </is>
      </c>
      <c r="Z24" s="610" t="inlineStr">
        <is>
          <t>N/A</t>
        </is>
      </c>
      <c r="AA24" s="610" t="inlineStr">
        <is>
          <t>Firms</t>
        </is>
      </c>
      <c r="AB24" s="610"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C24" s="610" t="inlineStr">
        <is>
          <t>Production, generation or conversion</t>
        </is>
      </c>
      <c r="AD24" s="610"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E24" s="610" t="inlineStr">
        <is>
          <t>Differentiated by region</t>
        </is>
      </c>
      <c r="AF24" s="610" t="inlineStr">
        <is>
          <t>Shutdown days/year</t>
        </is>
      </c>
      <c r="AG24" s="610"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H24" s="610"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I24" s="610" t="inlineStr">
        <is>
          <t>N/A</t>
        </is>
      </c>
      <c r="AJ24" s="610" t="inlineStr">
        <is>
          <t>N/A</t>
        </is>
      </c>
      <c r="AK24" s="610" t="inlineStr">
        <is>
          <t>Online monitoring; information reporting; on-site inspection; supervision and assessment</t>
        </is>
      </c>
      <c r="AL24" s="610"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M24" s="610" t="inlineStr">
        <is>
          <t>Regulatory interview; public exposure; restriction on capacity replacement indicator trading; industry self-regulation sanctions</t>
        </is>
      </c>
      <c r="AN24" s="610"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O24" s="610"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P24" s="610"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Q24" s="610"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R24" s="610" t="inlineStr">
        <is>
          <t>Approximately 2%-3% (Source: China Cement Association; cement industry carbon emissions account for approximately 10%-12% of national total; peak-shifting production reduces output by approximately 20%-30% of national cement clinker production)</t>
        </is>
      </c>
      <c r="AS24" s="610" t="inlineStr">
        <is>
          <t>C23</t>
        </is>
      </c>
      <c r="AT24" s="610" t="inlineStr">
        <is>
          <t>CO2</t>
        </is>
      </c>
      <c r="AU24" s="610" t="inlineStr">
        <is>
          <t>Positive</t>
        </is>
      </c>
      <c r="AV24" s="610" t="inlineStr">
        <is>
          <t>Pollution control; Resource conservation</t>
        </is>
      </c>
      <c r="AW24" s="610" t="inlineStr">
        <is>
          <t>Notice of the Ministry of Industry and Information Technology and the Ministry of Ecology and Environment on Further Improving the Cement Normalized Peak-shifting Production (MIIT &amp; MEE Joint Notice [2020] No. 201)</t>
        </is>
      </c>
      <c r="AX24" s="610" t="inlineStr">
        <is>
          <t>https://www.miit.gov.cn/jgsj/ycls/gzdt/art/2020/art_468a2824c4474f798f0f3c4fe647006e.html</t>
        </is>
      </c>
      <c r="AY24" s="610"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c r="AZ24" s="610" t="inlineStr"/>
    </row>
    <row r="25">
      <c r="A25" s="610" t="inlineStr">
        <is>
          <t>CHNFRMECOI01S000</t>
        </is>
      </c>
      <c r="B25" s="610" t="inlineStr">
        <is>
          <t>Instrument</t>
        </is>
      </c>
      <c r="C25" s="610" t="inlineStr">
        <is>
          <t>Framework regulation</t>
        </is>
      </c>
      <c r="D25" s="610" t="inlineStr">
        <is>
          <t>Eco-compensation</t>
        </is>
      </c>
      <c r="E25" s="610" t="inlineStr">
        <is>
          <t>AFOLU</t>
        </is>
      </c>
      <c r="F25" s="610" t="inlineStr">
        <is>
          <t>N/A</t>
        </is>
      </c>
      <c r="G25" s="610" t="inlineStr">
        <is>
          <t>生态保护补偿制度</t>
        </is>
      </c>
      <c r="H25" s="610" t="inlineStr">
        <is>
          <t>Eco-compensation System</t>
        </is>
      </c>
      <c r="I25" s="610" t="inlineStr">
        <is>
          <t>N/A</t>
        </is>
      </c>
      <c r="J25" s="610"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610" t="inlineStr">
        <is>
          <t>Ecological protection</t>
        </is>
      </c>
      <c r="L25" s="610" t="inlineStr">
        <is>
          <t>Indirect</t>
        </is>
      </c>
      <c r="M25" s="610" t="inlineStr">
        <is>
          <t>national</t>
        </is>
      </c>
      <c r="N25" s="610" t="inlineStr">
        <is>
          <t>N/A</t>
        </is>
      </c>
      <c r="O25" s="610" t="inlineStr">
        <is>
          <t>13/05/2016</t>
        </is>
      </c>
      <c r="P25" s="610" t="inlineStr">
        <is>
          <t>13/05/2016</t>
        </is>
      </c>
      <c r="Q25" s="610" t="inlineStr">
        <is>
          <t>N/A</t>
        </is>
      </c>
      <c r="R25" s="610" t="inlineStr">
        <is>
          <t>06/04/2024</t>
        </is>
      </c>
      <c r="S25" s="610"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Ministry of Finance; Ministry of Natural Resources; Ministry of Ecology and Environment; Ministry of Water Resources; Ministry of Agriculture and Rural Affairs; National Forestry and Grassland Administration.</t>
        </is>
      </c>
      <c r="V25" s="610" t="inlineStr">
        <is>
          <t>Seven categories of ecosystems: forests, grasslands, wetlands, deserts, oceans, water bodies (rivers and lakes), and farmland.</t>
        </is>
      </c>
      <c r="W25" s="610" t="inlineStr">
        <is>
          <t>Existing</t>
        </is>
      </c>
      <c r="X25" s="610"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Y25" s="610" t="inlineStr">
        <is>
          <t>N/A</t>
        </is>
      </c>
      <c r="Z25" s="610" t="inlineStr">
        <is>
          <t>N/A</t>
        </is>
      </c>
      <c r="AA25" s="610" t="inlineStr">
        <is>
          <t>Households; Firms; Governments</t>
        </is>
      </c>
      <c r="AB25" s="610"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C25" s="610" t="inlineStr">
        <is>
          <t>Protection or restoration (ecosystems); Production</t>
        </is>
      </c>
      <c r="AD25" s="610"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E25" s="610" t="inlineStr">
        <is>
          <t>Approximately RMB 200 billion/year (aggregate of various compensation funds including key ecological function zone transfer payments, forest ecological benefit compensation, grassland rewards and subsidies, etc.).</t>
        </is>
      </c>
      <c r="AF25" s="610" t="inlineStr">
        <is>
          <t>Annual compensation funding total (RMB hundred million/year)</t>
        </is>
      </c>
      <c r="AG25" s="610"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H25" s="610"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I25" s="610" t="inlineStr">
        <is>
          <t>N/A</t>
        </is>
      </c>
      <c r="AJ25" s="610" t="inlineStr">
        <is>
          <t>N/A</t>
        </is>
      </c>
      <c r="AK25" s="610" t="inlineStr">
        <is>
          <t>Inter-ministerial joint conference system; performance evaluation; audit supervision; monitoring and assessment.</t>
        </is>
      </c>
      <c r="AL25" s="610"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M25" s="610" t="inlineStr">
        <is>
          <t>Administrative interview; rectification within a prescribed period; reduction of transfer payment funds; recovery of compensation funds; administrative sanctions; criminal prosecution.</t>
        </is>
      </c>
      <c r="AN25" s="610"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O25" s="610"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P25" s="610"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Q25" s="610"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R25" s="610"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S25" s="610" t="inlineStr">
        <is>
          <t>A02</t>
        </is>
      </c>
      <c r="AT25" s="610" t="inlineStr">
        <is>
          <t>CO2</t>
        </is>
      </c>
      <c r="AU25" s="610" t="inlineStr">
        <is>
          <t>Positive</t>
        </is>
      </c>
      <c r="AV25" s="610" t="inlineStr">
        <is>
          <t>Ecological protection; Biodiversity conservation; Pollution control; Climate change adaptation</t>
        </is>
      </c>
      <c r="AW25" s="610" t="inlineStr">
        <is>
          <t>Regulation of the People's Republic of China on Eco-protection Compensation (State Council Order No. 779, promulgated 6 April 2024, effective 1 June 2024)</t>
        </is>
      </c>
      <c r="AX25" s="610" t="inlineStr">
        <is>
          <t>https://www.gov.cn/zhengce/content/202404/content_6944394.htm</t>
        </is>
      </c>
      <c r="AY25" s="610"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c r="AZ25" s="610" t="inlineStr"/>
    </row>
    <row r="26">
      <c r="A26" s="610" t="inlineStr">
        <is>
          <t>CHNFRMEEZI01S000</t>
        </is>
      </c>
      <c r="B26" s="610" t="inlineStr">
        <is>
          <t>Instrument</t>
        </is>
      </c>
      <c r="C26" s="610" t="inlineStr">
        <is>
          <t>Framework regulation</t>
        </is>
      </c>
      <c r="D26" s="610" t="inlineStr">
        <is>
          <t>Eco-environmental zoning</t>
        </is>
      </c>
      <c r="E26" s="610" t="inlineStr">
        <is>
          <t>Cross-sectoral</t>
        </is>
      </c>
      <c r="F26" s="610" t="inlineStr">
        <is>
          <t>N/A</t>
        </is>
      </c>
      <c r="G26" s="610" t="inlineStr">
        <is>
          <t>三线一单生态环境分区管控制度</t>
        </is>
      </c>
      <c r="H26" s="610" t="inlineStr">
        <is>
          <t>Three Lines One Permit Eco-environmental Zoning System</t>
        </is>
      </c>
      <c r="I26" s="610" t="inlineStr">
        <is>
          <t>N/A</t>
        </is>
      </c>
      <c r="J26" s="610"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610" t="inlineStr">
        <is>
          <t>Ecological protection; Pollution control</t>
        </is>
      </c>
      <c r="L26" s="610" t="inlineStr">
        <is>
          <t>Indirect</t>
        </is>
      </c>
      <c r="M26" s="610" t="inlineStr">
        <is>
          <t>national</t>
        </is>
      </c>
      <c r="N26" s="610" t="inlineStr">
        <is>
          <t>N/A</t>
        </is>
      </c>
      <c r="O26" s="610" t="inlineStr">
        <is>
          <t>19/11/2021</t>
        </is>
      </c>
      <c r="P26" s="610" t="inlineStr">
        <is>
          <t>19/11/2021</t>
        </is>
      </c>
      <c r="Q26" s="610" t="inlineStr">
        <is>
          <t>N/A</t>
        </is>
      </c>
      <c r="R26" s="610" t="inlineStr">
        <is>
          <t>N/A</t>
        </is>
      </c>
      <c r="S26" s="610"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T26" s="610">
        <f>IF(P26="","In force",IF(P26="N/A","In force",IF(TODAY()&lt;DATE(VALUE(RIGHT(P26,4)),VALUE(MID(P26,4,2)),VALUE(LEFT(P26,2))),"Scheduled",IF(Q26="","In force",IF(Q26="N/A","In force",IF(TODAY()&lt;DATE(VALUE(RIGHT(Q26,4)),VALUE(MID(Q26,4,2)),VALUE(LEFT(Q26,2))),"In force","Ended"))))))</f>
        <v/>
      </c>
      <c r="U26" s="610" t="inlineStr">
        <is>
          <t>Ministry of Ecology and Environment; National Development and Reform Commission; Ministry of Natural Resources; provincial people's governments; municipal people's governments.</t>
        </is>
      </c>
      <c r="V26" s="610" t="inlineStr">
        <is>
          <t>Land</t>
        </is>
      </c>
      <c r="W26" s="610" t="inlineStr">
        <is>
          <t>Existing</t>
        </is>
      </c>
      <c r="X26" s="610"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Y26" s="610" t="inlineStr">
        <is>
          <t>N/A</t>
        </is>
      </c>
      <c r="Z26" s="610" t="inlineStr">
        <is>
          <t>N/A</t>
        </is>
      </c>
      <c r="AA26" s="610" t="inlineStr">
        <is>
          <t>Governments</t>
        </is>
      </c>
      <c r="AB26" s="610"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C26" s="610" t="inlineStr">
        <is>
          <t>Production; Investment</t>
        </is>
      </c>
      <c r="AD26" s="610"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E26" s="610" t="inlineStr">
        <is>
          <t>Approximately 40,000+ eco-environmental control units delineated nationwide.</t>
        </is>
      </c>
      <c r="AF26" s="610" t="inlineStr">
        <is>
          <t>Number of eco-environmental control units (units)</t>
        </is>
      </c>
      <c r="AG26" s="610"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H26" s="610"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I26" s="610" t="inlineStr">
        <is>
          <t>N/A</t>
        </is>
      </c>
      <c r="AJ26" s="610" t="inlineStr">
        <is>
          <t>N/A</t>
        </is>
      </c>
      <c r="AK26" s="610" t="inlineStr">
        <is>
          <t>Data sharing platform; tracking assessment; annual reporting; satellite remote sensing dynamic monitoring; comprehensive 5-year assessment.</t>
        </is>
      </c>
      <c r="AL26" s="610"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M26" s="610" t="inlineStr">
        <is>
          <t>Revocation of approval decisions; administrative sanctions; refusal of EIA approval; administrative interview; rectification within a prescribed period.</t>
        </is>
      </c>
      <c r="AN26" s="610"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O26" s="610"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P26" s="610"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Q26" s="610"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R26" s="610"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S26" s="610" t="inlineStr">
        <is>
          <t>O84</t>
        </is>
      </c>
      <c r="AT26" s="610" t="inlineStr">
        <is>
          <t>CO2</t>
        </is>
      </c>
      <c r="AU26" s="610" t="inlineStr">
        <is>
          <t>Positive</t>
        </is>
      </c>
      <c r="AV26" s="610" t="inlineStr">
        <is>
          <t>Ecological protection; Biodiversity conservation; Pollution control; Resource conservation; Industrial development; Energy conservation; Climate change adaptation</t>
        </is>
      </c>
      <c r="AW26" s="610" t="inlineStr">
        <is>
          <t>Guiding Opinions on Implementing the 'Three Lines One Permit' Eco-environmental Zoning System (Trial) (Huanhuanping [2021] No. 108)</t>
        </is>
      </c>
      <c r="AX26" s="610" t="inlineStr">
        <is>
          <t>https://www.mee.gov.cn/xxgk2018/xxgk/xxgk03/202111/t20211125_961692.html</t>
        </is>
      </c>
      <c r="AY26" s="610"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c r="AZ26" s="610" t="inlineStr"/>
    </row>
    <row r="27">
      <c r="A27" s="610" t="inlineStr">
        <is>
          <t>CHNFRMECMI01S000</t>
        </is>
      </c>
      <c r="B27" s="610" t="inlineStr">
        <is>
          <t>Instrument</t>
        </is>
      </c>
      <c r="C27" s="610" t="inlineStr">
        <is>
          <t>Framework regulation</t>
        </is>
      </c>
      <c r="D27" s="610" t="inlineStr">
        <is>
          <t>Ecosystem protection mandate</t>
        </is>
      </c>
      <c r="E27" s="610" t="inlineStr">
        <is>
          <t>AFOLU</t>
        </is>
      </c>
      <c r="F27" s="610" t="inlineStr">
        <is>
          <t>Forestry</t>
        </is>
      </c>
      <c r="G27" s="610" t="inlineStr">
        <is>
          <t>天然林保护修复制度</t>
        </is>
      </c>
      <c r="H27" s="610" t="inlineStr">
        <is>
          <t>Natural Forest Protection and Restoration System</t>
        </is>
      </c>
      <c r="I27" s="610" t="inlineStr">
        <is>
          <t>N/A</t>
        </is>
      </c>
      <c r="J27" s="610"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610" t="inlineStr">
        <is>
          <t>Ecological protection; Climate change mitigation</t>
        </is>
      </c>
      <c r="L27" s="610" t="inlineStr">
        <is>
          <t>Indirect</t>
        </is>
      </c>
      <c r="M27" s="610" t="inlineStr">
        <is>
          <t>national</t>
        </is>
      </c>
      <c r="N27" s="610" t="inlineStr">
        <is>
          <t>N/A</t>
        </is>
      </c>
      <c r="O27" s="610" t="inlineStr">
        <is>
          <t>23/07/2019</t>
        </is>
      </c>
      <c r="P27" s="610" t="inlineStr">
        <is>
          <t>23/07/2019</t>
        </is>
      </c>
      <c r="Q27" s="610" t="inlineStr">
        <is>
          <t>N/A</t>
        </is>
      </c>
      <c r="R27" s="610" t="inlineStr">
        <is>
          <t>N/A</t>
        </is>
      </c>
      <c r="S27" s="610" t="inlineStr">
        <is>
          <t>N/A</t>
        </is>
      </c>
      <c r="T27" s="610">
        <f>IF(P27="","In force",IF(P27="N/A","In force",IF(TODAY()&lt;DATE(VALUE(RIGHT(P27,4)),VALUE(MID(P27,4,2)),VALUE(LEFT(P27,2))),"Scheduled",IF(Q27="","In force",IF(Q27="N/A","In force",IF(TODAY()&lt;DATE(VALUE(RIGHT(Q27,4)),VALUE(MID(Q27,4,2)),VALUE(LEFT(Q27,2))),"In force","Ended"))))))</f>
        <v/>
      </c>
      <c r="U27" s="610" t="inlineStr">
        <is>
          <t>National Forestry and Grassland Administration; Ministry of Natural Resources; Ministry of Ecology and Environment</t>
        </is>
      </c>
      <c r="V27" s="610" t="inlineStr">
        <is>
          <t>Natural forests</t>
        </is>
      </c>
      <c r="W27" s="610" t="inlineStr">
        <is>
          <t>Existing</t>
        </is>
      </c>
      <c r="X27" s="610"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Y27" s="610" t="inlineStr">
        <is>
          <t>N/A</t>
        </is>
      </c>
      <c r="Z27" s="610" t="inlineStr">
        <is>
          <t>N/A</t>
        </is>
      </c>
      <c r="AA27" s="610" t="inlineStr">
        <is>
          <t>Firms; Governments</t>
        </is>
      </c>
      <c r="AB27" s="610"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C27" s="610" t="inlineStr">
        <is>
          <t>Protection or restoration (ecosystem)</t>
        </is>
      </c>
      <c r="AD27" s="610"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E27" s="610" t="inlineStr">
        <is>
          <t>N/A</t>
        </is>
      </c>
      <c r="AF27" s="610" t="inlineStr">
        <is>
          <t>N/A</t>
        </is>
      </c>
      <c r="AG27" s="610" t="inlineStr">
        <is>
          <t>N/A</t>
        </is>
      </c>
      <c r="AH27" s="610"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I27" s="610" t="inlineStr">
        <is>
          <t>N/A</t>
        </is>
      </c>
      <c r="AJ27" s="610" t="inlineStr">
        <is>
          <t>N/A</t>
        </is>
      </c>
      <c r="AK27" s="610" t="inlineStr">
        <is>
          <t>Supervision and inspection; monitoring and assessment; annual reporting; performance evaluation</t>
        </is>
      </c>
      <c r="AL27" s="610"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M27" s="610" t="inlineStr">
        <is>
          <t>Administrative penalties; fines; criminal liability; performance evaluation accountability</t>
        </is>
      </c>
      <c r="AN27" s="610"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O27" s="610"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P27" s="610"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Q27" s="610"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R27" s="610"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S27" s="610" t="inlineStr">
        <is>
          <t>A02</t>
        </is>
      </c>
      <c r="AT27" s="610" t="inlineStr">
        <is>
          <t>CO2</t>
        </is>
      </c>
      <c r="AU27" s="610" t="inlineStr">
        <is>
          <t>Positive</t>
        </is>
      </c>
      <c r="AV27" s="610" t="inlineStr">
        <is>
          <t>Ecological protection; Biodiversity conservation; Climate change adaptation</t>
        </is>
      </c>
      <c r="AW27" s="610" t="inlineStr">
        <is>
          <t>General Office of the CPC Central Committee and General Office of the State Council, Natural Forest Protection and Restoration System Plan</t>
        </is>
      </c>
      <c r="AX27" s="610" t="inlineStr">
        <is>
          <t>https://www.gov.cn/zhengce/2019-07/23/content_5413850.htm</t>
        </is>
      </c>
      <c r="AY27" s="610" t="inlineStr">
        <is>
          <t>Forestry Law of the People's Republic of China: http://www.npc.gov.cn/npc/c2/c30834/201912/t20191228_304013.html</t>
        </is>
      </c>
      <c r="AZ27" s="610" t="inlineStr"/>
    </row>
    <row r="28">
      <c r="A28" s="610" t="inlineStr">
        <is>
          <t>CHNFRMECMI02S000</t>
        </is>
      </c>
      <c r="B28" s="610" t="inlineStr">
        <is>
          <t>Instrument</t>
        </is>
      </c>
      <c r="C28" s="610" t="inlineStr">
        <is>
          <t>Framework regulation</t>
        </is>
      </c>
      <c r="D28" s="610" t="inlineStr">
        <is>
          <t>Ecosystem protection mandate</t>
        </is>
      </c>
      <c r="E28" s="610" t="inlineStr">
        <is>
          <t>AFOLU</t>
        </is>
      </c>
      <c r="F28" s="610" t="inlineStr">
        <is>
          <t>Grassland</t>
        </is>
      </c>
      <c r="G28" s="610" t="inlineStr">
        <is>
          <t>草原保护修复制度</t>
        </is>
      </c>
      <c r="H28" s="610" t="inlineStr">
        <is>
          <t>Grassland Protection and Restoration System</t>
        </is>
      </c>
      <c r="I28" s="610" t="inlineStr">
        <is>
          <t>N/A</t>
        </is>
      </c>
      <c r="J28" s="610"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610" t="inlineStr">
        <is>
          <t>Ecological protection; Climate change mitigation</t>
        </is>
      </c>
      <c r="L28" s="610" t="inlineStr">
        <is>
          <t>Indirect</t>
        </is>
      </c>
      <c r="M28" s="610" t="inlineStr">
        <is>
          <t>national</t>
        </is>
      </c>
      <c r="N28" s="610" t="inlineStr">
        <is>
          <t>N/A</t>
        </is>
      </c>
      <c r="O28" s="610" t="inlineStr">
        <is>
          <t>12/03/2021</t>
        </is>
      </c>
      <c r="P28" s="610" t="inlineStr">
        <is>
          <t>12/03/2021</t>
        </is>
      </c>
      <c r="Q28" s="610" t="inlineStr">
        <is>
          <t>N/A</t>
        </is>
      </c>
      <c r="R28" s="610" t="inlineStr">
        <is>
          <t>N/A</t>
        </is>
      </c>
      <c r="S28" s="610" t="inlineStr">
        <is>
          <t>N/A</t>
        </is>
      </c>
      <c r="T28" s="610">
        <f>IF(P28="","In force",IF(P28="N/A","In force",IF(TODAY()&lt;DATE(VALUE(RIGHT(P28,4)),VALUE(MID(P28,4,2)),VALUE(LEFT(P28,2))),"Scheduled",IF(Q28="","In force",IF(Q28="N/A","In force",IF(TODAY()&lt;DATE(VALUE(RIGHT(Q28,4)),VALUE(MID(Q28,4,2)),VALUE(LEFT(Q28,2))),"In force","Ended"))))))</f>
        <v/>
      </c>
      <c r="U28" s="610" t="inlineStr">
        <is>
          <t>National Forestry and Grassland Administration; Ministry of Agriculture and Rural Affairs; Ministry of Natural Resources</t>
        </is>
      </c>
      <c r="V28" s="610" t="inlineStr">
        <is>
          <t>Grasslands</t>
        </is>
      </c>
      <c r="W28" s="610" t="inlineStr">
        <is>
          <t>Existing</t>
        </is>
      </c>
      <c r="X28" s="610"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Y28" s="610" t="inlineStr">
        <is>
          <t>N/A</t>
        </is>
      </c>
      <c r="Z28" s="610" t="inlineStr">
        <is>
          <t>N/A</t>
        </is>
      </c>
      <c r="AA28" s="610" t="inlineStr">
        <is>
          <t>Households; Firms</t>
        </is>
      </c>
      <c r="AB28" s="610"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C28" s="610" t="inlineStr">
        <is>
          <t>Protection or restoration (ecosystem)</t>
        </is>
      </c>
      <c r="AD28" s="610"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E28" s="610" t="inlineStr">
        <is>
          <t>N/A</t>
        </is>
      </c>
      <c r="AF28" s="610" t="inlineStr">
        <is>
          <t>N/A</t>
        </is>
      </c>
      <c r="AG28" s="610" t="inlineStr">
        <is>
          <t>N/A</t>
        </is>
      </c>
      <c r="AH28" s="610"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I28" s="610" t="inlineStr">
        <is>
          <t>N/A</t>
        </is>
      </c>
      <c r="AJ28" s="610" t="inlineStr">
        <is>
          <t>N/A</t>
        </is>
      </c>
      <c r="AK28" s="610" t="inlineStr">
        <is>
          <t>Supervision and inspection; monitoring and assessment; grassland-livestock balance verification</t>
        </is>
      </c>
      <c r="AL28" s="610"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M28" s="610" t="inlineStr">
        <is>
          <t>Administrative penalties; fines; orders for rectification; deduction of grassland ecological protection subsidy and reward funds</t>
        </is>
      </c>
      <c r="AN28" s="610"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O28" s="610"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P28" s="610"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Q28" s="610"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R28" s="610"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S28" s="610" t="inlineStr">
        <is>
          <t>A01</t>
        </is>
      </c>
      <c r="AT28" s="610" t="inlineStr">
        <is>
          <t>CO2; CH4; N2O</t>
        </is>
      </c>
      <c r="AU28" s="610" t="inlineStr">
        <is>
          <t>Positive</t>
        </is>
      </c>
      <c r="AV28" s="610" t="inlineStr">
        <is>
          <t>Ecological protection; Biodiversity conservation; Climate change adaptation</t>
        </is>
      </c>
      <c r="AW28" s="610" t="inlineStr">
        <is>
          <t>General Office of the State Council, Several Opinions on Strengthening Grassland Protection and Restoration (SC General Office Doc. [2021] No. 7)</t>
        </is>
      </c>
      <c r="AX28" s="610" t="inlineStr">
        <is>
          <t>https://www.gov.cn/zhengce/content/2021-03/30/content_5596791.htm</t>
        </is>
      </c>
      <c r="AY28" s="610"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c r="AZ28" s="610" t="inlineStr"/>
    </row>
    <row r="29">
      <c r="A29" s="610" t="inlineStr">
        <is>
          <t>CHNFRMECMI03S000</t>
        </is>
      </c>
      <c r="B29" s="610" t="inlineStr">
        <is>
          <t>Instrument</t>
        </is>
      </c>
      <c r="C29" s="610" t="inlineStr">
        <is>
          <t>Framework regulation</t>
        </is>
      </c>
      <c r="D29" s="610" t="inlineStr">
        <is>
          <t>Ecosystem protection mandate</t>
        </is>
      </c>
      <c r="E29" s="610" t="inlineStr">
        <is>
          <t>AFOLU</t>
        </is>
      </c>
      <c r="F29" s="610" t="inlineStr">
        <is>
          <t>Wetland</t>
        </is>
      </c>
      <c r="G29" s="610" t="inlineStr">
        <is>
          <t>湿地保护修复制度</t>
        </is>
      </c>
      <c r="H29" s="610" t="inlineStr">
        <is>
          <t>Wetland Protection and Restoration System</t>
        </is>
      </c>
      <c r="I29" s="610" t="inlineStr">
        <is>
          <t>N/A</t>
        </is>
      </c>
      <c r="J29" s="610"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610" t="inlineStr">
        <is>
          <t>Ecological protection; Climate change mitigation</t>
        </is>
      </c>
      <c r="L29" s="610" t="inlineStr">
        <is>
          <t>Indirect</t>
        </is>
      </c>
      <c r="M29" s="610" t="inlineStr">
        <is>
          <t>national</t>
        </is>
      </c>
      <c r="N29" s="610" t="inlineStr">
        <is>
          <t>N/A</t>
        </is>
      </c>
      <c r="O29" s="610" t="inlineStr">
        <is>
          <t>28/11/2016</t>
        </is>
      </c>
      <c r="P29" s="610" t="inlineStr">
        <is>
          <t>28/11/2016</t>
        </is>
      </c>
      <c r="Q29" s="610" t="inlineStr">
        <is>
          <t>N/A</t>
        </is>
      </c>
      <c r="R29" s="610" t="inlineStr">
        <is>
          <t>24/12/2021</t>
        </is>
      </c>
      <c r="S29" s="610"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T29" s="610">
        <f>IF(P29="","In force",IF(P29="N/A","In force",IF(TODAY()&lt;DATE(VALUE(RIGHT(P29,4)),VALUE(MID(P29,4,2)),VALUE(LEFT(P29,2))),"Scheduled",IF(Q29="","In force",IF(Q29="N/A","In force",IF(TODAY()&lt;DATE(VALUE(RIGHT(Q29,4)),VALUE(MID(Q29,4,2)),VALUE(LEFT(Q29,2))),"In force","Ended"))))))</f>
        <v/>
      </c>
      <c r="U29" s="610" t="inlineStr">
        <is>
          <t>National Forestry and Grassland Administration; Ministry of Natural Resources; Ministry of Ecology and Environment</t>
        </is>
      </c>
      <c r="V29" s="610" t="inlineStr">
        <is>
          <t>Wetlands</t>
        </is>
      </c>
      <c r="W29" s="610" t="inlineStr">
        <is>
          <t>Existing</t>
        </is>
      </c>
      <c r="X29" s="610"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Y29" s="610" t="inlineStr">
        <is>
          <t>N/A</t>
        </is>
      </c>
      <c r="Z29" s="610" t="inlineStr">
        <is>
          <t>N/A</t>
        </is>
      </c>
      <c r="AA29" s="610" t="inlineStr">
        <is>
          <t>Firms; Governments</t>
        </is>
      </c>
      <c r="AB29" s="610"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C29" s="610" t="inlineStr">
        <is>
          <t>Protection or restoration (ecosystem)</t>
        </is>
      </c>
      <c r="AD29" s="610"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E29" s="610" t="inlineStr">
        <is>
          <t>N/A</t>
        </is>
      </c>
      <c r="AF29" s="610" t="inlineStr">
        <is>
          <t>N/A</t>
        </is>
      </c>
      <c r="AG29" s="610" t="inlineStr">
        <is>
          <t>N/A</t>
        </is>
      </c>
      <c r="AH29" s="610"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I29" s="610" t="inlineStr">
        <is>
          <t>N/A</t>
        </is>
      </c>
      <c r="AJ29" s="610" t="inlineStr">
        <is>
          <t>N/A</t>
        </is>
      </c>
      <c r="AK29" s="610" t="inlineStr">
        <is>
          <t>Supervision and inspection; remote sensing monitoring; annual reporting</t>
        </is>
      </c>
      <c r="AL29" s="610"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M29" s="610" t="inlineStr">
        <is>
          <t>Administrative penalties; fines; criminal liability; ecological damage compensation; interview</t>
        </is>
      </c>
      <c r="AN29" s="610"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O29" s="610"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P29" s="610"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Q29" s="610"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R29" s="610"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S29" s="610" t="inlineStr">
        <is>
          <t>N/A</t>
        </is>
      </c>
      <c r="AT29" s="610" t="inlineStr">
        <is>
          <t>CO2; CH4</t>
        </is>
      </c>
      <c r="AU29" s="610" t="inlineStr">
        <is>
          <t>Positive</t>
        </is>
      </c>
      <c r="AV29" s="610" t="inlineStr">
        <is>
          <t>Ecological protection; Biodiversity conservation; Climate change adaptation</t>
        </is>
      </c>
      <c r="AW29" s="610" t="inlineStr">
        <is>
          <t>General Office of the State Council, Notice on Printing and Issuing the Wetland Protection and Restoration System Plan (SC General Office Doc. [2016] No. 89)</t>
        </is>
      </c>
      <c r="AX29" s="610" t="inlineStr">
        <is>
          <t>https://www.gov.cn/zhengce/content/2016-12/12/content_5146928.htm</t>
        </is>
      </c>
      <c r="AY29" s="610" t="inlineStr">
        <is>
          <t>Wetland Protection Law of the People's Republic of China: http://www.npc.gov.cn/npc/c2/c30834/202112/t20211224_315589.html</t>
        </is>
      </c>
      <c r="AZ29" s="610" t="inlineStr"/>
    </row>
    <row r="30">
      <c r="A30" s="610" t="inlineStr">
        <is>
          <t>CHNFRMTRSI01S000</t>
        </is>
      </c>
      <c r="B30" s="610" t="inlineStr">
        <is>
          <t>Instrument</t>
        </is>
      </c>
      <c r="C30" s="610" t="inlineStr">
        <is>
          <t>Framework regulation</t>
        </is>
      </c>
      <c r="D30" s="610" t="inlineStr">
        <is>
          <t>Target responsibility system</t>
        </is>
      </c>
      <c r="E30" s="610" t="inlineStr">
        <is>
          <t>Cross-sectoral</t>
        </is>
      </c>
      <c r="F30" s="610" t="inlineStr">
        <is>
          <t>N/A</t>
        </is>
      </c>
      <c r="G30" s="610" t="inlineStr">
        <is>
          <t>能源消费强度和总量双控制度</t>
        </is>
      </c>
      <c r="H30" s="610" t="inlineStr">
        <is>
          <t>Energy Consumption Intensity and Total Control System</t>
        </is>
      </c>
      <c r="I30" s="610" t="inlineStr">
        <is>
          <t>N/A</t>
        </is>
      </c>
      <c r="J30" s="610"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610" t="inlineStr">
        <is>
          <t>Energy efficiency; Energy security</t>
        </is>
      </c>
      <c r="L30" s="610" t="inlineStr">
        <is>
          <t>Direct</t>
        </is>
      </c>
      <c r="M30" s="610" t="inlineStr">
        <is>
          <t>national</t>
        </is>
      </c>
      <c r="N30" s="610" t="inlineStr">
        <is>
          <t>N/A</t>
        </is>
      </c>
      <c r="O30" s="610" t="inlineStr">
        <is>
          <t>20/12/2016</t>
        </is>
      </c>
      <c r="P30" s="610" t="inlineStr">
        <is>
          <t>20/12/2016</t>
        </is>
      </c>
      <c r="Q30" s="610" t="inlineStr">
        <is>
          <t>N/A</t>
        </is>
      </c>
      <c r="R30" s="610" t="inlineStr">
        <is>
          <t>11/09/2021</t>
        </is>
      </c>
      <c r="S30" s="610"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T30" s="610">
        <f>IF(P30="","In force",IF(P30="N/A","In force",IF(TODAY()&lt;DATE(VALUE(RIGHT(P30,4)),VALUE(MID(P30,4,2)),VALUE(LEFT(P30,2))),"Scheduled",IF(Q30="","In force",IF(Q30="N/A","In force",IF(TODAY()&lt;DATE(VALUE(RIGHT(Q30,4)),VALUE(MID(Q30,4,2)),VALUE(LEFT(Q30,2))),"In force","Ended"))))))</f>
        <v/>
      </c>
      <c r="U30" s="610" t="inlineStr">
        <is>
          <t>National Development and Reform Commission; State Council; provincial people's governments</t>
        </is>
      </c>
      <c r="V30" s="610" t="inlineStr">
        <is>
          <t>N/A</t>
        </is>
      </c>
      <c r="W30" s="610" t="inlineStr">
        <is>
          <t>N/A</t>
        </is>
      </c>
      <c r="X30" s="610" t="inlineStr">
        <is>
          <t>N/A</t>
        </is>
      </c>
      <c r="Y30" s="610" t="inlineStr">
        <is>
          <t>N/A</t>
        </is>
      </c>
      <c r="Z30" s="610" t="inlineStr">
        <is>
          <t>N/A</t>
        </is>
      </c>
      <c r="AA30" s="610" t="inlineStr">
        <is>
          <t>Firms; Governments</t>
        </is>
      </c>
      <c r="AB30" s="610"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C30" s="610" t="inlineStr">
        <is>
          <t>Consumption (use, ownership or capital formation)</t>
        </is>
      </c>
      <c r="AD30" s="610"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E30" s="610" t="inlineStr">
        <is>
          <t>Binding targets, set by Five-Year Plan period</t>
        </is>
      </c>
      <c r="AF30" s="610" t="inlineStr">
        <is>
          <t>tce (total); tce/CNY 10,000 GDP (intensity)</t>
        </is>
      </c>
      <c r="AG30" s="610"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H30" s="610"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I30" s="610" t="inlineStr">
        <is>
          <t>N/A</t>
        </is>
      </c>
      <c r="AJ30" s="610" t="inlineStr">
        <is>
          <t>N/A</t>
        </is>
      </c>
      <c r="AK30" s="610" t="inlineStr">
        <is>
          <t>Target responsibility assessment; Monitoring and early warning</t>
        </is>
      </c>
      <c r="AL30" s="610"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M30" s="610" t="inlineStr">
        <is>
          <t>Target accountability assessment; Regulatory interview; Project approval suspension</t>
        </is>
      </c>
      <c r="AN30" s="610"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O30" s="610"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P30" s="610"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Q30" s="610" t="inlineStr">
        <is>
          <t>N/A</t>
        </is>
      </c>
      <c r="AR30" s="610" t="inlineStr">
        <is>
          <t>N/A</t>
        </is>
      </c>
      <c r="AS30" s="610" t="inlineStr">
        <is>
          <t>B05; B06; B07; B08; B09; C10; C11; C12; C13; C14; C15; C16; C17; C18; C19; C20; C21; C22; C23; C24; C25; C26; C27; C28; C29; C30; C31; C32; C33; D35; F41; F42; F43; H49</t>
        </is>
      </c>
      <c r="AT30" s="610" t="inlineStr">
        <is>
          <t>CO2</t>
        </is>
      </c>
      <c r="AU30" s="610" t="inlineStr">
        <is>
          <t>Positive</t>
        </is>
      </c>
      <c r="AV30" s="610" t="inlineStr">
        <is>
          <t>Energy conservation; Pollution control; Energy security</t>
        </is>
      </c>
      <c r="AW30" s="610" t="inlineStr">
        <is>
          <t>Circular of the State Council on Issuing the 13th Five-Year Plan Comprehensive Work Plan for Energy Conservation and Emission Reduction</t>
        </is>
      </c>
      <c r="AX30" s="610" t="inlineStr">
        <is>
          <t>https://www.gov.cn/zhengce/content/2017-01/05/content_5156789.htm</t>
        </is>
      </c>
      <c r="AY30" s="610"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c r="AZ30" s="610" t="inlineStr"/>
    </row>
    <row r="31">
      <c r="A31" s="610" t="inlineStr">
        <is>
          <t>CHNFRMTRSI02S000</t>
        </is>
      </c>
      <c r="B31" s="610" t="inlineStr">
        <is>
          <t>Instrument</t>
        </is>
      </c>
      <c r="C31" s="610" t="inlineStr">
        <is>
          <t>Framework regulation</t>
        </is>
      </c>
      <c r="D31" s="610" t="inlineStr">
        <is>
          <t>Target responsibility system</t>
        </is>
      </c>
      <c r="E31" s="610" t="inlineStr">
        <is>
          <t>Cross-sectoral</t>
        </is>
      </c>
      <c r="F31" s="610" t="inlineStr">
        <is>
          <t>N/A</t>
        </is>
      </c>
      <c r="G31" s="610" t="inlineStr">
        <is>
          <t>碳排放强度和总量双控制度</t>
        </is>
      </c>
      <c r="H31" s="610" t="inlineStr">
        <is>
          <t>Carbon Emission Intensity and Total Control System</t>
        </is>
      </c>
      <c r="I31" s="610" t="inlineStr">
        <is>
          <t>N/A</t>
        </is>
      </c>
      <c r="J31" s="610"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610" t="inlineStr">
        <is>
          <t>Climate change mitigation</t>
        </is>
      </c>
      <c r="L31" s="610" t="inlineStr">
        <is>
          <t>Direct</t>
        </is>
      </c>
      <c r="M31" s="610" t="inlineStr">
        <is>
          <t>national</t>
        </is>
      </c>
      <c r="N31" s="610" t="inlineStr">
        <is>
          <t>N/A</t>
        </is>
      </c>
      <c r="O31" s="610" t="inlineStr">
        <is>
          <t>30/07/2024</t>
        </is>
      </c>
      <c r="P31" s="610" t="inlineStr">
        <is>
          <t>30/07/2024</t>
        </is>
      </c>
      <c r="Q31" s="610" t="inlineStr">
        <is>
          <t>N/A</t>
        </is>
      </c>
      <c r="R31" s="610" t="inlineStr">
        <is>
          <t>N/A</t>
        </is>
      </c>
      <c r="S31" s="610" t="inlineStr">
        <is>
          <t>N/A</t>
        </is>
      </c>
      <c r="T31" s="610">
        <f>IF(P31="","In force",IF(P31="N/A","In force",IF(TODAY()&lt;DATE(VALUE(RIGHT(P31,4)),VALUE(MID(P31,4,2)),VALUE(LEFT(P31,2))),"Scheduled",IF(Q31="","In force",IF(Q31="N/A","In force",IF(TODAY()&lt;DATE(VALUE(RIGHT(Q31,4)),VALUE(MID(Q31,4,2)),VALUE(LEFT(Q31,2))),"In force","Ended"))))))</f>
        <v/>
      </c>
      <c r="U31" s="610" t="inlineStr">
        <is>
          <t>National Development and Reform Commission; State Council; provincial people's governments</t>
        </is>
      </c>
      <c r="V31" s="610" t="inlineStr">
        <is>
          <t>N/A</t>
        </is>
      </c>
      <c r="W31" s="610" t="inlineStr">
        <is>
          <t>N/A</t>
        </is>
      </c>
      <c r="X31" s="610" t="inlineStr">
        <is>
          <t>N/A</t>
        </is>
      </c>
      <c r="Y31" s="610" t="inlineStr">
        <is>
          <t>N/A</t>
        </is>
      </c>
      <c r="Z31" s="610" t="inlineStr">
        <is>
          <t>N/A</t>
        </is>
      </c>
      <c r="AA31" s="610" t="inlineStr">
        <is>
          <t>Firms; Governments</t>
        </is>
      </c>
      <c r="AB31" s="610"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C31" s="610" t="inlineStr">
        <is>
          <t>Production, generation or conversion</t>
        </is>
      </c>
      <c r="AD31" s="610"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E31" s="610" t="inlineStr">
        <is>
          <t>Binding targets, set by Five-Year Plan period</t>
        </is>
      </c>
      <c r="AF31" s="610" t="inlineStr">
        <is>
          <t>tCO2 (total); tCO2/CNY 10,000 GDP (intensity)</t>
        </is>
      </c>
      <c r="AG31" s="610"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H31" s="610"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I31" s="610" t="inlineStr">
        <is>
          <t>N/A</t>
        </is>
      </c>
      <c r="AJ31" s="610" t="inlineStr">
        <is>
          <t>N/A</t>
        </is>
      </c>
      <c r="AK31" s="610" t="inlineStr">
        <is>
          <t>Target responsibility assessment; Monitoring and early warning</t>
        </is>
      </c>
      <c r="AL31" s="610"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M31" s="610" t="inlineStr">
        <is>
          <t>Target accountability assessment; Regulatory interview; Project approval suspension</t>
        </is>
      </c>
      <c r="AN31" s="610"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O31" s="610"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P31" s="610"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Q31" s="610" t="inlineStr">
        <is>
          <t>N/A</t>
        </is>
      </c>
      <c r="AR31" s="610" t="inlineStr">
        <is>
          <t>N/A</t>
        </is>
      </c>
      <c r="AS31" s="610" t="inlineStr">
        <is>
          <t>B05; B06; B07; B08; B09; C10; C11; C12; C13; C14; C15; C16; C17; C18; C19; C20; C21; C22; C23; C24; C25; C26; C27; C28; C29; C30; C31; C32; C33; D35; F41; F42; F43; H49</t>
        </is>
      </c>
      <c r="AT31" s="610" t="inlineStr">
        <is>
          <t>CO2</t>
        </is>
      </c>
      <c r="AU31" s="610" t="inlineStr">
        <is>
          <t>Positive</t>
        </is>
      </c>
      <c r="AV31" s="610" t="inlineStr">
        <is>
          <t>Energy conservation; Pollution control; Technological innovation; Industrial development</t>
        </is>
      </c>
      <c r="AW31" s="610" t="inlineStr">
        <is>
          <t>Circular of the General Office of the State Council on Issuing the Work Plan for Accelerating the Construction of the Carbon Emission Dual Control System</t>
        </is>
      </c>
      <c r="AX31" s="610" t="inlineStr">
        <is>
          <t>https://www.gov.cn/zhengce/content/202408/content_6966079.htm</t>
        </is>
      </c>
      <c r="AY31" s="610" t="inlineStr">
        <is>
          <t>Opinions of the CPC Central Committee and the State Council on Accelerating the Comprehensive Green Transformation of Economic and Social Development (July 2024): https://www.gov.cn/zhengce/202408/content_6967663.htm</t>
        </is>
      </c>
      <c r="AZ31" s="610" t="inlineStr"/>
    </row>
    <row r="32">
      <c r="A32" s="610" t="inlineStr">
        <is>
          <t>CHNFRMTRSI03S000</t>
        </is>
      </c>
      <c r="B32" s="610" t="inlineStr">
        <is>
          <t>Instrument</t>
        </is>
      </c>
      <c r="C32" s="610" t="inlineStr">
        <is>
          <t>Framework regulation</t>
        </is>
      </c>
      <c r="D32" s="610" t="inlineStr">
        <is>
          <t>Target responsibility system</t>
        </is>
      </c>
      <c r="E32" s="610" t="inlineStr">
        <is>
          <t>Cross-sectoral</t>
        </is>
      </c>
      <c r="F32" s="610" t="inlineStr">
        <is>
          <t>N/A</t>
        </is>
      </c>
      <c r="G32" s="610" t="inlineStr">
        <is>
          <t>碳达峰碳中和综合评价考核制度</t>
        </is>
      </c>
      <c r="H32" s="610" t="inlineStr">
        <is>
          <t>Comprehensive Carbon Peak and Carbon Neutrality Evaluation and Assessment System</t>
        </is>
      </c>
      <c r="I32" s="610" t="inlineStr">
        <is>
          <t>N/A</t>
        </is>
      </c>
      <c r="J32" s="610"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610" t="inlineStr">
        <is>
          <t>Climate change mitigation</t>
        </is>
      </c>
      <c r="L32" s="610" t="inlineStr">
        <is>
          <t>Direct</t>
        </is>
      </c>
      <c r="M32" s="610" t="inlineStr">
        <is>
          <t>national</t>
        </is>
      </c>
      <c r="N32" s="610" t="inlineStr">
        <is>
          <t>N/A</t>
        </is>
      </c>
      <c r="O32" s="610" t="inlineStr">
        <is>
          <t>12/04/2026</t>
        </is>
      </c>
      <c r="P32" s="610" t="inlineStr">
        <is>
          <t>12/04/2026</t>
        </is>
      </c>
      <c r="Q32" s="610" t="inlineStr">
        <is>
          <t>N/A</t>
        </is>
      </c>
      <c r="R32" s="610" t="inlineStr">
        <is>
          <t>N/A</t>
        </is>
      </c>
      <c r="S32" s="610" t="inlineStr">
        <is>
          <t>N/A</t>
        </is>
      </c>
      <c r="T32" s="610">
        <f>IF(P32="","In force",IF(P32="N/A","In force",IF(TODAY()&lt;DATE(VALUE(RIGHT(P32,4)),VALUE(MID(P32,4,2)),VALUE(LEFT(P32,2))),"Scheduled",IF(Q32="","In force",IF(Q32="N/A","In force",IF(TODAY()&lt;DATE(VALUE(RIGHT(Q32,4)),VALUE(MID(Q32,4,2)),VALUE(LEFT(Q32,2))),"In force","Ended"))))))</f>
        <v/>
      </c>
      <c r="U32" s="610" t="inlineStr">
        <is>
          <t>Organisation Department of the CPC Central Committee; National Development and Reform Commission; State Council; provincial people’s governments</t>
        </is>
      </c>
      <c r="V32" s="610" t="inlineStr">
        <is>
          <t>N/A</t>
        </is>
      </c>
      <c r="W32" s="610" t="inlineStr">
        <is>
          <t>N/A</t>
        </is>
      </c>
      <c r="X32" s="610" t="inlineStr">
        <is>
          <t>N/A</t>
        </is>
      </c>
      <c r="Y32" s="610" t="inlineStr">
        <is>
          <t>N/A</t>
        </is>
      </c>
      <c r="Z32" s="610" t="inlineStr">
        <is>
          <t>N/A</t>
        </is>
      </c>
      <c r="AA32" s="610" t="inlineStr">
        <is>
          <t>Governments</t>
        </is>
      </c>
      <c r="AB32" s="610"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C32" s="610" t="inlineStr">
        <is>
          <t>Production, generation or conversion</t>
        </is>
      </c>
      <c r="AD32" s="610"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E32" s="610" t="inlineStr">
        <is>
          <t>Binding targets, set annually</t>
        </is>
      </c>
      <c r="AF32" s="610" t="inlineStr">
        <is>
          <t>Five control indicators + nine supporting indicators; grading: Excellent, Satisfactory, Unsatisfactory</t>
        </is>
      </c>
      <c r="AG32" s="610"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H32" s="610"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I32" s="610" t="inlineStr">
        <is>
          <t>N/A</t>
        </is>
      </c>
      <c r="AJ32" s="610" t="inlineStr">
        <is>
          <t>N/A</t>
        </is>
      </c>
      <c r="AK32" s="610" t="inlineStr">
        <is>
          <t>Target responsibility assessment; Monitoring and early warning</t>
        </is>
      </c>
      <c r="AL32" s="610"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M32" s="610" t="inlineStr">
        <is>
          <t>Target accountability assessment; Regulatory interview</t>
        </is>
      </c>
      <c r="AN32" s="610"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O32" s="610"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P32" s="610"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Q32" s="610" t="inlineStr">
        <is>
          <t>N/A</t>
        </is>
      </c>
      <c r="AR32" s="610" t="inlineStr">
        <is>
          <t>N/A</t>
        </is>
      </c>
      <c r="AS32" s="610" t="inlineStr">
        <is>
          <t>B05; B06; B07; B08; B09; C10; C11; C12; C13; C14; C15; C16; C17; C18; C19; C20; C21; C22; C23; C24; C25; C26; C27; C28; C29; C30; C31; C32; C33; D35; F41; F42; F43; H49</t>
        </is>
      </c>
      <c r="AT32" s="610" t="inlineStr">
        <is>
          <t>CO2</t>
        </is>
      </c>
      <c r="AU32" s="610" t="inlineStr">
        <is>
          <t>Positive</t>
        </is>
      </c>
      <c r="AV32" s="610" t="inlineStr">
        <is>
          <t>Energy conservation; Pollution control; Technological innovation; Industrial development; Energy security; Renewable energy development; Ecological protection</t>
        </is>
      </c>
      <c r="AW32" s="610" t="inlineStr">
        <is>
          <t>Notice of the General Office of the CPC Central Committee and the General Office of the State Council on Issuing the Comprehensive Evaluation and Assessment Measures for Carbon Peak and Carbon Neutrality</t>
        </is>
      </c>
      <c r="AX32" s="610" t="inlineStr">
        <is>
          <t>https://www.gov.cn/zhengce/202604/content_7066695.htm</t>
        </is>
      </c>
      <c r="AY32" s="610" t="inlineStr">
        <is>
          <t>NDRC Responsible Official Q&amp;A on the Comprehensive Evaluation and Assessment Measures for Carbon Peak and Carbon Neutrality: https://www.ndrc.gov.cn/xxgk/jd/jd/202604/t20260423_1404856_ext.html</t>
        </is>
      </c>
      <c r="AZ32" s="610" t="inlineStr"/>
    </row>
    <row r="33">
      <c r="A33" s="610" t="inlineStr">
        <is>
          <t>CHNFRMTRSI04S000</t>
        </is>
      </c>
      <c r="B33" s="610" t="inlineStr">
        <is>
          <t>Instrument</t>
        </is>
      </c>
      <c r="C33" s="610" t="inlineStr">
        <is>
          <t>Framework regulation</t>
        </is>
      </c>
      <c r="D33" s="610" t="inlineStr">
        <is>
          <t>Target responsibility system</t>
        </is>
      </c>
      <c r="E33" s="610" t="inlineStr">
        <is>
          <t>Cross-sectoral</t>
        </is>
      </c>
      <c r="F33" s="610" t="inlineStr">
        <is>
          <t>N/A</t>
        </is>
      </c>
      <c r="G33" s="610" t="inlineStr">
        <is>
          <t>中央企业节能环保监督管理制度</t>
        </is>
      </c>
      <c r="H33" s="610" t="inlineStr">
        <is>
          <t>Central Enterprise Energy Conservation and Environmental Protection Supervision and Management System</t>
        </is>
      </c>
      <c r="I33" s="610" t="inlineStr">
        <is>
          <t>N/A</t>
        </is>
      </c>
      <c r="J33" s="610"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610" t="inlineStr">
        <is>
          <t>Climate change mitigation; Energy efficiency; Pollution control</t>
        </is>
      </c>
      <c r="L33" s="610" t="inlineStr">
        <is>
          <t>Direct</t>
        </is>
      </c>
      <c r="M33" s="610" t="inlineStr">
        <is>
          <t>national</t>
        </is>
      </c>
      <c r="N33" s="610" t="inlineStr">
        <is>
          <t>N/A</t>
        </is>
      </c>
      <c r="O33" s="610" t="inlineStr">
        <is>
          <t>29/06/2022</t>
        </is>
      </c>
      <c r="P33" s="610" t="inlineStr">
        <is>
          <t>01/08/2022</t>
        </is>
      </c>
      <c r="Q33" s="610" t="inlineStr">
        <is>
          <t>N/A</t>
        </is>
      </c>
      <c r="R33" s="610" t="inlineStr">
        <is>
          <t>N/A</t>
        </is>
      </c>
      <c r="S33" s="610" t="inlineStr">
        <is>
          <t>N/A</t>
        </is>
      </c>
      <c r="T33" s="610">
        <f>IF(P33="","In force",IF(P33="N/A","In force",IF(TODAY()&lt;DATE(VALUE(RIGHT(P33,4)),VALUE(MID(P33,4,2)),VALUE(LEFT(P33,2))),"Scheduled",IF(Q33="","In force",IF(Q33="N/A","In force",IF(TODAY()&lt;DATE(VALUE(RIGHT(Q33,4)),VALUE(MID(Q33,4,2)),VALUE(LEFT(Q33,2))),"In force","Ended"))))))</f>
        <v/>
      </c>
      <c r="U33" s="610" t="inlineStr">
        <is>
          <t>State-owned Assets Supervision and Administration Commission of the State Council</t>
        </is>
      </c>
      <c r="V33" s="610" t="inlineStr">
        <is>
          <t>N/A</t>
        </is>
      </c>
      <c r="W33" s="610" t="inlineStr">
        <is>
          <t>N/A</t>
        </is>
      </c>
      <c r="X33" s="610" t="inlineStr">
        <is>
          <t>N/A</t>
        </is>
      </c>
      <c r="Y33" s="610" t="inlineStr">
        <is>
          <t>N/A</t>
        </is>
      </c>
      <c r="Z33" s="610" t="inlineStr">
        <is>
          <t>N/A</t>
        </is>
      </c>
      <c r="AA33" s="610" t="inlineStr">
        <is>
          <t>Firms</t>
        </is>
      </c>
      <c r="AB33" s="610"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C33" s="610" t="inlineStr">
        <is>
          <t>Production, generation or conversion; Consumption (use, ownership or capital formation)</t>
        </is>
      </c>
      <c r="AD33" s="610"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E33" s="610" t="inlineStr">
        <is>
          <t>Three-tier classified management, dynamically adjusted</t>
        </is>
      </c>
      <c r="AF33" s="610" t="inlineStr">
        <is>
          <t>Enterprise tier (Tier I, Tier II, Tier III)</t>
        </is>
      </c>
      <c r="AG33" s="610"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H33" s="610"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I33" s="610" t="inlineStr">
        <is>
          <t>N/A</t>
        </is>
      </c>
      <c r="AJ33" s="610" t="inlineStr">
        <is>
          <t>N/A</t>
        </is>
      </c>
      <c r="AK33" s="610" t="inlineStr">
        <is>
          <t>Target responsibility assessment; Monitoring and early warning</t>
        </is>
      </c>
      <c r="AL33" s="610"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M33" s="610" t="inlineStr">
        <is>
          <t>Target accountability assessment</t>
        </is>
      </c>
      <c r="AN33" s="610"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O33" s="610"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P33" s="610"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Q33" s="610" t="inlineStr">
        <is>
          <t>N/A</t>
        </is>
      </c>
      <c r="AR33" s="610" t="inlineStr">
        <is>
          <t>N/A</t>
        </is>
      </c>
      <c r="AS33" s="610" t="inlineStr">
        <is>
          <t>B05; B06; B07; B08; B09; C10; C11; C12; C13; C14; C15; C16; C17; C18; C19; C20; C21; C22; C23; C24; C25; C26; C27; C28; C29; C30; C31; C32; C33; D35; F41; F42; F43; H49</t>
        </is>
      </c>
      <c r="AT33" s="610" t="inlineStr">
        <is>
          <t>CO2</t>
        </is>
      </c>
      <c r="AU33" s="610" t="inlineStr">
        <is>
          <t>Positive</t>
        </is>
      </c>
      <c r="AV33" s="610" t="inlineStr">
        <is>
          <t>Energy conservation; Pollution control; Technological innovation; Industrial development; Energy security; Ecological protection</t>
        </is>
      </c>
      <c r="AW33" s="610" t="inlineStr">
        <is>
          <t>Central Enterprise Energy Conservation and Ecological Environmental Protection Supervision and Management Measures (SASAC Order No. 41)</t>
        </is>
      </c>
      <c r="AX33" s="610" t="inlineStr">
        <is>
          <t>https://www.gov.cn/zhengce/2022-08/03/content_5718613.htm</t>
        </is>
      </c>
      <c r="AY33" s="610" t="inlineStr">
        <is>
          <t>Interim Measures for the Supervision and Administration of Central Enterprise Energy Conservation and Emission Reduction (SASAC Order No. 23, repealed): https://www.gov.cn/gongbao/content/2010/content_1705528.htm</t>
        </is>
      </c>
      <c r="AZ33" s="610" t="inlineStr"/>
    </row>
    <row r="34">
      <c r="A34" s="610" t="inlineStr">
        <is>
          <t>CHNPRFMEAI01S000</t>
        </is>
      </c>
      <c r="B34" s="610" t="inlineStr">
        <is>
          <t>Instrument</t>
        </is>
      </c>
      <c r="C34" s="610" t="inlineStr">
        <is>
          <t>Performance standard</t>
        </is>
      </c>
      <c r="D34" s="610" t="inlineStr">
        <is>
          <t>Minimum Energy Performance Standards (MEPS) for electric appliances</t>
        </is>
      </c>
      <c r="E34" s="610" t="inlineStr">
        <is>
          <t>Industry</t>
        </is>
      </c>
      <c r="F34" s="610" t="inlineStr">
        <is>
          <t>Industrial electrical equipment; Low-voltage apparatus</t>
        </is>
      </c>
      <c r="G34" s="610" t="inlineStr">
        <is>
          <t>交流接触器能效限定值及能效等级</t>
        </is>
      </c>
      <c r="H34" s="610" t="inlineStr">
        <is>
          <t>Minimum Allowable Values of Energy Efficiency and Energy Efficiency Grades for AC Contactors</t>
        </is>
      </c>
      <c r="I34" s="610" t="inlineStr">
        <is>
          <t>N/A</t>
        </is>
      </c>
      <c r="J34" s="610"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610" t="inlineStr">
        <is>
          <t>Energy efficiency</t>
        </is>
      </c>
      <c r="L34" s="610" t="inlineStr">
        <is>
          <t>Direct</t>
        </is>
      </c>
      <c r="M34" s="610" t="inlineStr">
        <is>
          <t>national</t>
        </is>
      </c>
      <c r="N34" s="610" t="inlineStr">
        <is>
          <t>N/A</t>
        </is>
      </c>
      <c r="O34" s="610" t="inlineStr">
        <is>
          <t>01/04/2008</t>
        </is>
      </c>
      <c r="P34" s="610" t="inlineStr">
        <is>
          <t>01/11/2008</t>
        </is>
      </c>
      <c r="Q34" s="610" t="inlineStr">
        <is>
          <t>N/A</t>
        </is>
      </c>
      <c r="R34" s="610" t="inlineStr">
        <is>
          <t>29/12/2022</t>
        </is>
      </c>
      <c r="S34" s="610" t="inlineStr">
        <is>
          <t>On 29 December 2022, GB 21518-2022 was published, replacing GB 21518-2008, expanding the scope to 6 A-630 A and raising energy efficiency values across all grades.</t>
        </is>
      </c>
      <c r="T34" s="610">
        <f>IF(P34="","In force",IF(P34="N/A","In force",IF(TODAY()&lt;DATE(VALUE(RIGHT(P34,4)),VALUE(MID(P34,4,2)),VALUE(LEFT(P34,2))),"Scheduled",IF(Q34="","In force",IF(Q34="N/A","In force",IF(TODAY()&lt;DATE(VALUE(RIGHT(Q34,4)),VALUE(MID(Q34,4,2)),VALUE(LEFT(Q34,2))),"In force","Ended"))))))</f>
        <v/>
      </c>
      <c r="U34" s="610" t="inlineStr">
        <is>
          <t>State Administration for Market Regulation; Standardization Administration of China</t>
        </is>
      </c>
      <c r="V34" s="610" t="inlineStr">
        <is>
          <t>AC contactors</t>
        </is>
      </c>
      <c r="W34" s="610" t="inlineStr">
        <is>
          <t>new</t>
        </is>
      </c>
      <c r="X34" s="610"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Y34" s="610" t="inlineStr">
        <is>
          <t>N/A</t>
        </is>
      </c>
      <c r="Z34" s="610" t="inlineStr">
        <is>
          <t>N/A</t>
        </is>
      </c>
      <c r="AA34" s="610" t="inlineStr">
        <is>
          <t>Firms</t>
        </is>
      </c>
      <c r="AB34" s="610" t="inlineStr">
        <is>
          <t>Manufacturers and importers producing, importing or selling AC contactor products within China.</t>
        </is>
      </c>
      <c r="AC34" s="610" t="inlineStr">
        <is>
          <t>Production; Sale; Import</t>
        </is>
      </c>
      <c r="AD34" s="610" t="inlineStr">
        <is>
          <t>Production, import and sale of AC contactor products. Products must meet the standard's minimum allowable energy efficiency values (Grade 3) before they can enter the market.</t>
        </is>
      </c>
      <c r="AE34" s="610" t="inlineStr">
        <is>
          <t>Grade 3</t>
        </is>
      </c>
      <c r="AF34" s="610" t="inlineStr">
        <is>
          <t>Energy efficiency grade</t>
        </is>
      </c>
      <c r="AG34" s="610"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H34" s="610"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4" s="610" t="inlineStr">
        <is>
          <t>N/A</t>
        </is>
      </c>
      <c r="AJ34" s="610" t="inlineStr">
        <is>
          <t>N/A</t>
        </is>
      </c>
      <c r="AK34" s="610" t="inlineStr">
        <is>
          <t>Inspections or audits conducted by government authorities or third parties</t>
        </is>
      </c>
      <c r="AL34" s="610"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M34" s="610" t="inlineStr">
        <is>
          <t>Compliance order; Monetary penalties</t>
        </is>
      </c>
      <c r="AN34" s="610"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O34" s="610" t="inlineStr">
        <is>
          <t>The state encourages production and use of Grade 1 and Grade 2 high-efficiency AC contactors; promotes the market uptake of high-efficiency low-voltage apparatus through energy-saving product certification.</t>
        </is>
      </c>
      <c r="AP34" s="610" t="inlineStr">
        <is>
          <t>The state encourages production and use of Grade 1 and Grade 2 high-efficiency AC contactors; promotes the market uptake of high-efficiency low-voltage apparatus through energy-saving product certification.</t>
        </is>
      </c>
      <c r="AQ34" s="610" t="inlineStr">
        <is>
          <t>N/A</t>
        </is>
      </c>
      <c r="AR34" s="610" t="inlineStr">
        <is>
          <t>N/A</t>
        </is>
      </c>
      <c r="AS34" s="610" t="inlineStr">
        <is>
          <t>C27</t>
        </is>
      </c>
      <c r="AT34" s="610" t="inlineStr">
        <is>
          <t>CO2</t>
        </is>
      </c>
      <c r="AU34" s="610" t="inlineStr">
        <is>
          <t>Positive</t>
        </is>
      </c>
      <c r="AV34" s="610" t="inlineStr">
        <is>
          <t>Energy conservation; Industrial development</t>
        </is>
      </c>
      <c r="AW34" s="610" t="inlineStr">
        <is>
          <t>GB 21518-2022 Minimum Allowable Values of Energy Efficiency and Energy Efficiency Grades for AC Contactors</t>
        </is>
      </c>
      <c r="AX34" s="610" t="inlineStr">
        <is>
          <t>https://openstd.samr.gov.cn/bzgk/std/newGbInfo?hcno=2E80B4EFF3711392207A4185EB7B7911</t>
        </is>
      </c>
      <c r="AY34" s="610" t="inlineStr">
        <is>
          <t>GB 21518-2008 (superseded): https://openstd.samr.gov.cn/bzgk/std/newGbInfo?hcno=84FC32849EB46437120225D6C75D1897</t>
        </is>
      </c>
      <c r="AZ34" s="610" t="inlineStr"/>
    </row>
    <row r="35">
      <c r="A35" s="610" t="inlineStr">
        <is>
          <t>CHNPRFMEAI02S000</t>
        </is>
      </c>
      <c r="B35" s="610" t="inlineStr">
        <is>
          <t>Instrument</t>
        </is>
      </c>
      <c r="C35" s="610" t="inlineStr">
        <is>
          <t>Performance standard</t>
        </is>
      </c>
      <c r="D35" s="610" t="inlineStr">
        <is>
          <t>Minimum Energy Performance Standards (MEPS) for electric appliances</t>
        </is>
      </c>
      <c r="E35" s="610" t="inlineStr">
        <is>
          <t>Industry</t>
        </is>
      </c>
      <c r="F35" s="610" t="inlineStr">
        <is>
          <t>Power transmission and distribution; Renewable energy generation</t>
        </is>
      </c>
      <c r="G35" s="610" t="inlineStr">
        <is>
          <t>电力变压器能效限定值及能效等级</t>
        </is>
      </c>
      <c r="H35" s="610" t="inlineStr">
        <is>
          <t>Minimum Allowable Values of Energy Efficiency and Energy Efficiency Grades for Power Transformers</t>
        </is>
      </c>
      <c r="I35" s="610" t="inlineStr">
        <is>
          <t>N/A</t>
        </is>
      </c>
      <c r="J35" s="610"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610" t="inlineStr">
        <is>
          <t>Energy efficiency</t>
        </is>
      </c>
      <c r="L35" s="610" t="inlineStr">
        <is>
          <t>Direct</t>
        </is>
      </c>
      <c r="M35" s="610" t="inlineStr">
        <is>
          <t>national</t>
        </is>
      </c>
      <c r="N35" s="610" t="inlineStr">
        <is>
          <t>N/A</t>
        </is>
      </c>
      <c r="O35" s="610" t="inlineStr">
        <is>
          <t>01/06/2021</t>
        </is>
      </c>
      <c r="P35" s="610" t="inlineStr">
        <is>
          <t>01/06/2021</t>
        </is>
      </c>
      <c r="Q35" s="610" t="inlineStr">
        <is>
          <t>N/A</t>
        </is>
      </c>
      <c r="R35" s="610" t="inlineStr">
        <is>
          <t>29/04/2024</t>
        </is>
      </c>
      <c r="S35" s="610" t="inlineStr">
        <is>
          <t>On 29 April 2024, GB 20052-2024 was published, replacing GB 20052-2020, extending the scope to transformers on the renewable energy generation side and raising energy efficiency values across all grades.</t>
        </is>
      </c>
      <c r="T35" s="610">
        <f>IF(P35="","In force",IF(P35="N/A","In force",IF(TODAY()&lt;DATE(VALUE(RIGHT(P35,4)),VALUE(MID(P35,4,2)),VALUE(LEFT(P35,2))),"Scheduled",IF(Q35="","In force",IF(Q35="N/A","In force",IF(TODAY()&lt;DATE(VALUE(RIGHT(Q35,4)),VALUE(MID(Q35,4,2)),VALUE(LEFT(Q35,2))),"In force","Ended"))))))</f>
        <v/>
      </c>
      <c r="U35" s="610" t="inlineStr">
        <is>
          <t>State Administration for Market Regulation; Standardization Administration of China</t>
        </is>
      </c>
      <c r="V35" s="610" t="inlineStr">
        <is>
          <t>Power transformers</t>
        </is>
      </c>
      <c r="W35" s="610" t="inlineStr">
        <is>
          <t>new</t>
        </is>
      </c>
      <c r="X35" s="610"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Y35" s="610" t="inlineStr">
        <is>
          <t>N/A</t>
        </is>
      </c>
      <c r="Z35" s="610" t="inlineStr">
        <is>
          <t>N/A</t>
        </is>
      </c>
      <c r="AA35" s="610" t="inlineStr">
        <is>
          <t>Firms</t>
        </is>
      </c>
      <c r="AB35" s="610" t="inlineStr">
        <is>
          <t>Manufacturers and importers producing, importing or selling power transformer products within China.</t>
        </is>
      </c>
      <c r="AC35" s="610" t="inlineStr">
        <is>
          <t>Production; Sale; Import</t>
        </is>
      </c>
      <c r="AD35" s="610" t="inlineStr">
        <is>
          <t>Production, import and sale of power transformer products. Products must meet the standard's minimum allowable energy efficiency values before they can enter the market.</t>
        </is>
      </c>
      <c r="AE35" s="610" t="inlineStr">
        <is>
          <t>Grade 3</t>
        </is>
      </c>
      <c r="AF35" s="610" t="inlineStr">
        <is>
          <t>Energy efficiency grade</t>
        </is>
      </c>
      <c r="AG35" s="610"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H35" s="610"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5" s="610" t="inlineStr">
        <is>
          <t>N/A</t>
        </is>
      </c>
      <c r="AJ35" s="610" t="inlineStr">
        <is>
          <t>N/A</t>
        </is>
      </c>
      <c r="AK35" s="610" t="inlineStr">
        <is>
          <t>Inspections or audits conducted by government authorities or third parties</t>
        </is>
      </c>
      <c r="AL35" s="610"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M35" s="610" t="inlineStr">
        <is>
          <t>Compliance order; Monetary penalties</t>
        </is>
      </c>
      <c r="AN35" s="610"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O35" s="610"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P35" s="610"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Q35" s="610" t="inlineStr">
        <is>
          <t>N/A</t>
        </is>
      </c>
      <c r="AR35" s="610" t="inlineStr">
        <is>
          <t>N/A</t>
        </is>
      </c>
      <c r="AS35" s="610" t="inlineStr">
        <is>
          <t>C27; D35</t>
        </is>
      </c>
      <c r="AT35" s="610" t="inlineStr">
        <is>
          <t>CO2</t>
        </is>
      </c>
      <c r="AU35" s="610" t="inlineStr">
        <is>
          <t>Positive</t>
        </is>
      </c>
      <c r="AV35" s="610" t="inlineStr">
        <is>
          <t>Energy conservation; Industrial development</t>
        </is>
      </c>
      <c r="AW35" s="610" t="inlineStr">
        <is>
          <t>GB 20052-2024 Minimum Allowable Values of Energy Efficiency and Energy Efficiency Grades for Power Transformers</t>
        </is>
      </c>
      <c r="AX35" s="610" t="inlineStr">
        <is>
          <t>https://openstd.samr.gov.cn/bzgk/std/newGbInfo?hcno=B0CE4A3FBCC4501211A25E3E10F75498</t>
        </is>
      </c>
      <c r="AY35" s="610" t="inlineStr">
        <is>
          <t>GB 20052-2020 (superseded): https://openstd.samr.gov.cn/bzgk/std/newGbInfo?hcno=E850FFD5EE76AC2910CEF68D317D8B32</t>
        </is>
      </c>
      <c r="AZ35" s="610" t="inlineStr"/>
    </row>
    <row r="36">
      <c r="A36" s="610" t="inlineStr">
        <is>
          <t>CHNPRFMEAI03S000</t>
        </is>
      </c>
      <c r="B36" s="610" t="inlineStr">
        <is>
          <t>Instrument</t>
        </is>
      </c>
      <c r="C36" s="610" t="inlineStr">
        <is>
          <t>Performance standard</t>
        </is>
      </c>
      <c r="D36" s="610" t="inlineStr">
        <is>
          <t>Minimum Energy Performance Standards (MEPS) for electric appliances</t>
        </is>
      </c>
      <c r="E36" s="610" t="inlineStr">
        <is>
          <t>Buildings</t>
        </is>
      </c>
      <c r="F36" s="610" t="inlineStr">
        <is>
          <t>Information and communications technology; Data centres</t>
        </is>
      </c>
      <c r="G36" s="610" t="inlineStr">
        <is>
          <t>塔式和机架式服务器能效限定值及能效等级</t>
        </is>
      </c>
      <c r="H36" s="610" t="inlineStr">
        <is>
          <t>Minimum Allowable Values of Energy Efficiency and Energy Efficiency Grades for Tower and Rack Servers</t>
        </is>
      </c>
      <c r="I36" s="610" t="inlineStr">
        <is>
          <t>N/A</t>
        </is>
      </c>
      <c r="J36" s="610"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610" t="inlineStr">
        <is>
          <t>Energy efficiency</t>
        </is>
      </c>
      <c r="L36" s="610" t="inlineStr">
        <is>
          <t>Direct</t>
        </is>
      </c>
      <c r="M36" s="610" t="inlineStr">
        <is>
          <t>national</t>
        </is>
      </c>
      <c r="N36" s="610" t="inlineStr">
        <is>
          <t>N/A</t>
        </is>
      </c>
      <c r="O36" s="610" t="inlineStr">
        <is>
          <t>28/12/2023</t>
        </is>
      </c>
      <c r="P36" s="610" t="inlineStr">
        <is>
          <t>01/01/2025</t>
        </is>
      </c>
      <c r="Q36" s="610" t="inlineStr">
        <is>
          <t>N/A</t>
        </is>
      </c>
      <c r="R36" s="610" t="inlineStr">
        <is>
          <t>N/A</t>
        </is>
      </c>
      <c r="S36" s="610" t="inlineStr">
        <is>
          <t>N/A</t>
        </is>
      </c>
      <c r="T36" s="610">
        <f>IF(P36="","In force",IF(P36="N/A","In force",IF(TODAY()&lt;DATE(VALUE(RIGHT(P36,4)),VALUE(MID(P36,4,2)),VALUE(LEFT(P36,2))),"Scheduled",IF(Q36="","In force",IF(Q36="N/A","In force",IF(TODAY()&lt;DATE(VALUE(RIGHT(Q36,4)),VALUE(MID(Q36,4,2)),VALUE(LEFT(Q36,2))),"In force","Ended"))))))</f>
        <v/>
      </c>
      <c r="U36" s="610" t="inlineStr">
        <is>
          <t>State Administration for Market Regulation; Standardization Administration of China</t>
        </is>
      </c>
      <c r="V36" s="610" t="inlineStr">
        <is>
          <t>Tower and rack servers</t>
        </is>
      </c>
      <c r="W36" s="610" t="inlineStr">
        <is>
          <t>new</t>
        </is>
      </c>
      <c r="X36" s="610" t="inlineStr">
        <is>
          <t>1-socket and 2-socket general-purpose tower servers and rack servers. Excludes servers equipped solely with auxiliary processing accelerators.</t>
        </is>
      </c>
      <c r="Y36" s="610" t="inlineStr">
        <is>
          <t>N/A</t>
        </is>
      </c>
      <c r="Z36" s="610" t="inlineStr">
        <is>
          <t>N/A</t>
        </is>
      </c>
      <c r="AA36" s="610" t="inlineStr">
        <is>
          <t>Firms</t>
        </is>
      </c>
      <c r="AB36" s="610" t="inlineStr">
        <is>
          <t>Manufacturers and importers producing, importing or selling server products within China.</t>
        </is>
      </c>
      <c r="AC36" s="610" t="inlineStr">
        <is>
          <t>Production; Sale; Import</t>
        </is>
      </c>
      <c r="AD36" s="610" t="inlineStr">
        <is>
          <t>Production, import and sale of server products. Products must meet the standard's minimum allowable energy efficiency values before they can enter the market.</t>
        </is>
      </c>
      <c r="AE36" s="610" t="inlineStr">
        <is>
          <t>Grade 3</t>
        </is>
      </c>
      <c r="AF36" s="610" t="inlineStr">
        <is>
          <t>Energy efficiency grade</t>
        </is>
      </c>
      <c r="AG36" s="610"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H36" s="610"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6" s="610" t="inlineStr">
        <is>
          <t>N/A</t>
        </is>
      </c>
      <c r="AJ36" s="610" t="inlineStr">
        <is>
          <t>N/A</t>
        </is>
      </c>
      <c r="AK36" s="610" t="inlineStr">
        <is>
          <t>Inspections or audits conducted by government authorities or third parties</t>
        </is>
      </c>
      <c r="AL36" s="610"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M36" s="610" t="inlineStr">
        <is>
          <t>Compliance order; Monetary penalties</t>
        </is>
      </c>
      <c r="AN36" s="610"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O36" s="610" t="inlineStr">
        <is>
          <t>The state encourages procurement and use of Grade 1 and Grade 2 high-efficiency servers; promotes the market uptake of high-efficiency IT equipment through green data centre construction, government green procurement and other measures.</t>
        </is>
      </c>
      <c r="AP36" s="610" t="inlineStr">
        <is>
          <t>The state encourages procurement and use of Grade 1 and Grade 2 high-efficiency servers; promotes the market uptake of high-efficiency IT equipment through green data centre construction, government green procurement and other measures.</t>
        </is>
      </c>
      <c r="AQ36" s="610" t="inlineStr">
        <is>
          <t>N/A</t>
        </is>
      </c>
      <c r="AR36" s="610" t="inlineStr">
        <is>
          <t>N/A</t>
        </is>
      </c>
      <c r="AS36" s="610" t="inlineStr">
        <is>
          <t>C26; J63</t>
        </is>
      </c>
      <c r="AT36" s="610" t="inlineStr">
        <is>
          <t>CO2</t>
        </is>
      </c>
      <c r="AU36" s="610" t="inlineStr">
        <is>
          <t>Positive</t>
        </is>
      </c>
      <c r="AV36" s="610" t="inlineStr">
        <is>
          <t>Energy conservation; Technological innovation; Industrial development</t>
        </is>
      </c>
      <c r="AW36" s="610" t="inlineStr">
        <is>
          <t>GB 43630-2023 Minimum Allowable Values of Energy Efficiency and Energy Efficiency Grades for Tower and Rack Servers</t>
        </is>
      </c>
      <c r="AX36" s="610" t="inlineStr">
        <is>
          <t>https://openstd.samr.gov.cn/bzgk/gb/newGbInfo?hcno=0CBABD8219F6CFB2F54A520081119867</t>
        </is>
      </c>
      <c r="AY36" s="610" t="inlineStr">
        <is>
          <t>N/A</t>
        </is>
      </c>
      <c r="AZ36" s="610" t="inlineStr"/>
    </row>
    <row r="37">
      <c r="A37" s="610" t="inlineStr">
        <is>
          <t>CHNPRFMEAI04S000</t>
        </is>
      </c>
      <c r="B37" s="610" t="inlineStr">
        <is>
          <t>Instrument</t>
        </is>
      </c>
      <c r="C37" s="610" t="inlineStr">
        <is>
          <t>Performance standard</t>
        </is>
      </c>
      <c r="D37" s="610" t="inlineStr">
        <is>
          <t>Minimum Energy Performance Standards (MEPS) for electric appliances</t>
        </is>
      </c>
      <c r="E37" s="610" t="inlineStr">
        <is>
          <t>Buildings</t>
        </is>
      </c>
      <c r="F37" s="610" t="inlineStr">
        <is>
          <t>Electronic equipment; Information and communications technology</t>
        </is>
      </c>
      <c r="G37" s="610" t="inlineStr">
        <is>
          <t>显示器能效限定值及能效等级</t>
        </is>
      </c>
      <c r="H37" s="610" t="inlineStr">
        <is>
          <t>Minimum Allowable Values of Energy Efficiency and Energy Efficiency Grades for Displays</t>
        </is>
      </c>
      <c r="I37" s="610" t="inlineStr">
        <is>
          <t>N/A</t>
        </is>
      </c>
      <c r="J37" s="610"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610" t="inlineStr">
        <is>
          <t>Energy efficiency</t>
        </is>
      </c>
      <c r="L37" s="610" t="inlineStr">
        <is>
          <t>Direct</t>
        </is>
      </c>
      <c r="M37" s="610" t="inlineStr">
        <is>
          <t>national</t>
        </is>
      </c>
      <c r="N37" s="610" t="inlineStr">
        <is>
          <t>N/A</t>
        </is>
      </c>
      <c r="O37" s="610" t="inlineStr">
        <is>
          <t>29/06/2015</t>
        </is>
      </c>
      <c r="P37" s="610" t="inlineStr">
        <is>
          <t>01/06/2016</t>
        </is>
      </c>
      <c r="Q37" s="610" t="inlineStr">
        <is>
          <t>N/A</t>
        </is>
      </c>
      <c r="R37" s="610" t="inlineStr">
        <is>
          <t>23/05/2023</t>
        </is>
      </c>
      <c r="S37" s="610" t="inlineStr">
        <is>
          <t>On 23 May 2023, GB 21520-2023 was published, replacing GB 21520-2015, expanding the scope to OLED and LED integrated display terminals and raising energy efficiency values across all grades.</t>
        </is>
      </c>
      <c r="T37" s="610">
        <f>IF(P37="","In force",IF(P37="N/A","In force",IF(TODAY()&lt;DATE(VALUE(RIGHT(P37,4)),VALUE(MID(P37,4,2)),VALUE(LEFT(P37,2))),"Scheduled",IF(Q37="","In force",IF(Q37="N/A","In force",IF(TODAY()&lt;DATE(VALUE(RIGHT(Q37,4)),VALUE(MID(Q37,4,2)),VALUE(LEFT(Q37,2))),"In force","Ended"))))))</f>
        <v/>
      </c>
      <c r="U37" s="610" t="inlineStr">
        <is>
          <t>State Administration for Market Regulation; Standardization Administration of China</t>
        </is>
      </c>
      <c r="V37" s="610" t="inlineStr">
        <is>
          <t>Displays</t>
        </is>
      </c>
      <c r="W37" s="610" t="inlineStr">
        <is>
          <t>new</t>
        </is>
      </c>
      <c r="X37" s="610"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Y37" s="610" t="inlineStr">
        <is>
          <t>N/A</t>
        </is>
      </c>
      <c r="Z37" s="610" t="inlineStr">
        <is>
          <t>N/A</t>
        </is>
      </c>
      <c r="AA37" s="610" t="inlineStr">
        <is>
          <t>Firms</t>
        </is>
      </c>
      <c r="AB37" s="610" t="inlineStr">
        <is>
          <t>Manufacturers and importers producing, importing or selling display products within China.</t>
        </is>
      </c>
      <c r="AC37" s="610" t="inlineStr">
        <is>
          <t>Production; Sale; Import</t>
        </is>
      </c>
      <c r="AD37" s="610" t="inlineStr">
        <is>
          <t>Production, import and sale of display products. Products must meet the standard's minimum allowable energy efficiency values before they can enter the market.</t>
        </is>
      </c>
      <c r="AE37" s="610" t="inlineStr">
        <is>
          <t>Grade 3</t>
        </is>
      </c>
      <c r="AF37" s="610" t="inlineStr">
        <is>
          <t>Energy efficiency grade</t>
        </is>
      </c>
      <c r="AG37" s="610"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H37" s="610"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7" s="610" t="inlineStr">
        <is>
          <t>N/A</t>
        </is>
      </c>
      <c r="AJ37" s="610" t="inlineStr">
        <is>
          <t>N/A</t>
        </is>
      </c>
      <c r="AK37" s="610" t="inlineStr">
        <is>
          <t>Inspections or audits conducted by government authorities or third parties</t>
        </is>
      </c>
      <c r="AL37" s="610"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M37" s="610" t="inlineStr">
        <is>
          <t>Compliance order; Monetary penalties</t>
        </is>
      </c>
      <c r="AN37" s="610" t="inlineStr">
        <is>
          <t>For production, import or sale of display products not conforming to the mandatory energy efficiency standard, market regulatory authorities shall order cessation of production, import and sale, confiscate illegal gains and impose fines.</t>
        </is>
      </c>
      <c r="AO37" s="610" t="inlineStr">
        <is>
          <t>The state encourages production and use of Grade 1 and Grade 2 high-efficiency displays; promotes market uptake through energy-saving product certification and government green procurement.</t>
        </is>
      </c>
      <c r="AP37" s="610" t="inlineStr">
        <is>
          <t>The state encourages production and use of Grade 1 and Grade 2 high-efficiency displays; promotes market uptake through energy-saving product certification and government green procurement.</t>
        </is>
      </c>
      <c r="AQ37" s="610" t="inlineStr">
        <is>
          <t>N/A</t>
        </is>
      </c>
      <c r="AR37" s="610" t="inlineStr">
        <is>
          <t>N/A</t>
        </is>
      </c>
      <c r="AS37" s="610" t="inlineStr">
        <is>
          <t>C26</t>
        </is>
      </c>
      <c r="AT37" s="610" t="inlineStr">
        <is>
          <t>CO2</t>
        </is>
      </c>
      <c r="AU37" s="610" t="inlineStr">
        <is>
          <t>Positive</t>
        </is>
      </c>
      <c r="AV37" s="610" t="inlineStr">
        <is>
          <t>Energy conservation; Industrial development</t>
        </is>
      </c>
      <c r="AW37" s="610" t="inlineStr">
        <is>
          <t>GB 21520-2023 Minimum Allowable Values of Energy Efficiency and Energy Efficiency Grades for Displays</t>
        </is>
      </c>
      <c r="AX37" s="610" t="inlineStr">
        <is>
          <t>https://openstd.samr.gov.cn/bzgk/std/newGbInfo?hcno=062F417801C532C4338A5CD387C18F06</t>
        </is>
      </c>
      <c r="AY37" s="610" t="inlineStr">
        <is>
          <t>GB 21520-2015 (superseded): https://openstd.samr.gov.cn/bzgk/std/newGbInfo?hcno=5AC91551A16851D4E862C4FAE130F4CA</t>
        </is>
      </c>
      <c r="AZ37" s="610" t="inlineStr"/>
    </row>
    <row r="38">
      <c r="A38" s="610" t="inlineStr">
        <is>
          <t>CHNPRFMEAI05S000</t>
        </is>
      </c>
      <c r="B38" s="610" t="inlineStr">
        <is>
          <t>Instrument</t>
        </is>
      </c>
      <c r="C38" s="610" t="inlineStr">
        <is>
          <t>Performance standard</t>
        </is>
      </c>
      <c r="D38" s="610" t="inlineStr">
        <is>
          <t>Minimum Energy Performance Standards (MEPS) for electric appliances</t>
        </is>
      </c>
      <c r="E38" s="610" t="inlineStr">
        <is>
          <t>Buildings</t>
        </is>
      </c>
      <c r="F38" s="610" t="inlineStr">
        <is>
          <t>Household appliances</t>
        </is>
      </c>
      <c r="G38" s="610" t="inlineStr">
        <is>
          <t>空气净化器能效限定值及能效等级</t>
        </is>
      </c>
      <c r="H38" s="610" t="inlineStr">
        <is>
          <t>Minimum Allowable Values of Energy Efficiency and Energy Efficiency Grades for Air Cleaners</t>
        </is>
      </c>
      <c r="I38" s="610" t="inlineStr">
        <is>
          <t>N/A</t>
        </is>
      </c>
      <c r="J38" s="610"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610" t="inlineStr">
        <is>
          <t>Energy efficiency</t>
        </is>
      </c>
      <c r="L38" s="610" t="inlineStr">
        <is>
          <t>Direct</t>
        </is>
      </c>
      <c r="M38" s="610" t="inlineStr">
        <is>
          <t>national</t>
        </is>
      </c>
      <c r="N38" s="610" t="inlineStr">
        <is>
          <t>N/A</t>
        </is>
      </c>
      <c r="O38" s="610" t="inlineStr">
        <is>
          <t>19/11/2018</t>
        </is>
      </c>
      <c r="P38" s="610" t="inlineStr">
        <is>
          <t>01/12/2019</t>
        </is>
      </c>
      <c r="Q38" s="610" t="inlineStr">
        <is>
          <t>N/A</t>
        </is>
      </c>
      <c r="R38" s="610" t="inlineStr">
        <is>
          <t>29/09/2024</t>
        </is>
      </c>
      <c r="S38" s="610" t="inlineStr">
        <is>
          <t>On 29 September 2024, GB 36893-2024 was published, replacing GB 36893-2018, significantly expanding the scope to include gaseous pollutant removal, humidifying-purifiers and purifying fans, and raising energy efficiency values across all grades.</t>
        </is>
      </c>
      <c r="T38" s="610">
        <f>IF(P38="","In force",IF(P38="N/A","In force",IF(TODAY()&lt;DATE(VALUE(RIGHT(P38,4)),VALUE(MID(P38,4,2)),VALUE(LEFT(P38,2))),"Scheduled",IF(Q38="","In force",IF(Q38="N/A","In force",IF(TODAY()&lt;DATE(VALUE(RIGHT(Q38,4)),VALUE(MID(Q38,4,2)),VALUE(LEFT(Q38,2))),"In force","Ended"))))))</f>
        <v/>
      </c>
      <c r="U38" s="610" t="inlineStr">
        <is>
          <t>State Administration for Market Regulation; Standardization Administration of China</t>
        </is>
      </c>
      <c r="V38" s="610" t="inlineStr">
        <is>
          <t>Air cleaners</t>
        </is>
      </c>
      <c r="W38" s="610" t="inlineStr">
        <is>
          <t>new</t>
        </is>
      </c>
      <c r="X38" s="610"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Y38" s="610" t="inlineStr">
        <is>
          <t>N/A</t>
        </is>
      </c>
      <c r="Z38" s="610" t="inlineStr">
        <is>
          <t>N/A</t>
        </is>
      </c>
      <c r="AA38" s="610" t="inlineStr">
        <is>
          <t>Firms</t>
        </is>
      </c>
      <c r="AB38" s="610" t="inlineStr">
        <is>
          <t>Manufacturers and importers producing, importing or selling air cleaner products within China.</t>
        </is>
      </c>
      <c r="AC38" s="610" t="inlineStr">
        <is>
          <t>Production; Sale; Import</t>
        </is>
      </c>
      <c r="AD38" s="610" t="inlineStr">
        <is>
          <t>Production, import and sale of air cleaner products. Products must meet the standard's minimum allowable energy efficiency values before they can enter the market.</t>
        </is>
      </c>
      <c r="AE38" s="610" t="inlineStr">
        <is>
          <t>Grade 3</t>
        </is>
      </c>
      <c r="AF38" s="610" t="inlineStr">
        <is>
          <t>Energy efficiency grade</t>
        </is>
      </c>
      <c r="AG38" s="610"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H38" s="610"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8" s="610" t="inlineStr">
        <is>
          <t>N/A</t>
        </is>
      </c>
      <c r="AJ38" s="610" t="inlineStr">
        <is>
          <t>N/A</t>
        </is>
      </c>
      <c r="AK38" s="610" t="inlineStr">
        <is>
          <t>Inspections or audits conducted by government authorities or third parties</t>
        </is>
      </c>
      <c r="AL38" s="610"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M38" s="610" t="inlineStr">
        <is>
          <t>Compliance order; Monetary penalties</t>
        </is>
      </c>
      <c r="AN38" s="610" t="inlineStr">
        <is>
          <t>For production, import or sale of air cleaner products not conforming to the mandatory energy efficiency standard, market regulatory authorities shall order cessation of production, import and sale, confiscate illegal gains and impose fines.</t>
        </is>
      </c>
      <c r="AO38" s="610" t="inlineStr">
        <is>
          <t>The state encourages production and use of Grade 1 and Grade 2 high-efficiency air cleaners; promotes market uptake through energy-saving product certification.</t>
        </is>
      </c>
      <c r="AP38" s="610" t="inlineStr">
        <is>
          <t>The state encourages production and use of Grade 1 and Grade 2 high-efficiency air cleaners; promotes market uptake through energy-saving product certification.</t>
        </is>
      </c>
      <c r="AQ38" s="610" t="inlineStr">
        <is>
          <t>N/A</t>
        </is>
      </c>
      <c r="AR38" s="610" t="inlineStr">
        <is>
          <t>N/A</t>
        </is>
      </c>
      <c r="AS38" s="610" t="inlineStr">
        <is>
          <t>C27</t>
        </is>
      </c>
      <c r="AT38" s="610" t="inlineStr">
        <is>
          <t>CO2</t>
        </is>
      </c>
      <c r="AU38" s="610" t="inlineStr">
        <is>
          <t>Positive</t>
        </is>
      </c>
      <c r="AV38" s="610" t="inlineStr">
        <is>
          <t>Energy conservation; Industrial development</t>
        </is>
      </c>
      <c r="AW38" s="610" t="inlineStr">
        <is>
          <t>GB 36893-2024 Minimum Allowable Values of Energy Efficiency and Energy Efficiency Grades for Air Cleaners</t>
        </is>
      </c>
      <c r="AX38" s="610" t="inlineStr">
        <is>
          <t>https://openstd.samr.gov.cn/bzgk/std/newGbInfo?hcno=4BA93C92616062B1F73D34BBEB2E0233</t>
        </is>
      </c>
      <c r="AY38" s="610" t="inlineStr">
        <is>
          <t>GB 36893-2018 (superseded): https://openstd.samr.gov.cn/bzgk/std/newGbInfo?hcno=5C0BC31D782F93C1549E68FDA7474F4C</t>
        </is>
      </c>
      <c r="AZ38" s="610" t="inlineStr"/>
    </row>
    <row r="39">
      <c r="A39" s="610" t="inlineStr">
        <is>
          <t>CHNPRFMEAI06S000</t>
        </is>
      </c>
      <c r="B39" s="610" t="inlineStr">
        <is>
          <t>Instrument</t>
        </is>
      </c>
      <c r="C39" s="610" t="inlineStr">
        <is>
          <t>Performance standard</t>
        </is>
      </c>
      <c r="D39" s="610" t="inlineStr">
        <is>
          <t>Minimum Energy Performance Standards (MEPS) for electric appliances</t>
        </is>
      </c>
      <c r="E39" s="610" t="inlineStr">
        <is>
          <t>Industry</t>
        </is>
      </c>
      <c r="F39" s="610" t="inlineStr">
        <is>
          <t>Industrial pumps; Water supply and drainage</t>
        </is>
      </c>
      <c r="G39" s="610" t="inlineStr">
        <is>
          <t>潜水电泵能效限定值及能效等级</t>
        </is>
      </c>
      <c r="H39" s="610" t="inlineStr">
        <is>
          <t>Minimum Allowable Values of Energy Efficiency and Energy Efficiency Grades for Submersible Motor-Pumps</t>
        </is>
      </c>
      <c r="I39" s="610" t="inlineStr">
        <is>
          <t>N/A</t>
        </is>
      </c>
      <c r="J39" s="610"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610" t="inlineStr">
        <is>
          <t>Energy efficiency</t>
        </is>
      </c>
      <c r="L39" s="610" t="inlineStr">
        <is>
          <t>Direct</t>
        </is>
      </c>
      <c r="M39" s="610" t="inlineStr">
        <is>
          <t>national</t>
        </is>
      </c>
      <c r="N39" s="610" t="inlineStr">
        <is>
          <t>N/A</t>
        </is>
      </c>
      <c r="O39" s="610" t="inlineStr">
        <is>
          <t>29/12/2022</t>
        </is>
      </c>
      <c r="P39" s="610" t="inlineStr">
        <is>
          <t>01/01/2024</t>
        </is>
      </c>
      <c r="Q39" s="610" t="inlineStr">
        <is>
          <t>N/A</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State Administration for Market Regulation; Standardization Administration of China</t>
        </is>
      </c>
      <c r="V39" s="610" t="inlineStr">
        <is>
          <t>Submersible motor-pumps</t>
        </is>
      </c>
      <c r="W39" s="610" t="inlineStr">
        <is>
          <t>new</t>
        </is>
      </c>
      <c r="X39" s="610"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Y39" s="610" t="inlineStr">
        <is>
          <t>N/A</t>
        </is>
      </c>
      <c r="Z39" s="610" t="inlineStr">
        <is>
          <t>N/A</t>
        </is>
      </c>
      <c r="AA39" s="610" t="inlineStr">
        <is>
          <t>Firms</t>
        </is>
      </c>
      <c r="AB39" s="610" t="inlineStr">
        <is>
          <t>Manufacturers and importers producing, importing or selling submersible motor-pump products within China.</t>
        </is>
      </c>
      <c r="AC39" s="610" t="inlineStr">
        <is>
          <t>Production; Sale; Import</t>
        </is>
      </c>
      <c r="AD39" s="610" t="inlineStr">
        <is>
          <t>Production, import and sale of submersible motor-pump products. Products must meet the standard's minimum allowable energy efficiency values before they can enter the market.</t>
        </is>
      </c>
      <c r="AE39" s="610" t="inlineStr">
        <is>
          <t>Grade 3</t>
        </is>
      </c>
      <c r="AF39" s="610" t="inlineStr">
        <is>
          <t>Energy efficiency grade</t>
        </is>
      </c>
      <c r="AG39" s="610"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H39" s="610"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9" s="610" t="inlineStr">
        <is>
          <t>N/A</t>
        </is>
      </c>
      <c r="AJ39" s="610" t="inlineStr">
        <is>
          <t>N/A</t>
        </is>
      </c>
      <c r="AK39" s="610" t="inlineStr">
        <is>
          <t>Inspections or audits conducted by government authorities or third parties</t>
        </is>
      </c>
      <c r="AL39" s="610"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M39" s="610" t="inlineStr">
        <is>
          <t>Compliance order; Monetary penalties</t>
        </is>
      </c>
      <c r="AN39" s="610" t="inlineStr">
        <is>
          <t>For production, import or sale of submersible motor-pump products not conforming to the mandatory energy efficiency standard, market regulatory authorities shall order cessation of production, import and sale, confiscate illegal gains and impose fines.</t>
        </is>
      </c>
      <c r="AO39" s="610" t="inlineStr">
        <is>
          <t>The state encourages production and use of Grade 1 and Grade 2 high-efficiency submersible motor-pumps; promotes market uptake through energy-saving product certification and government green procurement.</t>
        </is>
      </c>
      <c r="AP39" s="610" t="inlineStr">
        <is>
          <t>The state encourages production and use of Grade 1 and Grade 2 high-efficiency submersible motor-pumps; promotes market uptake through energy-saving product certification and government green procurement.</t>
        </is>
      </c>
      <c r="AQ39" s="610" t="inlineStr">
        <is>
          <t>N/A</t>
        </is>
      </c>
      <c r="AR39" s="610" t="inlineStr">
        <is>
          <t>N/A</t>
        </is>
      </c>
      <c r="AS39" s="610" t="inlineStr">
        <is>
          <t>C28</t>
        </is>
      </c>
      <c r="AT39" s="610" t="inlineStr">
        <is>
          <t>CO2</t>
        </is>
      </c>
      <c r="AU39" s="610" t="inlineStr">
        <is>
          <t>Positive</t>
        </is>
      </c>
      <c r="AV39" s="610" t="inlineStr">
        <is>
          <t>Energy conservation; Industrial development</t>
        </is>
      </c>
      <c r="AW39" s="610" t="inlineStr">
        <is>
          <t>GB 32030-2022 Minimum Allowable Values of Energy Efficiency and Energy Efficiency Grades for Submersible Motor-Pumps</t>
        </is>
      </c>
      <c r="AX39" s="610" t="inlineStr">
        <is>
          <t>https://openstd.samr.gov.cn/bzgk/std/newGbInfo?hcno=A169A5996E7443A3CF22F1BF58A151C9</t>
        </is>
      </c>
      <c r="AY39" s="610" t="inlineStr">
        <is>
          <t>N/A</t>
        </is>
      </c>
      <c r="AZ39" s="610" t="inlineStr"/>
    </row>
    <row r="40">
      <c r="A40" s="610" t="inlineStr">
        <is>
          <t>CHNPRFMEAI07S000</t>
        </is>
      </c>
      <c r="B40" s="610" t="inlineStr">
        <is>
          <t>Instrument</t>
        </is>
      </c>
      <c r="C40" s="610" t="inlineStr">
        <is>
          <t>Performance standard</t>
        </is>
      </c>
      <c r="D40" s="610" t="inlineStr">
        <is>
          <t>Minimum Energy Performance Standards (MEPS) for electric appliances</t>
        </is>
      </c>
      <c r="E40" s="610" t="inlineStr">
        <is>
          <t>Buildings</t>
        </is>
      </c>
      <c r="F40" s="610" t="inlineStr">
        <is>
          <t>Household appliances</t>
        </is>
      </c>
      <c r="G40" s="610" t="inlineStr">
        <is>
          <t>电风扇能效限定值及能效等级</t>
        </is>
      </c>
      <c r="H40" s="610" t="inlineStr">
        <is>
          <t>Minimum Allowable Values of Energy Efficiency and Energy Efficiency Grades for Electric Fans</t>
        </is>
      </c>
      <c r="I40" s="610" t="inlineStr">
        <is>
          <t>N/A</t>
        </is>
      </c>
      <c r="J40" s="610"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610" t="inlineStr">
        <is>
          <t>Energy efficiency</t>
        </is>
      </c>
      <c r="L40" s="610" t="inlineStr">
        <is>
          <t>Direct</t>
        </is>
      </c>
      <c r="M40" s="610" t="inlineStr">
        <is>
          <t>national</t>
        </is>
      </c>
      <c r="N40" s="610" t="inlineStr">
        <is>
          <t>N/A</t>
        </is>
      </c>
      <c r="O40" s="610" t="inlineStr">
        <is>
          <t>01/03/2009</t>
        </is>
      </c>
      <c r="P40" s="610" t="inlineStr">
        <is>
          <t>01/03/2010</t>
        </is>
      </c>
      <c r="Q40" s="610" t="inlineStr">
        <is>
          <t>N/A</t>
        </is>
      </c>
      <c r="R40" s="610" t="inlineStr">
        <is>
          <t>11/10/2021</t>
        </is>
      </c>
      <c r="S40" s="610" t="inlineStr">
        <is>
          <t>On 11 October 2021, GB 12021.9-2021 was published, replacing GB 12021.9-2008, adding DC motor-driven fans and concentrated-flow fans, adding standby power requirements, and raising Grade 1 energy efficiency values by 30.9% to 80.6%.</t>
        </is>
      </c>
      <c r="T40" s="610">
        <f>IF(P40="","In force",IF(P40="N/A","In force",IF(TODAY()&lt;DATE(VALUE(RIGHT(P40,4)),VALUE(MID(P40,4,2)),VALUE(LEFT(P40,2))),"Scheduled",IF(Q40="","In force",IF(Q40="N/A","In force",IF(TODAY()&lt;DATE(VALUE(RIGHT(Q40,4)),VALUE(MID(Q40,4,2)),VALUE(LEFT(Q40,2))),"In force","Ended"))))))</f>
        <v/>
      </c>
      <c r="U40" s="610" t="inlineStr">
        <is>
          <t>State Administration for Market Regulation; Standardization Administration of China</t>
        </is>
      </c>
      <c r="V40" s="610" t="inlineStr">
        <is>
          <t>Electric fans</t>
        </is>
      </c>
      <c r="W40" s="610" t="inlineStr">
        <is>
          <t>new</t>
        </is>
      </c>
      <c r="X40" s="610" t="inlineStr">
        <is>
          <t>Table fans, blade circulation fans, wall fans, table-floor fans, pedestal fans and ceiling fans, with single-phase rated voltage not exceeding 250 V or other rated voltage not exceeding 480 V, driven by AC or DC motors.</t>
        </is>
      </c>
      <c r="Y40" s="610" t="inlineStr">
        <is>
          <t>N/A</t>
        </is>
      </c>
      <c r="Z40" s="610" t="inlineStr">
        <is>
          <t>N/A</t>
        </is>
      </c>
      <c r="AA40" s="610" t="inlineStr">
        <is>
          <t>Firms</t>
        </is>
      </c>
      <c r="AB40" s="610" t="inlineStr">
        <is>
          <t>Manufacturers and importers producing, importing or selling electric fan products within China.</t>
        </is>
      </c>
      <c r="AC40" s="610" t="inlineStr">
        <is>
          <t>Production; Sale; Import</t>
        </is>
      </c>
      <c r="AD40" s="610" t="inlineStr">
        <is>
          <t>Production, import and sale of electric fan products. Products must meet the standard's minimum allowable energy efficiency values before they can enter the market.</t>
        </is>
      </c>
      <c r="AE40" s="610" t="inlineStr">
        <is>
          <t>Grade 3</t>
        </is>
      </c>
      <c r="AF40" s="610" t="inlineStr">
        <is>
          <t>Energy efficiency grade</t>
        </is>
      </c>
      <c r="AG40" s="610"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H40" s="610"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0" s="610" t="inlineStr">
        <is>
          <t>N/A</t>
        </is>
      </c>
      <c r="AJ40" s="610" t="inlineStr">
        <is>
          <t>N/A</t>
        </is>
      </c>
      <c r="AK40" s="610" t="inlineStr">
        <is>
          <t>Inspections or audits conducted by government authorities or third parties</t>
        </is>
      </c>
      <c r="AL40" s="610"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M40" s="610" t="inlineStr">
        <is>
          <t>Compliance order; Monetary penalties</t>
        </is>
      </c>
      <c r="AN40" s="610" t="inlineStr">
        <is>
          <t>For production, import or sale of electric fan products not conforming to the mandatory energy efficiency standard, market regulatory authorities shall order cessation of production, import and sale, confiscate illegal gains and impose fines.</t>
        </is>
      </c>
      <c r="AO40" s="610" t="inlineStr">
        <is>
          <t>The state encourages production and use of Grade 1 and Grade 2 high-efficiency electric fans; promotes market uptake through energy-saving product certification and government green procurement.</t>
        </is>
      </c>
      <c r="AP40" s="610" t="inlineStr">
        <is>
          <t>The state encourages production and use of Grade 1 and Grade 2 high-efficiency electric fans; promotes market uptake through energy-saving product certification and government green procurement.</t>
        </is>
      </c>
      <c r="AQ40" s="610" t="inlineStr">
        <is>
          <t>N/A</t>
        </is>
      </c>
      <c r="AR40" s="610" t="inlineStr">
        <is>
          <t>N/A</t>
        </is>
      </c>
      <c r="AS40" s="610" t="inlineStr">
        <is>
          <t>C27</t>
        </is>
      </c>
      <c r="AT40" s="610" t="inlineStr">
        <is>
          <t>CO2</t>
        </is>
      </c>
      <c r="AU40" s="610" t="inlineStr">
        <is>
          <t>Positive</t>
        </is>
      </c>
      <c r="AV40" s="610" t="inlineStr">
        <is>
          <t>Energy conservation; Industrial development</t>
        </is>
      </c>
      <c r="AW40" s="610" t="inlineStr">
        <is>
          <t>GB 12021.9-2021 Minimum Allowable Values of Energy Efficiency and Energy Efficiency Grades for Electric Fans</t>
        </is>
      </c>
      <c r="AX40" s="610" t="inlineStr">
        <is>
          <t>https://openstd.samr.gov.cn/bzgk/std/newGbInfo?hcno=91AD3442EF85B846C4DB9879198D200E</t>
        </is>
      </c>
      <c r="AY40" s="610" t="inlineStr">
        <is>
          <t>GB 12021.9-2008 (superseded): https://std.samr.gov.cn/gb/search/gbDetailed?id=71F772D7C8C1D3A7E05397BE0A0AB82A</t>
        </is>
      </c>
      <c r="AZ40" s="610" t="inlineStr"/>
    </row>
    <row r="41">
      <c r="A41" s="610" t="inlineStr">
        <is>
          <t>CHNPRFMEAI08S000</t>
        </is>
      </c>
      <c r="B41" s="610" t="inlineStr">
        <is>
          <t>Instrument</t>
        </is>
      </c>
      <c r="C41" s="610" t="inlineStr">
        <is>
          <t>Performance standard</t>
        </is>
      </c>
      <c r="D41" s="610" t="inlineStr">
        <is>
          <t>Minimum Energy Performance Standards (MEPS) for electric appliances</t>
        </is>
      </c>
      <c r="E41" s="610" t="inlineStr">
        <is>
          <t>Buildings</t>
        </is>
      </c>
      <c r="F41" s="610" t="inlineStr">
        <is>
          <t>Consumer electronics</t>
        </is>
      </c>
      <c r="G41" s="610" t="inlineStr">
        <is>
          <t>平板电视与机顶盒能效限定值及能效等级</t>
        </is>
      </c>
      <c r="H41" s="610" t="inlineStr">
        <is>
          <t>Minimum Allowable Values of Energy Efficiency and Energy Efficiency Grades for Flat Panel Televisions and Set-Top Boxes</t>
        </is>
      </c>
      <c r="I41" s="610" t="inlineStr">
        <is>
          <t>N/A</t>
        </is>
      </c>
      <c r="J41" s="610"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610" t="inlineStr">
        <is>
          <t>Energy efficiency</t>
        </is>
      </c>
      <c r="L41" s="610" t="inlineStr">
        <is>
          <t>Direct</t>
        </is>
      </c>
      <c r="M41" s="610" t="inlineStr">
        <is>
          <t>national</t>
        </is>
      </c>
      <c r="N41" s="610" t="inlineStr">
        <is>
          <t>N/A</t>
        </is>
      </c>
      <c r="O41" s="610" t="inlineStr">
        <is>
          <t>23/07/2020</t>
        </is>
      </c>
      <c r="P41" s="610" t="inlineStr">
        <is>
          <t>01/08/2021</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State Administration for Market Regulation; Standardization Administration of China</t>
        </is>
      </c>
      <c r="V41" s="610" t="inlineStr">
        <is>
          <t>Flat panel televisions and set-top boxes</t>
        </is>
      </c>
      <c r="W41" s="610" t="inlineStr">
        <is>
          <t>new</t>
        </is>
      </c>
      <c r="X41" s="610" t="inlineStr">
        <is>
          <t>LCD televisions and OLED televisions; wired, terrestrial, satellite and network set-top boxes. Excludes direct broadcast satellite set-top boxes.</t>
        </is>
      </c>
      <c r="Y41" s="610" t="inlineStr">
        <is>
          <t>N/A</t>
        </is>
      </c>
      <c r="Z41" s="610" t="inlineStr">
        <is>
          <t>N/A</t>
        </is>
      </c>
      <c r="AA41" s="610" t="inlineStr">
        <is>
          <t>Firms</t>
        </is>
      </c>
      <c r="AB41" s="610" t="inlineStr">
        <is>
          <t>Manufacturers and importers producing, importing or selling flat panel television and set-top box products within China.</t>
        </is>
      </c>
      <c r="AC41" s="610" t="inlineStr">
        <is>
          <t>Production; Sale; Import</t>
        </is>
      </c>
      <c r="AD41" s="610" t="inlineStr">
        <is>
          <t>Production, import and sale of flat panel television and set-top box products. Products must meet the standard's minimum allowable energy efficiency values before they can enter the market.</t>
        </is>
      </c>
      <c r="AE41" s="610" t="inlineStr">
        <is>
          <t>Grade 5</t>
        </is>
      </c>
      <c r="AF41" s="610" t="inlineStr">
        <is>
          <t>Energy efficiency grade</t>
        </is>
      </c>
      <c r="AG41" s="610"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H41" s="610"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I41" s="610" t="inlineStr">
        <is>
          <t>N/A</t>
        </is>
      </c>
      <c r="AJ41" s="610" t="inlineStr">
        <is>
          <t>N/A</t>
        </is>
      </c>
      <c r="AK41" s="610" t="inlineStr">
        <is>
          <t>Inspections or audits conducted by government authorities or third parties</t>
        </is>
      </c>
      <c r="AL41" s="610"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M41" s="610" t="inlineStr">
        <is>
          <t>Compliance order; Monetary penalties</t>
        </is>
      </c>
      <c r="AN41" s="610"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O41" s="610" t="inlineStr">
        <is>
          <t>The state encourages production and use of Grade 1 and Grade 2 high-efficiency televisions and set-top boxes; promotes the market uptake of high-efficiency consumer electronics through energy-saving product certification.</t>
        </is>
      </c>
      <c r="AP41" s="610" t="inlineStr">
        <is>
          <t>The state encourages production and use of Grade 1 and Grade 2 high-efficiency televisions and set-top boxes; promotes the market uptake of high-efficiency consumer electronics through energy-saving product certification.</t>
        </is>
      </c>
      <c r="AQ41" s="610" t="inlineStr">
        <is>
          <t>N/A</t>
        </is>
      </c>
      <c r="AR41" s="610" t="inlineStr">
        <is>
          <t>N/A</t>
        </is>
      </c>
      <c r="AS41" s="610" t="inlineStr">
        <is>
          <t>C26</t>
        </is>
      </c>
      <c r="AT41" s="610" t="inlineStr">
        <is>
          <t>CO2</t>
        </is>
      </c>
      <c r="AU41" s="610" t="inlineStr">
        <is>
          <t>Positive</t>
        </is>
      </c>
      <c r="AV41" s="610" t="inlineStr">
        <is>
          <t>Energy conservation; Industrial development</t>
        </is>
      </c>
      <c r="AW41" s="610" t="inlineStr">
        <is>
          <t>GB 24850-2020 Minimum Allowable Values of Energy Efficiency and Energy Efficiency Grades for Flat Panel Televisions and Set-Top Boxes</t>
        </is>
      </c>
      <c r="AX41" s="610" t="inlineStr">
        <is>
          <t>https://openstd.samr.gov.cn/bzgk/gb/newGbInfo?hcno=C372F09A3155C3B9967182CAD49415BA</t>
        </is>
      </c>
      <c r="AY41" s="610" t="inlineStr">
        <is>
          <t>N/A</t>
        </is>
      </c>
      <c r="AZ41" s="610" t="inlineStr"/>
    </row>
    <row r="42">
      <c r="A42" s="610" t="inlineStr">
        <is>
          <t>CHNPRFMEAI09S000</t>
        </is>
      </c>
      <c r="B42" s="610" t="inlineStr">
        <is>
          <t>Instrument</t>
        </is>
      </c>
      <c r="C42" s="610" t="inlineStr">
        <is>
          <t>Performance standard</t>
        </is>
      </c>
      <c r="D42" s="610" t="inlineStr">
        <is>
          <t>Minimum Energy Performance Standards (MEPS) for electric appliances</t>
        </is>
      </c>
      <c r="E42" s="610" t="inlineStr">
        <is>
          <t>Buildings</t>
        </is>
      </c>
      <c r="F42" s="610" t="inlineStr">
        <is>
          <t>Industrial fans; Heating, ventilation and air conditioning</t>
        </is>
      </c>
      <c r="G42" s="610" t="inlineStr">
        <is>
          <t>通风机能效限定值及能效等级</t>
        </is>
      </c>
      <c r="H42" s="610" t="inlineStr">
        <is>
          <t>Minimum Allowable Values of Energy Efficiency and Energy Efficiency Grades for Fans</t>
        </is>
      </c>
      <c r="I42" s="610" t="inlineStr">
        <is>
          <t>N/A</t>
        </is>
      </c>
      <c r="J42" s="610"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610" t="inlineStr">
        <is>
          <t>Energy efficiency</t>
        </is>
      </c>
      <c r="L42" s="610" t="inlineStr">
        <is>
          <t>Direct</t>
        </is>
      </c>
      <c r="M42" s="610" t="inlineStr">
        <is>
          <t>national</t>
        </is>
      </c>
      <c r="N42" s="610" t="inlineStr">
        <is>
          <t>N/A</t>
        </is>
      </c>
      <c r="O42" s="610" t="inlineStr">
        <is>
          <t>29/05/2020</t>
        </is>
      </c>
      <c r="P42" s="610" t="inlineStr">
        <is>
          <t>01/06/2021</t>
        </is>
      </c>
      <c r="Q42" s="610" t="inlineStr">
        <is>
          <t>N/A</t>
        </is>
      </c>
      <c r="R42" s="610" t="inlineStr">
        <is>
          <t>N/A</t>
        </is>
      </c>
      <c r="S42" s="610" t="inlineStr">
        <is>
          <t>N/A</t>
        </is>
      </c>
      <c r="T42" s="610">
        <f>IF(P42="","In force",IF(P42="N/A","In force",IF(TODAY()&lt;DATE(VALUE(RIGHT(P42,4)),VALUE(MID(P42,4,2)),VALUE(LEFT(P42,2))),"Scheduled",IF(Q42="","In force",IF(Q42="N/A","In force",IF(TODAY()&lt;DATE(VALUE(RIGHT(Q42,4)),VALUE(MID(Q42,4,2)),VALUE(LEFT(Q42,2))),"In force","Ended"))))))</f>
        <v/>
      </c>
      <c r="U42" s="610" t="inlineStr">
        <is>
          <t>State Administration for Market Regulation; Standardization Administration of China</t>
        </is>
      </c>
      <c r="V42" s="610" t="inlineStr">
        <is>
          <t>Fans</t>
        </is>
      </c>
      <c r="W42" s="610" t="inlineStr">
        <is>
          <t>new</t>
        </is>
      </c>
      <c r="X42" s="610"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Y42" s="610" t="inlineStr">
        <is>
          <t>N/A</t>
        </is>
      </c>
      <c r="Z42" s="610" t="inlineStr">
        <is>
          <t>N/A</t>
        </is>
      </c>
      <c r="AA42" s="610" t="inlineStr">
        <is>
          <t>Firms</t>
        </is>
      </c>
      <c r="AB42" s="610" t="inlineStr">
        <is>
          <t>Manufacturers and importers producing, importing or selling fan products within China.</t>
        </is>
      </c>
      <c r="AC42" s="610" t="inlineStr">
        <is>
          <t>Production; Sale; Import</t>
        </is>
      </c>
      <c r="AD42" s="610" t="inlineStr">
        <is>
          <t>Production, import and sale of fan products. Products must meet the standard's minimum allowable energy efficiency values before they can enter the market.</t>
        </is>
      </c>
      <c r="AE42" s="610" t="inlineStr">
        <is>
          <t>Grade 3</t>
        </is>
      </c>
      <c r="AF42" s="610" t="inlineStr">
        <is>
          <t>Energy efficiency grade</t>
        </is>
      </c>
      <c r="AG42" s="610"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H42" s="610"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2" s="610" t="inlineStr">
        <is>
          <t>N/A</t>
        </is>
      </c>
      <c r="AJ42" s="610" t="inlineStr">
        <is>
          <t>N/A</t>
        </is>
      </c>
      <c r="AK42" s="610" t="inlineStr">
        <is>
          <t>Inspections or audits conducted by government authorities or third parties</t>
        </is>
      </c>
      <c r="AL42" s="610"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M42" s="610" t="inlineStr">
        <is>
          <t>Compliance order; Monetary penalties</t>
        </is>
      </c>
      <c r="AN42" s="610" t="inlineStr">
        <is>
          <t>For production, import or sale of fan products not conforming to the mandatory energy efficiency standard, market regulatory authorities shall order cessation of production, import and sale, confiscate illegal gains and impose fines.</t>
        </is>
      </c>
      <c r="AO42" s="610" t="inlineStr">
        <is>
          <t>The state encourages production and use of Grade 1 and Grade 2 high-efficiency fans; promotes the market uptake of high-efficiency fans through energy-saving product certification.</t>
        </is>
      </c>
      <c r="AP42" s="610" t="inlineStr">
        <is>
          <t>The state encourages production and use of Grade 1 and Grade 2 high-efficiency fans; promotes the market uptake of high-efficiency fans through energy-saving product certification.</t>
        </is>
      </c>
      <c r="AQ42" s="610" t="inlineStr">
        <is>
          <t>N/A</t>
        </is>
      </c>
      <c r="AR42" s="610" t="inlineStr">
        <is>
          <t>N/A</t>
        </is>
      </c>
      <c r="AS42" s="610" t="inlineStr">
        <is>
          <t>C28</t>
        </is>
      </c>
      <c r="AT42" s="610" t="inlineStr">
        <is>
          <t>CO2</t>
        </is>
      </c>
      <c r="AU42" s="610" t="inlineStr">
        <is>
          <t>Positive</t>
        </is>
      </c>
      <c r="AV42" s="610" t="inlineStr">
        <is>
          <t>Energy conservation; Industrial development</t>
        </is>
      </c>
      <c r="AW42" s="610" t="inlineStr">
        <is>
          <t>GB 19761-2020 Minimum Allowable Values of Energy Efficiency and Energy Efficiency Grades for Fans</t>
        </is>
      </c>
      <c r="AX42" s="610" t="inlineStr">
        <is>
          <t>https://openstd.samr.gov.cn/bzgk/std/newGbInfo?hcno=5C781533AE5B55C239B50AE737E1B9A6</t>
        </is>
      </c>
      <c r="AY42" s="610" t="inlineStr">
        <is>
          <t>N/A</t>
        </is>
      </c>
      <c r="AZ42" s="610" t="inlineStr"/>
    </row>
    <row r="43">
      <c r="A43" s="610" t="inlineStr">
        <is>
          <t>CHNPRFMEAI10S000</t>
        </is>
      </c>
      <c r="B43" s="610" t="inlineStr">
        <is>
          <t>Instrument</t>
        </is>
      </c>
      <c r="C43" s="610" t="inlineStr">
        <is>
          <t>Performance standard</t>
        </is>
      </c>
      <c r="D43" s="610" t="inlineStr">
        <is>
          <t>Minimum Energy Performance Standards (MEPS) for electric appliances</t>
        </is>
      </c>
      <c r="E43" s="610" t="inlineStr">
        <is>
          <t>Industry</t>
        </is>
      </c>
      <c r="F43" s="610" t="inlineStr">
        <is>
          <t>Industrial compressors; General machinery</t>
        </is>
      </c>
      <c r="G43" s="610" t="inlineStr">
        <is>
          <t>容积式空气压缩机能效限定值及能效等级</t>
        </is>
      </c>
      <c r="H43" s="610" t="inlineStr">
        <is>
          <t>Minimum Allowable Values of Energy Efficiency and Energy Efficiency Grades for Displacement Air Compressors</t>
        </is>
      </c>
      <c r="I43" s="610" t="inlineStr">
        <is>
          <t>N/A</t>
        </is>
      </c>
      <c r="J43" s="610"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610" t="inlineStr">
        <is>
          <t>Energy efficiency</t>
        </is>
      </c>
      <c r="L43" s="610" t="inlineStr">
        <is>
          <t>Direct</t>
        </is>
      </c>
      <c r="M43" s="610" t="inlineStr">
        <is>
          <t>national</t>
        </is>
      </c>
      <c r="N43" s="610" t="inlineStr">
        <is>
          <t>N/A</t>
        </is>
      </c>
      <c r="O43" s="610" t="inlineStr">
        <is>
          <t>31/12/2019</t>
        </is>
      </c>
      <c r="P43" s="610" t="inlineStr">
        <is>
          <t>01/07/2020</t>
        </is>
      </c>
      <c r="Q43" s="610" t="inlineStr">
        <is>
          <t>N/A</t>
        </is>
      </c>
      <c r="R43" s="610" t="inlineStr">
        <is>
          <t>N/A</t>
        </is>
      </c>
      <c r="S43" s="610" t="inlineStr">
        <is>
          <t>N/A</t>
        </is>
      </c>
      <c r="T43" s="610">
        <f>IF(P43="","In force",IF(P43="N/A","In force",IF(TODAY()&lt;DATE(VALUE(RIGHT(P43,4)),VALUE(MID(P43,4,2)),VALUE(LEFT(P43,2))),"Scheduled",IF(Q43="","In force",IF(Q43="N/A","In force",IF(TODAY()&lt;DATE(VALUE(RIGHT(Q43,4)),VALUE(MID(Q43,4,2)),VALUE(LEFT(Q43,2))),"In force","Ended"))))))</f>
        <v/>
      </c>
      <c r="U43" s="610" t="inlineStr">
        <is>
          <t>State Administration for Market Regulation; Standardization Administration of China</t>
        </is>
      </c>
      <c r="V43" s="610" t="inlineStr">
        <is>
          <t>Displacement air compressors</t>
        </is>
      </c>
      <c r="W43" s="610" t="inlineStr">
        <is>
          <t>new</t>
        </is>
      </c>
      <c r="X43" s="610"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Y43" s="610" t="inlineStr">
        <is>
          <t>N/A</t>
        </is>
      </c>
      <c r="Z43" s="610" t="inlineStr">
        <is>
          <t>N/A</t>
        </is>
      </c>
      <c r="AA43" s="610" t="inlineStr">
        <is>
          <t>Firms</t>
        </is>
      </c>
      <c r="AB43" s="610" t="inlineStr">
        <is>
          <t>Manufacturers and importers producing, importing or selling displacement air compressor products within China.</t>
        </is>
      </c>
      <c r="AC43" s="610" t="inlineStr">
        <is>
          <t>Production; Sale; Import</t>
        </is>
      </c>
      <c r="AD43" s="610" t="inlineStr">
        <is>
          <t>Production, import and sale of displacement air compressor products. Products must meet the standard's minimum allowable energy efficiency values before they can enter the market.</t>
        </is>
      </c>
      <c r="AE43" s="610" t="inlineStr">
        <is>
          <t>Grade 3</t>
        </is>
      </c>
      <c r="AF43" s="610" t="inlineStr">
        <is>
          <t>Energy efficiency grade</t>
        </is>
      </c>
      <c r="AG43" s="610"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H43" s="610"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3" s="610" t="inlineStr">
        <is>
          <t>N/A</t>
        </is>
      </c>
      <c r="AJ43" s="610" t="inlineStr">
        <is>
          <t>N/A</t>
        </is>
      </c>
      <c r="AK43" s="610" t="inlineStr">
        <is>
          <t>Inspections or audits conducted by government authorities or third parties</t>
        </is>
      </c>
      <c r="AL43" s="610"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M43" s="610" t="inlineStr">
        <is>
          <t>Compliance order; Monetary penalties</t>
        </is>
      </c>
      <c r="AN43" s="610" t="inlineStr">
        <is>
          <t>For production, import or sale of air compressor products not conforming to the mandatory energy efficiency standard, market regulatory authorities shall order cessation of production, import and sale, confiscate illegal gains and impose fines.</t>
        </is>
      </c>
      <c r="AO43" s="610" t="inlineStr">
        <is>
          <t>The state encourages production and use of Grade 1 and Grade 2 high-efficiency air compressors; promotes market uptake through energy-saving product certification and government green procurement.</t>
        </is>
      </c>
      <c r="AP43" s="610" t="inlineStr">
        <is>
          <t>The state encourages production and use of Grade 1 and Grade 2 high-efficiency air compressors; promotes market uptake through energy-saving product certification and government green procurement.</t>
        </is>
      </c>
      <c r="AQ43" s="610" t="inlineStr">
        <is>
          <t>N/A</t>
        </is>
      </c>
      <c r="AR43" s="610" t="inlineStr">
        <is>
          <t>N/A</t>
        </is>
      </c>
      <c r="AS43" s="610" t="inlineStr">
        <is>
          <t>C28</t>
        </is>
      </c>
      <c r="AT43" s="610" t="inlineStr">
        <is>
          <t>CO2</t>
        </is>
      </c>
      <c r="AU43" s="610" t="inlineStr">
        <is>
          <t>Positive</t>
        </is>
      </c>
      <c r="AV43" s="610" t="inlineStr">
        <is>
          <t>Energy conservation; Industrial development</t>
        </is>
      </c>
      <c r="AW43" s="610" t="inlineStr">
        <is>
          <t>GB 19153-2019 Minimum Allowable Values of Energy Efficiency and Energy Efficiency Grades for Displacement Air Compressors</t>
        </is>
      </c>
      <c r="AX43" s="610" t="inlineStr">
        <is>
          <t>https://openstd.samr.gov.cn/bzgk/std/newGbInfo?hcno=B4CBDEB1530F5C89F3D78E6CB7921FED</t>
        </is>
      </c>
      <c r="AY43" s="610" t="inlineStr">
        <is>
          <t>N/A</t>
        </is>
      </c>
      <c r="AZ43" s="610" t="inlineStr"/>
    </row>
    <row r="44">
      <c r="A44" s="610" t="inlineStr">
        <is>
          <t>CHNPRFMEAI11S000</t>
        </is>
      </c>
      <c r="B44" s="610" t="inlineStr">
        <is>
          <t>Instrument</t>
        </is>
      </c>
      <c r="C44" s="610" t="inlineStr">
        <is>
          <t>Performance standard</t>
        </is>
      </c>
      <c r="D44" s="610" t="inlineStr">
        <is>
          <t>Minimum Energy Performance Standards (MEPS) for electric appliances</t>
        </is>
      </c>
      <c r="E44" s="610" t="inlineStr">
        <is>
          <t>Industry</t>
        </is>
      </c>
      <c r="F44" s="610" t="inlineStr">
        <is>
          <t>Industrial welding equipment</t>
        </is>
      </c>
      <c r="G44" s="610" t="inlineStr">
        <is>
          <t>电焊机能效限定值及能效等级</t>
        </is>
      </c>
      <c r="H44" s="610" t="inlineStr">
        <is>
          <t>Minimum Allowable Values of Energy Efficiency and Energy Efficiency Grades for Welding Machines</t>
        </is>
      </c>
      <c r="I44" s="610" t="inlineStr">
        <is>
          <t>N/A</t>
        </is>
      </c>
      <c r="J44" s="610"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610" t="inlineStr">
        <is>
          <t>Energy efficiency</t>
        </is>
      </c>
      <c r="L44" s="610" t="inlineStr">
        <is>
          <t>Direct</t>
        </is>
      </c>
      <c r="M44" s="610" t="inlineStr">
        <is>
          <t>national</t>
        </is>
      </c>
      <c r="N44" s="610" t="inlineStr">
        <is>
          <t>N/A</t>
        </is>
      </c>
      <c r="O44" s="610" t="inlineStr">
        <is>
          <t>31/12/2019</t>
        </is>
      </c>
      <c r="P44" s="610" t="inlineStr">
        <is>
          <t>01/07/2020</t>
        </is>
      </c>
      <c r="Q44" s="610" t="inlineStr">
        <is>
          <t>N/A</t>
        </is>
      </c>
      <c r="R44" s="610" t="inlineStr">
        <is>
          <t>N/A</t>
        </is>
      </c>
      <c r="S44" s="610" t="inlineStr">
        <is>
          <t>N/A</t>
        </is>
      </c>
      <c r="T44" s="610">
        <f>IF(P44="","In force",IF(P44="N/A","In force",IF(TODAY()&lt;DATE(VALUE(RIGHT(P44,4)),VALUE(MID(P44,4,2)),VALUE(LEFT(P44,2))),"Scheduled",IF(Q44="","In force",IF(Q44="N/A","In force",IF(TODAY()&lt;DATE(VALUE(RIGHT(Q44,4)),VALUE(MID(Q44,4,2)),VALUE(LEFT(Q44,2))),"In force","Ended"))))))</f>
        <v/>
      </c>
      <c r="U44" s="610" t="inlineStr">
        <is>
          <t>State Administration for Market Regulation; Standardization Administration of China</t>
        </is>
      </c>
      <c r="V44" s="610" t="inlineStr">
        <is>
          <t>Welding machines</t>
        </is>
      </c>
      <c r="W44" s="610" t="inlineStr">
        <is>
          <t>new</t>
        </is>
      </c>
      <c r="X44" s="610"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Y44" s="610" t="inlineStr">
        <is>
          <t>N/A</t>
        </is>
      </c>
      <c r="Z44" s="610" t="inlineStr">
        <is>
          <t>N/A</t>
        </is>
      </c>
      <c r="AA44" s="610" t="inlineStr">
        <is>
          <t>Firms</t>
        </is>
      </c>
      <c r="AB44" s="610" t="inlineStr">
        <is>
          <t>Manufacturers and importers producing, importing or selling welding machine products within China.</t>
        </is>
      </c>
      <c r="AC44" s="610" t="inlineStr">
        <is>
          <t>Production; Sale; Import</t>
        </is>
      </c>
      <c r="AD44" s="610" t="inlineStr">
        <is>
          <t>Production, import and sale of welding machine products. Products must meet the standard's minimum allowable energy efficiency values before they can enter the market.</t>
        </is>
      </c>
      <c r="AE44" s="610" t="inlineStr">
        <is>
          <t>Grade 3</t>
        </is>
      </c>
      <c r="AF44" s="610" t="inlineStr">
        <is>
          <t>Energy efficiency grade</t>
        </is>
      </c>
      <c r="AG44" s="610"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H44" s="610"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4" s="610" t="inlineStr">
        <is>
          <t>N/A</t>
        </is>
      </c>
      <c r="AJ44" s="610" t="inlineStr">
        <is>
          <t>N/A</t>
        </is>
      </c>
      <c r="AK44" s="610" t="inlineStr">
        <is>
          <t>Inspections or audits conducted by government authorities or third parties</t>
        </is>
      </c>
      <c r="AL44" s="610"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M44" s="610" t="inlineStr">
        <is>
          <t>Compliance order; Monetary penalties</t>
        </is>
      </c>
      <c r="AN44" s="610" t="inlineStr">
        <is>
          <t>For production, import or sale of welding machine products not conforming to the mandatory energy efficiency standard, market regulatory authorities shall order cessation of production, import and sale, confiscate illegal gains and impose fines.</t>
        </is>
      </c>
      <c r="AO44" s="610" t="inlineStr">
        <is>
          <t>The state encourages production and use of Grade 1 and Grade 2 high-efficiency welding machines; promotes the market uptake of high-efficiency welding equipment through energy-saving product certification.</t>
        </is>
      </c>
      <c r="AP44" s="610" t="inlineStr">
        <is>
          <t>The state encourages production and use of Grade 1 and Grade 2 high-efficiency welding machines; promotes the market uptake of high-efficiency welding equipment through energy-saving product certification.</t>
        </is>
      </c>
      <c r="AQ44" s="610" t="inlineStr">
        <is>
          <t>N/A</t>
        </is>
      </c>
      <c r="AR44" s="610" t="inlineStr">
        <is>
          <t>N/A</t>
        </is>
      </c>
      <c r="AS44" s="610" t="inlineStr">
        <is>
          <t>C28</t>
        </is>
      </c>
      <c r="AT44" s="610" t="inlineStr">
        <is>
          <t>CO2</t>
        </is>
      </c>
      <c r="AU44" s="610" t="inlineStr">
        <is>
          <t>Positive</t>
        </is>
      </c>
      <c r="AV44" s="610" t="inlineStr">
        <is>
          <t>Energy conservation; Industrial development</t>
        </is>
      </c>
      <c r="AW44" s="610" t="inlineStr">
        <is>
          <t>GB 28736-2019 Minimum Allowable Values of Energy Efficiency and Energy Efficiency Grades for Welding Machines</t>
        </is>
      </c>
      <c r="AX44" s="610" t="inlineStr">
        <is>
          <t>https://openstd.samr.gov.cn/bzgk/std/newGbInfo?hcno=281E572A00FA151D3AFBAF48CBDBDDBE</t>
        </is>
      </c>
      <c r="AY44" s="610" t="inlineStr">
        <is>
          <t>N/A</t>
        </is>
      </c>
      <c r="AZ44" s="610" t="inlineStr"/>
    </row>
    <row r="45">
      <c r="A45" s="610" t="inlineStr">
        <is>
          <t>CHNPRFMEAI12S000</t>
        </is>
      </c>
      <c r="B45" s="610" t="inlineStr">
        <is>
          <t>Instrument</t>
        </is>
      </c>
      <c r="C45" s="610" t="inlineStr">
        <is>
          <t>Performance standard</t>
        </is>
      </c>
      <c r="D45" s="610" t="inlineStr">
        <is>
          <t>Minimum Energy Performance Standards (MEPS) for electric appliances</t>
        </is>
      </c>
      <c r="E45" s="610" t="inlineStr">
        <is>
          <t>Buildings</t>
        </is>
      </c>
      <c r="F45" s="610" t="inlineStr">
        <is>
          <t>Bathroom appliances</t>
        </is>
      </c>
      <c r="G45" s="610" t="inlineStr">
        <is>
          <t>智能坐便器能效水效限定值及等级</t>
        </is>
      </c>
      <c r="H45" s="610" t="inlineStr">
        <is>
          <t>Minimum Allowable Values and Grades of the Energy Efficiency and Water Efficiency for Smart Toilets</t>
        </is>
      </c>
      <c r="I45" s="610" t="inlineStr">
        <is>
          <t>N/A</t>
        </is>
      </c>
      <c r="J45" s="610"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610" t="inlineStr">
        <is>
          <t>Energy efficiency</t>
        </is>
      </c>
      <c r="L45" s="610" t="inlineStr">
        <is>
          <t>Direct</t>
        </is>
      </c>
      <c r="M45" s="610" t="inlineStr">
        <is>
          <t>national</t>
        </is>
      </c>
      <c r="N45" s="610" t="inlineStr">
        <is>
          <t>N/A</t>
        </is>
      </c>
      <c r="O45" s="610" t="inlineStr">
        <is>
          <t>01/11/2019</t>
        </is>
      </c>
      <c r="P45" s="610" t="inlineStr">
        <is>
          <t>01/07/2020</t>
        </is>
      </c>
      <c r="Q45" s="610" t="inlineStr">
        <is>
          <t>N/A</t>
        </is>
      </c>
      <c r="R45" s="610" t="inlineStr">
        <is>
          <t>01/08/2025</t>
        </is>
      </c>
      <c r="S45" s="610"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T45" s="610">
        <f>IF(P45="","In force",IF(P45="N/A","In force",IF(TODAY()&lt;DATE(VALUE(RIGHT(P45,4)),VALUE(MID(P45,4,2)),VALUE(LEFT(P45,2))),"Scheduled",IF(Q45="","In force",IF(Q45="N/A","In force",IF(TODAY()&lt;DATE(VALUE(RIGHT(Q45,4)),VALUE(MID(Q45,4,2)),VALUE(LEFT(Q45,2))),"In force","Ended"))))))</f>
        <v/>
      </c>
      <c r="U45" s="610" t="inlineStr">
        <is>
          <t>State Administration for Market Regulation; Standardization Administration of China</t>
        </is>
      </c>
      <c r="V45" s="610" t="inlineStr">
        <is>
          <t>Smart toilets</t>
        </is>
      </c>
      <c r="W45" s="610" t="inlineStr">
        <is>
          <t>new</t>
        </is>
      </c>
      <c r="X45" s="610" t="inlineStr">
        <is>
          <t>Smart toilets (including standard and simplified types), covering products with or without warm-water cleaning functions. Includes seat heating, warm-water cleaning, warm-air drying and other functions.</t>
        </is>
      </c>
      <c r="Y45" s="610" t="inlineStr">
        <is>
          <t>N/A</t>
        </is>
      </c>
      <c r="Z45" s="610" t="inlineStr">
        <is>
          <t>N/A</t>
        </is>
      </c>
      <c r="AA45" s="610" t="inlineStr">
        <is>
          <t>Firms</t>
        </is>
      </c>
      <c r="AB45" s="610" t="inlineStr">
        <is>
          <t>Manufacturers and importers producing, importing or selling smart toilet products within China.</t>
        </is>
      </c>
      <c r="AC45" s="610" t="inlineStr">
        <is>
          <t>Production; Sale; Import</t>
        </is>
      </c>
      <c r="AD45" s="610" t="inlineStr">
        <is>
          <t>Production, import and sale of smart toilet products. Products must meet the standard's minimum allowable energy and water efficiency values before they can enter the market.</t>
        </is>
      </c>
      <c r="AE45" s="610" t="inlineStr">
        <is>
          <t>Grade 3</t>
        </is>
      </c>
      <c r="AF45" s="610" t="inlineStr">
        <is>
          <t>Energy efficiency and water efficiency grade</t>
        </is>
      </c>
      <c r="AG45" s="610"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H45" s="610"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I45" s="610" t="inlineStr">
        <is>
          <t>N/A</t>
        </is>
      </c>
      <c r="AJ45" s="610" t="inlineStr">
        <is>
          <t>N/A</t>
        </is>
      </c>
      <c r="AK45" s="610" t="inlineStr">
        <is>
          <t>Inspections or audits conducted by government authorities or third parties</t>
        </is>
      </c>
      <c r="AL45" s="610"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M45" s="610" t="inlineStr">
        <is>
          <t>Compliance order; Monetary penalties</t>
        </is>
      </c>
      <c r="AN45" s="610" t="inlineStr">
        <is>
          <t>For production, import or sale of smart toilet products not conforming to the mandatory energy and water efficiency standard, market regulatory authorities shall order cessation of production, import and sale, confiscate illegal gains and impose fines.</t>
        </is>
      </c>
      <c r="AO45" s="610" t="inlineStr">
        <is>
          <t>The state encourages production and use of Grade 1 and Grade 2 high-efficiency water-saving smart toilets; promotes market uptake through energy-saving and water-saving product certification.</t>
        </is>
      </c>
      <c r="AP45" s="610" t="inlineStr">
        <is>
          <t>The state encourages production and use of Grade 1 and Grade 2 high-efficiency water-saving smart toilets; promotes market uptake through energy-saving and water-saving product certification.</t>
        </is>
      </c>
      <c r="AQ45" s="610" t="inlineStr">
        <is>
          <t>N/A</t>
        </is>
      </c>
      <c r="AR45" s="610" t="inlineStr">
        <is>
          <t>N/A</t>
        </is>
      </c>
      <c r="AS45" s="610" t="inlineStr">
        <is>
          <t>C27</t>
        </is>
      </c>
      <c r="AT45" s="610" t="inlineStr">
        <is>
          <t>CO2</t>
        </is>
      </c>
      <c r="AU45" s="610" t="inlineStr">
        <is>
          <t>Positive</t>
        </is>
      </c>
      <c r="AV45" s="610" t="inlineStr">
        <is>
          <t>Energy conservation; Industrial development</t>
        </is>
      </c>
      <c r="AW45" s="610" t="inlineStr">
        <is>
          <t>GB 38448-2025 Minimum Allowable Values and Grades of the Energy Efficiency and Water Efficiency for Smart Toilets</t>
        </is>
      </c>
      <c r="AX45" s="610" t="inlineStr">
        <is>
          <t>https://openstd.samr.gov.cn/bzgk/std/newGbInfo?hcno=C480041B00069A4461473136914D4057</t>
        </is>
      </c>
      <c r="AY45" s="610" t="inlineStr">
        <is>
          <t>GB 38448-2019 (superseded): https://openstd.samr.gov.cn/bzgk/std/newGbInfo?hcno=4BAB9989893EBAAEB653BD2908A21B0D</t>
        </is>
      </c>
      <c r="AZ45" s="610" t="inlineStr"/>
    </row>
    <row r="46">
      <c r="A46" s="610" t="inlineStr">
        <is>
          <t>CHNPRFMEAI13S000</t>
        </is>
      </c>
      <c r="B46" s="610" t="inlineStr">
        <is>
          <t>Instrument</t>
        </is>
      </c>
      <c r="C46" s="610" t="inlineStr">
        <is>
          <t>Performance standard</t>
        </is>
      </c>
      <c r="D46" s="610" t="inlineStr">
        <is>
          <t>Minimum Energy Performance Standards (MEPS) for electric appliances</t>
        </is>
      </c>
      <c r="E46" s="610" t="inlineStr">
        <is>
          <t>Buildings</t>
        </is>
      </c>
      <c r="F46" s="610" t="inlineStr">
        <is>
          <t>Household appliances</t>
        </is>
      </c>
      <c r="G46" s="610" t="inlineStr">
        <is>
          <t>洗碗机能效水效限定值及等级</t>
        </is>
      </c>
      <c r="H46" s="610" t="inlineStr">
        <is>
          <t>Minimum Allowable Values and Grades of the Energy Efficiency and Water Efficiency for Dishwashers</t>
        </is>
      </c>
      <c r="I46" s="610" t="inlineStr">
        <is>
          <t>N/A</t>
        </is>
      </c>
      <c r="J46" s="610"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610" t="inlineStr">
        <is>
          <t>Energy efficiency</t>
        </is>
      </c>
      <c r="L46" s="610" t="inlineStr">
        <is>
          <t>Direct</t>
        </is>
      </c>
      <c r="M46" s="610" t="inlineStr">
        <is>
          <t>national</t>
        </is>
      </c>
      <c r="N46" s="610" t="inlineStr">
        <is>
          <t>N/A</t>
        </is>
      </c>
      <c r="O46" s="610" t="inlineStr">
        <is>
          <t>17/12/2019</t>
        </is>
      </c>
      <c r="P46" s="610" t="inlineStr">
        <is>
          <t>01/01/2021</t>
        </is>
      </c>
      <c r="Q46" s="610" t="inlineStr">
        <is>
          <t>N/A</t>
        </is>
      </c>
      <c r="R46" s="610" t="inlineStr">
        <is>
          <t>01/08/2025</t>
        </is>
      </c>
      <c r="S46" s="610" t="inlineStr">
        <is>
          <t>On 1 August 2025, GB 38383-2025 was published, replacing GB 38383-2019, adding a noise indicator, reducing Grade 1 energy consumption by approximately 36% and Grade 1 water consumption by approximately 20%, and benchmarking against advanced EU levels.</t>
        </is>
      </c>
      <c r="T46" s="610">
        <f>IF(P46="","In force",IF(P46="N/A","In force",IF(TODAY()&lt;DATE(VALUE(RIGHT(P46,4)),VALUE(MID(P46,4,2)),VALUE(LEFT(P46,2))),"Scheduled",IF(Q46="","In force",IF(Q46="N/A","In force",IF(TODAY()&lt;DATE(VALUE(RIGHT(Q46,4)),VALUE(MID(Q46,4,2)),VALUE(LEFT(Q46,2))),"In force","Ended"))))))</f>
        <v/>
      </c>
      <c r="U46" s="610" t="inlineStr">
        <is>
          <t>State Administration for Market Regulation; Standardization Administration of China</t>
        </is>
      </c>
      <c r="V46" s="610" t="inlineStr">
        <is>
          <t>Dishwashers</t>
        </is>
      </c>
      <c r="W46" s="610" t="inlineStr">
        <is>
          <t>new</t>
        </is>
      </c>
      <c r="X46" s="610" t="inlineStr">
        <is>
          <t>Household and similar electric dishwashers using hot and/or cold water, including built-in, free-standing and table-top installation types, with drying and sanitising functions. Excludes commercial dishwashers.</t>
        </is>
      </c>
      <c r="Y46" s="610" t="inlineStr">
        <is>
          <t>N/A</t>
        </is>
      </c>
      <c r="Z46" s="610" t="inlineStr">
        <is>
          <t>N/A</t>
        </is>
      </c>
      <c r="AA46" s="610" t="inlineStr">
        <is>
          <t>Firms</t>
        </is>
      </c>
      <c r="AB46" s="610" t="inlineStr">
        <is>
          <t>Manufacturers and importers producing, importing or selling dishwasher products within China.</t>
        </is>
      </c>
      <c r="AC46" s="610" t="inlineStr">
        <is>
          <t>Production; Sale; Import</t>
        </is>
      </c>
      <c r="AD46" s="610" t="inlineStr">
        <is>
          <t>Production, import and sale of dishwasher products. Products must meet the standard's minimum allowable energy and water efficiency values before they can enter the market.</t>
        </is>
      </c>
      <c r="AE46" s="610" t="inlineStr">
        <is>
          <t>Grade 3</t>
        </is>
      </c>
      <c r="AF46" s="610" t="inlineStr">
        <is>
          <t>Energy efficiency and water efficiency grade</t>
        </is>
      </c>
      <c r="AG46" s="610"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H46" s="610"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I46" s="610" t="inlineStr">
        <is>
          <t>N/A</t>
        </is>
      </c>
      <c r="AJ46" s="610" t="inlineStr">
        <is>
          <t>N/A</t>
        </is>
      </c>
      <c r="AK46" s="610" t="inlineStr">
        <is>
          <t>Inspections or audits conducted by government authorities or third parties</t>
        </is>
      </c>
      <c r="AL46" s="610"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M46" s="610" t="inlineStr">
        <is>
          <t>Compliance order; Monetary penalties</t>
        </is>
      </c>
      <c r="AN46" s="610" t="inlineStr">
        <is>
          <t>For production, import or sale of dishwasher products not conforming to the mandatory energy and water efficiency standard, market regulatory authorities shall order cessation of production, import and sale, confiscate illegal gains and impose fines.</t>
        </is>
      </c>
      <c r="AO46" s="610" t="inlineStr">
        <is>
          <t>The state encourages production and use of Grade 1 and Grade 2 high-efficiency water-saving dishwashers; promotes market uptake through energy-saving and water-saving product certification.</t>
        </is>
      </c>
      <c r="AP46" s="610" t="inlineStr">
        <is>
          <t>The state encourages production and use of Grade 1 and Grade 2 high-efficiency water-saving dishwashers; promotes market uptake through energy-saving and water-saving product certification.</t>
        </is>
      </c>
      <c r="AQ46" s="610" t="inlineStr">
        <is>
          <t>N/A</t>
        </is>
      </c>
      <c r="AR46" s="610" t="inlineStr">
        <is>
          <t>N/A</t>
        </is>
      </c>
      <c r="AS46" s="610" t="inlineStr">
        <is>
          <t>C27</t>
        </is>
      </c>
      <c r="AT46" s="610" t="inlineStr">
        <is>
          <t>CO2</t>
        </is>
      </c>
      <c r="AU46" s="610" t="inlineStr">
        <is>
          <t>Positive</t>
        </is>
      </c>
      <c r="AV46" s="610" t="inlineStr">
        <is>
          <t>Energy conservation; Industrial development</t>
        </is>
      </c>
      <c r="AW46" s="610" t="inlineStr">
        <is>
          <t>GB 38383-2025 Minimum Allowable Values and Grades of the Energy Efficiency and Water Efficiency for Dishwashers</t>
        </is>
      </c>
      <c r="AX46" s="610" t="inlineStr">
        <is>
          <t>https://openstd.samr.gov.cn/bzgk/std/newGbInfo?hcno=07F29FB5DBEDB7C37FBE5AA2F9D31ED0</t>
        </is>
      </c>
      <c r="AY46" s="610" t="inlineStr">
        <is>
          <t>GB 38383-2019 (superseded): https://openstd.samr.gov.cn/bzgk/std/newGbInfo?hcno=3270E61B15F6ED5C5AA3FFA0699612D8</t>
        </is>
      </c>
      <c r="AZ46" s="610" t="inlineStr"/>
    </row>
    <row r="47">
      <c r="A47" s="610" t="inlineStr">
        <is>
          <t>CHNPRFMEAI14S000</t>
        </is>
      </c>
      <c r="B47" s="610" t="inlineStr">
        <is>
          <t>Instrument</t>
        </is>
      </c>
      <c r="C47" s="610" t="inlineStr">
        <is>
          <t>Performance standard</t>
        </is>
      </c>
      <c r="D47" s="610" t="inlineStr">
        <is>
          <t>Minimum Energy Performance Standards (MEPS) for electric appliances</t>
        </is>
      </c>
      <c r="E47" s="610" t="inlineStr">
        <is>
          <t>Buildings</t>
        </is>
      </c>
      <c r="F47" s="610" t="inlineStr">
        <is>
          <t>Household appliances</t>
        </is>
      </c>
      <c r="G47" s="610" t="inlineStr">
        <is>
          <t>家用电冰箱耗电量限定值及能效等级</t>
        </is>
      </c>
      <c r="H47" s="610" t="inlineStr">
        <is>
          <t>Minimum Allowable Values of Energy Consumption and Energy Efficiency Grades for Household Refrigerators</t>
        </is>
      </c>
      <c r="I47" s="610" t="inlineStr">
        <is>
          <t>N/A</t>
        </is>
      </c>
      <c r="J47" s="610"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610" t="inlineStr">
        <is>
          <t>Energy efficiency</t>
        </is>
      </c>
      <c r="L47" s="610" t="inlineStr">
        <is>
          <t>Direct</t>
        </is>
      </c>
      <c r="M47" s="610" t="inlineStr">
        <is>
          <t>national</t>
        </is>
      </c>
      <c r="N47" s="610" t="inlineStr">
        <is>
          <t>N/A</t>
        </is>
      </c>
      <c r="O47" s="610" t="inlineStr">
        <is>
          <t>01/10/2016</t>
        </is>
      </c>
      <c r="P47" s="610" t="inlineStr">
        <is>
          <t>01/10/2016</t>
        </is>
      </c>
      <c r="Q47" s="610" t="inlineStr">
        <is>
          <t>N/A</t>
        </is>
      </c>
      <c r="R47" s="610" t="inlineStr">
        <is>
          <t>30/05/2025</t>
        </is>
      </c>
      <c r="S47" s="610"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T47" s="610">
        <f>IF(P47="","In force",IF(P47="N/A","In force",IF(TODAY()&lt;DATE(VALUE(RIGHT(P47,4)),VALUE(MID(P47,4,2)),VALUE(LEFT(P47,2))),"Scheduled",IF(Q47="","In force",IF(Q47="N/A","In force",IF(TODAY()&lt;DATE(VALUE(RIGHT(Q47,4)),VALUE(MID(Q47,4,2)),VALUE(LEFT(Q47,2))),"In force","Ended"))))))</f>
        <v/>
      </c>
      <c r="U47" s="610" t="inlineStr">
        <is>
          <t>State Administration for Market Regulation; Standardization Administration of China</t>
        </is>
      </c>
      <c r="V47" s="610" t="inlineStr">
        <is>
          <t>Household refrigerators</t>
        </is>
      </c>
      <c r="W47" s="610" t="inlineStr">
        <is>
          <t>new</t>
        </is>
      </c>
      <c r="X47" s="610" t="inlineStr">
        <is>
          <t>Motor-driven compression-type household refrigerators (including refrigerated cabinets, freezers, refrigerator-freezer combinations, etc.), and semiconductor cooling appliances with volume ≤ 60 L.</t>
        </is>
      </c>
      <c r="Y47" s="610" t="inlineStr">
        <is>
          <t>N/A</t>
        </is>
      </c>
      <c r="Z47" s="610" t="inlineStr">
        <is>
          <t>N/A</t>
        </is>
      </c>
      <c r="AA47" s="610" t="inlineStr">
        <is>
          <t>Firms</t>
        </is>
      </c>
      <c r="AB47" s="610" t="inlineStr">
        <is>
          <t>Manufacturers and importers producing, importing or selling household refrigerator products within China.</t>
        </is>
      </c>
      <c r="AC47" s="610" t="inlineStr">
        <is>
          <t>Production; Sale; Import</t>
        </is>
      </c>
      <c r="AD47" s="610" t="inlineStr">
        <is>
          <t>Production, import and sale of household refrigerator products. Products must meet the standard's minimum allowable energy consumption values before they can enter the market.</t>
        </is>
      </c>
      <c r="AE47" s="610" t="inlineStr">
        <is>
          <t>Grade 5</t>
        </is>
      </c>
      <c r="AF47" s="610" t="inlineStr">
        <is>
          <t>Energy efficiency grade</t>
        </is>
      </c>
      <c r="AG47" s="610"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H47" s="610"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I47" s="610" t="inlineStr">
        <is>
          <t>N/A</t>
        </is>
      </c>
      <c r="AJ47" s="610" t="inlineStr">
        <is>
          <t>N/A</t>
        </is>
      </c>
      <c r="AK47" s="610" t="inlineStr">
        <is>
          <t>Inspections or audits conducted by government authorities or third parties</t>
        </is>
      </c>
      <c r="AL47" s="610"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M47" s="610" t="inlineStr">
        <is>
          <t>Compliance order; Monetary penalties</t>
        </is>
      </c>
      <c r="AN47" s="610" t="inlineStr">
        <is>
          <t>For production, import or sale of refrigerator products not conforming to the mandatory energy efficiency standard, market regulatory authorities shall order cessation of production, import and sale, confiscate illegal gains and impose fines.</t>
        </is>
      </c>
      <c r="AO47" s="610" t="inlineStr">
        <is>
          <t>The state encourages production and use of Grade 1 and Grade 2 high-efficiency refrigerators; promotes market uptake through energy-saving product certification and government green procurement.</t>
        </is>
      </c>
      <c r="AP47" s="610" t="inlineStr">
        <is>
          <t>The state encourages production and use of Grade 1 and Grade 2 high-efficiency refrigerators; promotes market uptake through energy-saving product certification and government green procurement.</t>
        </is>
      </c>
      <c r="AQ47" s="610" t="inlineStr">
        <is>
          <t>N/A</t>
        </is>
      </c>
      <c r="AR47" s="610" t="inlineStr">
        <is>
          <t>N/A</t>
        </is>
      </c>
      <c r="AS47" s="610" t="inlineStr">
        <is>
          <t>C27</t>
        </is>
      </c>
      <c r="AT47" s="610" t="inlineStr">
        <is>
          <t>CO2</t>
        </is>
      </c>
      <c r="AU47" s="610" t="inlineStr">
        <is>
          <t>Positive</t>
        </is>
      </c>
      <c r="AV47" s="610" t="inlineStr">
        <is>
          <t>Energy conservation; Industrial development</t>
        </is>
      </c>
      <c r="AW47" s="610" t="inlineStr">
        <is>
          <t>GB 12021.2-2025 Minimum Allowable Values of Energy Consumption and Energy Efficiency Grades for Household Refrigerators</t>
        </is>
      </c>
      <c r="AX47" s="610" t="inlineStr">
        <is>
          <t>https://openstd.samr.gov.cn/bzgk/std/newGbInfo?hcno=9BC022A3FF2B7F7D733C3962C986DF7A</t>
        </is>
      </c>
      <c r="AY47" s="610" t="inlineStr">
        <is>
          <t>GB 12021.2-2015 (superseded): https://openstd.samr.gov.cn/bzgk/std/newGbInfo?hcno=30AE6715210F7A087F2B5CA7C46BDDFA</t>
        </is>
      </c>
      <c r="AZ47" s="610" t="inlineStr"/>
    </row>
    <row r="48">
      <c r="A48" s="610" t="inlineStr">
        <is>
          <t>CHNPRFMEAI15S000</t>
        </is>
      </c>
      <c r="B48" s="610" t="inlineStr">
        <is>
          <t>Instrument</t>
        </is>
      </c>
      <c r="C48" s="610" t="inlineStr">
        <is>
          <t>Performance standard</t>
        </is>
      </c>
      <c r="D48" s="610" t="inlineStr">
        <is>
          <t>Minimum Energy Performance Standards (MEPS) for electric appliances</t>
        </is>
      </c>
      <c r="E48" s="610" t="inlineStr">
        <is>
          <t>Buildings</t>
        </is>
      </c>
      <c r="F48" s="610" t="inlineStr">
        <is>
          <t>Electronic equipment; Information and communications technology</t>
        </is>
      </c>
      <c r="G48" s="610" t="inlineStr">
        <is>
          <t>微型计算机能效限定值及能效等级</t>
        </is>
      </c>
      <c r="H48" s="610" t="inlineStr">
        <is>
          <t>Minimum Allowable Values of Energy Efficiency and Energy Grades for Microcomputers</t>
        </is>
      </c>
      <c r="I48" s="610" t="inlineStr">
        <is>
          <t>N/A</t>
        </is>
      </c>
      <c r="J48" s="610"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610" t="inlineStr">
        <is>
          <t>Energy efficiency</t>
        </is>
      </c>
      <c r="L48" s="610" t="inlineStr">
        <is>
          <t>Direct</t>
        </is>
      </c>
      <c r="M48" s="610" t="inlineStr">
        <is>
          <t>national</t>
        </is>
      </c>
      <c r="N48" s="610" t="inlineStr">
        <is>
          <t>N/A</t>
        </is>
      </c>
      <c r="O48" s="610" t="inlineStr">
        <is>
          <t>01/07/2012</t>
        </is>
      </c>
      <c r="P48" s="610" t="inlineStr">
        <is>
          <t>01/02/2013</t>
        </is>
      </c>
      <c r="Q48" s="610" t="inlineStr">
        <is>
          <t>N/A</t>
        </is>
      </c>
      <c r="R48" s="610" t="inlineStr">
        <is>
          <t>24/01/2025</t>
        </is>
      </c>
      <c r="S48" s="610" t="inlineStr">
        <is>
          <t>On 24 January 2025, GB 28380-2025 was published, replacing GB 28380-2012, the first revision, changing the classification method and energy efficiency indicators, and updating the typical energy consumption calculation method.</t>
        </is>
      </c>
      <c r="T48" s="610">
        <f>IF(P48="","In force",IF(P48="N/A","In force",IF(TODAY()&lt;DATE(VALUE(RIGHT(P48,4)),VALUE(MID(P48,4,2)),VALUE(LEFT(P48,2))),"Scheduled",IF(Q48="","In force",IF(Q48="N/A","In force",IF(TODAY()&lt;DATE(VALUE(RIGHT(Q48,4)),VALUE(MID(Q48,4,2)),VALUE(LEFT(Q48,2))),"In force","Ended"))))))</f>
        <v/>
      </c>
      <c r="U48" s="610" t="inlineStr">
        <is>
          <t>State Administration for Market Regulation; Standardization Administration of China</t>
        </is>
      </c>
      <c r="V48" s="610" t="inlineStr">
        <is>
          <t>Microcomputers</t>
        </is>
      </c>
      <c r="W48" s="610" t="inlineStr">
        <is>
          <t>new</t>
        </is>
      </c>
      <c r="X48" s="610" t="inlineStr">
        <is>
          <t>General-purpose desktop microcomputers and portable microcomputers (notebooks). Excludes tablet computers, workstations, high-power power supplies (&gt; 500 W), and small-screen devices (&lt; 11.6 inches).</t>
        </is>
      </c>
      <c r="Y48" s="610" t="inlineStr">
        <is>
          <t>N/A</t>
        </is>
      </c>
      <c r="Z48" s="610" t="inlineStr">
        <is>
          <t>N/A</t>
        </is>
      </c>
      <c r="AA48" s="610" t="inlineStr">
        <is>
          <t>Firms</t>
        </is>
      </c>
      <c r="AB48" s="610" t="inlineStr">
        <is>
          <t>Manufacturers and importers producing, importing or selling microcomputer products within China.</t>
        </is>
      </c>
      <c r="AC48" s="610" t="inlineStr">
        <is>
          <t>Production; Sale; Import</t>
        </is>
      </c>
      <c r="AD48" s="610" t="inlineStr">
        <is>
          <t>Production, import and sale of microcomputer products. Products must meet the standard's minimum allowable energy efficiency values before they can enter the market.</t>
        </is>
      </c>
      <c r="AE48" s="610" t="inlineStr">
        <is>
          <t>Grade 3</t>
        </is>
      </c>
      <c r="AF48" s="610" t="inlineStr">
        <is>
          <t>Energy efficiency grade</t>
        </is>
      </c>
      <c r="AG48" s="610"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H48" s="610"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8" s="610" t="inlineStr">
        <is>
          <t>N/A</t>
        </is>
      </c>
      <c r="AJ48" s="610" t="inlineStr">
        <is>
          <t>N/A</t>
        </is>
      </c>
      <c r="AK48" s="610" t="inlineStr">
        <is>
          <t>Inspections or audits conducted by government authorities or third parties</t>
        </is>
      </c>
      <c r="AL48" s="610"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M48" s="610" t="inlineStr">
        <is>
          <t>Compliance order; Monetary penalties</t>
        </is>
      </c>
      <c r="AN48" s="610" t="inlineStr">
        <is>
          <t>For production, import or sale of microcomputer products not conforming to the mandatory energy efficiency standard, market regulatory authorities shall order cessation of production, import and sale, confiscate illegal gains and impose fines.</t>
        </is>
      </c>
      <c r="AO48" s="610" t="inlineStr">
        <is>
          <t>The state encourages production and use of Grade 1 and Grade 2 high-efficiency microcomputers; promotes the market uptake of high-efficiency IT equipment through energy-saving product certification and government green procurement.</t>
        </is>
      </c>
      <c r="AP48" s="610" t="inlineStr">
        <is>
          <t>The state encourages production and use of Grade 1 and Grade 2 high-efficiency microcomputers; promotes the market uptake of high-efficiency IT equipment through energy-saving product certification and government green procurement.</t>
        </is>
      </c>
      <c r="AQ48" s="610" t="inlineStr">
        <is>
          <t>N/A</t>
        </is>
      </c>
      <c r="AR48" s="610" t="inlineStr">
        <is>
          <t>N/A</t>
        </is>
      </c>
      <c r="AS48" s="610" t="inlineStr">
        <is>
          <t>C26</t>
        </is>
      </c>
      <c r="AT48" s="610" t="inlineStr">
        <is>
          <t>CO2</t>
        </is>
      </c>
      <c r="AU48" s="610" t="inlineStr">
        <is>
          <t>Positive</t>
        </is>
      </c>
      <c r="AV48" s="610" t="inlineStr">
        <is>
          <t>Energy conservation; Industrial development</t>
        </is>
      </c>
      <c r="AW48" s="610" t="inlineStr">
        <is>
          <t>GB 28380-2025 Minimum Allowable Values of Energy Efficiency and Energy Grades for Microcomputers</t>
        </is>
      </c>
      <c r="AX48" s="610" t="inlineStr">
        <is>
          <t>https://openstd.samr.gov.cn/bzgk/std/newGbInfo?hcno=4DD0EF686BBB0377E2BE393D90F678AE</t>
        </is>
      </c>
      <c r="AY48" s="610" t="inlineStr">
        <is>
          <t>GB 28380-2012 (superseded): https://openstd.samr.gov.cn/bzgk/std/newGbInfo?hcno=E37B92481D451648AD9C1656D2E29BAA</t>
        </is>
      </c>
      <c r="AZ48" s="610" t="inlineStr"/>
    </row>
    <row r="49">
      <c r="A49" s="610" t="inlineStr">
        <is>
          <t>CHNPRFMEAI16S000</t>
        </is>
      </c>
      <c r="B49" s="610" t="inlineStr">
        <is>
          <t>Instrument</t>
        </is>
      </c>
      <c r="C49" s="610" t="inlineStr">
        <is>
          <t>Performance standard</t>
        </is>
      </c>
      <c r="D49" s="610" t="inlineStr">
        <is>
          <t>Minimum Energy Performance Standards (MEPS) for electric appliances</t>
        </is>
      </c>
      <c r="E49" s="610" t="inlineStr">
        <is>
          <t>Buildings</t>
        </is>
      </c>
      <c r="F49" s="610" t="inlineStr">
        <is>
          <t>Household appliances</t>
        </is>
      </c>
      <c r="G49" s="610" t="inlineStr">
        <is>
          <t>电动洗衣机和洗干一体机能效水效限定值及等级</t>
        </is>
      </c>
      <c r="H49" s="610" t="inlineStr">
        <is>
          <t>Minimum Allowable Values of Energy Consumption, Water Consumption and Grades for Electric Washing Machines and Washer-Dryers</t>
        </is>
      </c>
      <c r="I49" s="610" t="inlineStr">
        <is>
          <t>N/A</t>
        </is>
      </c>
      <c r="J49" s="610"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610" t="inlineStr">
        <is>
          <t>Energy efficiency</t>
        </is>
      </c>
      <c r="L49" s="610" t="inlineStr">
        <is>
          <t>Direct</t>
        </is>
      </c>
      <c r="M49" s="610" t="inlineStr">
        <is>
          <t>national</t>
        </is>
      </c>
      <c r="N49" s="610" t="inlineStr">
        <is>
          <t>N/A</t>
        </is>
      </c>
      <c r="O49" s="610" t="inlineStr">
        <is>
          <t>09/06/2013</t>
        </is>
      </c>
      <c r="P49" s="610" t="inlineStr">
        <is>
          <t>01/10/2013</t>
        </is>
      </c>
      <c r="Q49" s="610" t="inlineStr">
        <is>
          <t>N/A</t>
        </is>
      </c>
      <c r="R49" s="610" t="inlineStr">
        <is>
          <t>31/03/2026</t>
        </is>
      </c>
      <c r="S49" s="610" t="inlineStr">
        <is>
          <t>On 31 March 2026, GB 12021.4-2026 was published, replacing GB 12021.4-2013, bringing washer-dryers within scope for the first time, expanding the capacity upper limit to 25 kg, setting washing duration limits for the first time, and updating test methods.</t>
        </is>
      </c>
      <c r="T49" s="610">
        <f>IF(P49="","In force",IF(P49="N/A","In force",IF(TODAY()&lt;DATE(VALUE(RIGHT(P49,4)),VALUE(MID(P49,4,2)),VALUE(LEFT(P49,2))),"Scheduled",IF(Q49="","In force",IF(Q49="N/A","In force",IF(TODAY()&lt;DATE(VALUE(RIGHT(Q49,4)),VALUE(MID(Q49,4,2)),VALUE(LEFT(Q49,2))),"In force","Ended"))))))</f>
        <v/>
      </c>
      <c r="U49" s="610" t="inlineStr">
        <is>
          <t>State Administration for Market Regulation; Standardization Administration of China</t>
        </is>
      </c>
      <c r="V49" s="610" t="inlineStr">
        <is>
          <t>Electric washing machines and washer-dryers</t>
        </is>
      </c>
      <c r="W49" s="610" t="inlineStr">
        <is>
          <t>new</t>
        </is>
      </c>
      <c r="X49" s="610" t="inlineStr">
        <is>
          <t>Household and similar electric washing machines (drum-type and impeller-type), with rated washing capacity up to 25 kg; washer-dryer combination machines.</t>
        </is>
      </c>
      <c r="Y49" s="610" t="inlineStr">
        <is>
          <t>N/A</t>
        </is>
      </c>
      <c r="Z49" s="610" t="inlineStr">
        <is>
          <t>N/A</t>
        </is>
      </c>
      <c r="AA49" s="610" t="inlineStr">
        <is>
          <t>Firms</t>
        </is>
      </c>
      <c r="AB49" s="610" t="inlineStr">
        <is>
          <t>Manufacturers and importers producing, importing or selling electric washing machine and washer-dryer products within China.</t>
        </is>
      </c>
      <c r="AC49" s="610" t="inlineStr">
        <is>
          <t>Production; Sale; Import</t>
        </is>
      </c>
      <c r="AD49" s="610" t="inlineStr">
        <is>
          <t>Production, import and sale of electric washing machines and washer-dryers. Products must meet the standard's minimum allowable energy and water efficiency values before they can enter the market.</t>
        </is>
      </c>
      <c r="AE49" s="610" t="inlineStr">
        <is>
          <t>Grade 5</t>
        </is>
      </c>
      <c r="AF49" s="610" t="inlineStr">
        <is>
          <t>Energy efficiency and water efficiency grade</t>
        </is>
      </c>
      <c r="AG49" s="610"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H49" s="610"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I49" s="610" t="inlineStr">
        <is>
          <t>N/A</t>
        </is>
      </c>
      <c r="AJ49" s="610" t="inlineStr">
        <is>
          <t>N/A</t>
        </is>
      </c>
      <c r="AK49" s="610" t="inlineStr">
        <is>
          <t>Inspections or audits conducted by government authorities or third parties</t>
        </is>
      </c>
      <c r="AL49" s="610"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M49" s="610" t="inlineStr">
        <is>
          <t>Compliance order; Monetary penalties</t>
        </is>
      </c>
      <c r="AN49" s="610"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O49" s="610" t="inlineStr">
        <is>
          <t>The state encourages production and use of Grade 1 and Grade 2 high-efficiency water-saving washing machines; promotes market uptake through energy-saving and water-saving product certification.</t>
        </is>
      </c>
      <c r="AP49" s="610" t="inlineStr">
        <is>
          <t>The state encourages production and use of Grade 1 and Grade 2 high-efficiency water-saving washing machines; promotes market uptake through energy-saving and water-saving product certification.</t>
        </is>
      </c>
      <c r="AQ49" s="610" t="inlineStr">
        <is>
          <t>N/A</t>
        </is>
      </c>
      <c r="AR49" s="610" t="inlineStr">
        <is>
          <t>N/A</t>
        </is>
      </c>
      <c r="AS49" s="610" t="inlineStr">
        <is>
          <t>C27</t>
        </is>
      </c>
      <c r="AT49" s="610" t="inlineStr">
        <is>
          <t>CO2</t>
        </is>
      </c>
      <c r="AU49" s="610" t="inlineStr">
        <is>
          <t>Positive</t>
        </is>
      </c>
      <c r="AV49" s="610" t="inlineStr">
        <is>
          <t>Energy conservation; Industrial development</t>
        </is>
      </c>
      <c r="AW49" s="610" t="inlineStr">
        <is>
          <t>GB 12021.4-2026 Minimum Allowable Values of Energy Consumption, Water Consumption and Grades for Electric Washing Machines and Washer-Dryers</t>
        </is>
      </c>
      <c r="AX49" s="610" t="inlineStr">
        <is>
          <t>https://openstd.samr.gov.cn/bzgk/std/newGbInfo?hcno=4804719D7D206D7538788BE44F54DC64</t>
        </is>
      </c>
      <c r="AY49" s="610" t="inlineStr">
        <is>
          <t>GB 12021.4-2013 (superseded): https://openstd.samr.gov.cn/bzgk/std/newGbInfo?hcno=F90B89DADC888F069B9993659D39BD4F</t>
        </is>
      </c>
      <c r="AZ49" s="610" t="inlineStr"/>
    </row>
    <row r="50">
      <c r="A50" s="610" t="inlineStr">
        <is>
          <t>CHNPRFMEAI17S000</t>
        </is>
      </c>
      <c r="B50" s="610" t="inlineStr">
        <is>
          <t>Instrument</t>
        </is>
      </c>
      <c r="C50" s="610" t="inlineStr">
        <is>
          <t>Performance standard</t>
        </is>
      </c>
      <c r="D50" s="610" t="inlineStr">
        <is>
          <t>Minimum Energy Performance Standards (MEPS) for electric appliances</t>
        </is>
      </c>
      <c r="E50" s="610" t="inlineStr">
        <is>
          <t>Industry</t>
        </is>
      </c>
      <c r="F50" s="610" t="inlineStr">
        <is>
          <t>Wastewater treatment equipment</t>
        </is>
      </c>
      <c r="G50" s="610" t="inlineStr">
        <is>
          <t>污水处理用旋转曝气机能效限定值及能效等级</t>
        </is>
      </c>
      <c r="H50" s="610" t="inlineStr">
        <is>
          <t>Minimum Allowable Values of Energy Efficiency and Energy Efficiency Grades for Rotary Aerators in Wastewater Treatment</t>
        </is>
      </c>
      <c r="I50" s="610" t="inlineStr">
        <is>
          <t>N/A</t>
        </is>
      </c>
      <c r="J50" s="610"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610" t="inlineStr">
        <is>
          <t>Energy efficiency</t>
        </is>
      </c>
      <c r="L50" s="610" t="inlineStr">
        <is>
          <t>Direct</t>
        </is>
      </c>
      <c r="M50" s="610" t="inlineStr">
        <is>
          <t>national</t>
        </is>
      </c>
      <c r="N50" s="610" t="inlineStr">
        <is>
          <t>N/A</t>
        </is>
      </c>
      <c r="O50" s="610" t="inlineStr">
        <is>
          <t>04/04/2019</t>
        </is>
      </c>
      <c r="P50" s="610" t="inlineStr">
        <is>
          <t>01/11/2020</t>
        </is>
      </c>
      <c r="Q50" s="610" t="inlineStr">
        <is>
          <t>N/A</t>
        </is>
      </c>
      <c r="R50" s="610" t="inlineStr">
        <is>
          <t>N/A</t>
        </is>
      </c>
      <c r="S50" s="610" t="inlineStr">
        <is>
          <t>N/A</t>
        </is>
      </c>
      <c r="T50" s="610">
        <f>IF(P50="","In force",IF(P50="N/A","In force",IF(TODAY()&lt;DATE(VALUE(RIGHT(P50,4)),VALUE(MID(P50,4,2)),VALUE(LEFT(P50,2))),"Scheduled",IF(Q50="","In force",IF(Q50="N/A","In force",IF(TODAY()&lt;DATE(VALUE(RIGHT(Q50,4)),VALUE(MID(Q50,4,2)),VALUE(LEFT(Q50,2))),"In force","Ended"))))))</f>
        <v/>
      </c>
      <c r="U50" s="610" t="inlineStr">
        <is>
          <t>State Administration for Market Regulation; Standardization Administration of China</t>
        </is>
      </c>
      <c r="V50" s="610" t="inlineStr">
        <is>
          <t>Rotary aerators for wastewater treatment</t>
        </is>
      </c>
      <c r="W50" s="610" t="inlineStr">
        <is>
          <t>new</t>
        </is>
      </c>
      <c r="X50" s="610" t="inlineStr">
        <is>
          <t>Rotary brush aerators, rotary disc aerators, vertical surface aerators and horizontal surface aerators for oxidation ditches in various wastewater treatment applications.</t>
        </is>
      </c>
      <c r="Y50" s="610" t="inlineStr">
        <is>
          <t>N/A</t>
        </is>
      </c>
      <c r="Z50" s="610" t="inlineStr">
        <is>
          <t>N/A</t>
        </is>
      </c>
      <c r="AA50" s="610" t="inlineStr">
        <is>
          <t>Firms</t>
        </is>
      </c>
      <c r="AB50" s="610" t="inlineStr">
        <is>
          <t>Manufacturers and importers producing, importing or selling rotary aerator products for wastewater treatment within China.</t>
        </is>
      </c>
      <c r="AC50" s="610" t="inlineStr">
        <is>
          <t>Production; Sale; Import</t>
        </is>
      </c>
      <c r="AD50" s="610" t="inlineStr">
        <is>
          <t>Production, import and sale of rotary aerator products for wastewater treatment. Products must meet the standard's minimum allowable energy efficiency values before they can enter the market.</t>
        </is>
      </c>
      <c r="AE50" s="610" t="inlineStr">
        <is>
          <t>Grade 3</t>
        </is>
      </c>
      <c r="AF50" s="610" t="inlineStr">
        <is>
          <t>Energy efficiency grade</t>
        </is>
      </c>
      <c r="AG50" s="610"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H50" s="610"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0" s="610" t="inlineStr">
        <is>
          <t>N/A</t>
        </is>
      </c>
      <c r="AJ50" s="610" t="inlineStr">
        <is>
          <t>N/A</t>
        </is>
      </c>
      <c r="AK50" s="610" t="inlineStr">
        <is>
          <t>Inspections or audits conducted by government authorities or third parties</t>
        </is>
      </c>
      <c r="AL50" s="610"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M50" s="610" t="inlineStr">
        <is>
          <t>Compliance order; Monetary penalties</t>
        </is>
      </c>
      <c r="AN50" s="610" t="inlineStr">
        <is>
          <t>For production, import or sale of rotary aerator products not conforming to the mandatory energy efficiency standard, market regulatory authorities shall order cessation of production, import and sale, confiscate illegal gains and impose fines.</t>
        </is>
      </c>
      <c r="AO50" s="610" t="inlineStr">
        <is>
          <t>The state encourages production and use of Grade 1 and Grade 2 high-efficiency rotary aerators; promotes the market uptake of high-efficiency environmental protection equipment through energy-saving product certification.</t>
        </is>
      </c>
      <c r="AP50" s="610" t="inlineStr">
        <is>
          <t>The state encourages production and use of Grade 1 and Grade 2 high-efficiency rotary aerators; promotes the market uptake of high-efficiency environmental protection equipment through energy-saving product certification.</t>
        </is>
      </c>
      <c r="AQ50" s="610" t="inlineStr">
        <is>
          <t>N/A</t>
        </is>
      </c>
      <c r="AR50" s="610" t="inlineStr">
        <is>
          <t>N/A</t>
        </is>
      </c>
      <c r="AS50" s="610" t="inlineStr">
        <is>
          <t>C28</t>
        </is>
      </c>
      <c r="AT50" s="610" t="inlineStr">
        <is>
          <t>CO2</t>
        </is>
      </c>
      <c r="AU50" s="610" t="inlineStr">
        <is>
          <t>Positive</t>
        </is>
      </c>
      <c r="AV50" s="610" t="inlineStr">
        <is>
          <t>Energy conservation; Industrial development</t>
        </is>
      </c>
      <c r="AW50" s="610" t="inlineStr">
        <is>
          <t>GB 37483-2019 Minimum Allowable Values of Energy Efficiency and Energy Efficiency Grades for Rotary Aerators in Wastewater Treatment</t>
        </is>
      </c>
      <c r="AX50" s="610" t="inlineStr">
        <is>
          <t>https://openstd.samr.gov.cn/bzgk/std/newGbInfo?hcno=F735E1D19562E996DB548E1A02251B05</t>
        </is>
      </c>
      <c r="AY50" s="610" t="inlineStr">
        <is>
          <t>N/A</t>
        </is>
      </c>
      <c r="AZ50" s="610" t="inlineStr"/>
    </row>
    <row r="51">
      <c r="A51" s="610" t="inlineStr">
        <is>
          <t>CHNPRFMEAI18S000</t>
        </is>
      </c>
      <c r="B51" s="610" t="inlineStr">
        <is>
          <t>Instrument</t>
        </is>
      </c>
      <c r="C51" s="610" t="inlineStr">
        <is>
          <t>Performance standard</t>
        </is>
      </c>
      <c r="D51" s="610" t="inlineStr">
        <is>
          <t>Minimum Energy Performance Standards (MEPS) for electric appliances</t>
        </is>
      </c>
      <c r="E51" s="610" t="inlineStr">
        <is>
          <t>Industry</t>
        </is>
      </c>
      <c r="F51" s="610" t="inlineStr">
        <is>
          <t>Wastewater treatment equipment</t>
        </is>
      </c>
      <c r="G51" s="610" t="inlineStr">
        <is>
          <t>污水处理用潜水推流式搅拌机能效限定值及能效等级</t>
        </is>
      </c>
      <c r="H51" s="610" t="inlineStr">
        <is>
          <t>Minimum Allowable Values of Energy Efficiency and Energy Efficiency Grades for Submersible Push-Flow Mixers in Wastewater Treatment</t>
        </is>
      </c>
      <c r="I51" s="610" t="inlineStr">
        <is>
          <t>N/A</t>
        </is>
      </c>
      <c r="J51" s="610"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610" t="inlineStr">
        <is>
          <t>Energy efficiency</t>
        </is>
      </c>
      <c r="L51" s="610" t="inlineStr">
        <is>
          <t>Direct</t>
        </is>
      </c>
      <c r="M51" s="610" t="inlineStr">
        <is>
          <t>national</t>
        </is>
      </c>
      <c r="N51" s="610" t="inlineStr">
        <is>
          <t>N/A</t>
        </is>
      </c>
      <c r="O51" s="610" t="inlineStr">
        <is>
          <t>04/04/2019</t>
        </is>
      </c>
      <c r="P51" s="610" t="inlineStr">
        <is>
          <t>01/11/2020</t>
        </is>
      </c>
      <c r="Q51" s="610" t="inlineStr">
        <is>
          <t>N/A</t>
        </is>
      </c>
      <c r="R51" s="610" t="inlineStr">
        <is>
          <t>N/A</t>
        </is>
      </c>
      <c r="S51" s="610" t="inlineStr">
        <is>
          <t>N/A</t>
        </is>
      </c>
      <c r="T51" s="610">
        <f>IF(P51="","In force",IF(P51="N/A","In force",IF(TODAY()&lt;DATE(VALUE(RIGHT(P51,4)),VALUE(MID(P51,4,2)),VALUE(LEFT(P51,2))),"Scheduled",IF(Q51="","In force",IF(Q51="N/A","In force",IF(TODAY()&lt;DATE(VALUE(RIGHT(Q51,4)),VALUE(MID(Q51,4,2)),VALUE(LEFT(Q51,2))),"In force","Ended"))))))</f>
        <v/>
      </c>
      <c r="U51" s="610" t="inlineStr">
        <is>
          <t>State Administration for Market Regulation; Standardization Administration of China</t>
        </is>
      </c>
      <c r="V51" s="610" t="inlineStr">
        <is>
          <t>Submersible push-flow mixers for wastewater treatment</t>
        </is>
      </c>
      <c r="W51" s="610" t="inlineStr">
        <is>
          <t>new</t>
        </is>
      </c>
      <c r="X51" s="610" t="inlineStr">
        <is>
          <t>Submersible push-flow mixers used in anaerobic, anoxic and aerobic zones and other process stages of wastewater treatment plants (stations).</t>
        </is>
      </c>
      <c r="Y51" s="610" t="inlineStr">
        <is>
          <t>N/A</t>
        </is>
      </c>
      <c r="Z51" s="610" t="inlineStr">
        <is>
          <t>N/A</t>
        </is>
      </c>
      <c r="AA51" s="610" t="inlineStr">
        <is>
          <t>Firms</t>
        </is>
      </c>
      <c r="AB51" s="610" t="inlineStr">
        <is>
          <t>Manufacturers and importers producing, importing or selling submersible push-flow mixer products for wastewater treatment within China.</t>
        </is>
      </c>
      <c r="AC51" s="610" t="inlineStr">
        <is>
          <t>Production; Sale; Import</t>
        </is>
      </c>
      <c r="AD51" s="610" t="inlineStr">
        <is>
          <t>Production, import and sale of submersible push-flow mixer products for wastewater treatment. Products must meet the standard's minimum allowable energy efficiency values before they can enter the market.</t>
        </is>
      </c>
      <c r="AE51" s="610" t="inlineStr">
        <is>
          <t>Grade 3</t>
        </is>
      </c>
      <c r="AF51" s="610" t="inlineStr">
        <is>
          <t>Energy efficiency grade</t>
        </is>
      </c>
      <c r="AG51" s="610"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H51" s="610"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1" s="610" t="inlineStr">
        <is>
          <t>N/A</t>
        </is>
      </c>
      <c r="AJ51" s="610" t="inlineStr">
        <is>
          <t>N/A</t>
        </is>
      </c>
      <c r="AK51" s="610" t="inlineStr">
        <is>
          <t>Inspections or audits conducted by government authorities or third parties</t>
        </is>
      </c>
      <c r="AL51" s="610"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M51" s="610" t="inlineStr">
        <is>
          <t>Compliance order; Monetary penalties</t>
        </is>
      </c>
      <c r="AN51" s="610" t="inlineStr">
        <is>
          <t>For production, import or sale of submersible push-flow mixer products not conforming to the mandatory energy efficiency standard, market regulatory authorities shall order cessation of production, import and sale, confiscate illegal gains and impose fines.</t>
        </is>
      </c>
      <c r="AO51" s="610" t="inlineStr">
        <is>
          <t>The state encourages production and use of Grade 1 and Grade 2 high-efficiency submersible push-flow mixers; promotes the market uptake of high-efficiency environmental protection equipment through energy-saving product certification.</t>
        </is>
      </c>
      <c r="AP51" s="610" t="inlineStr">
        <is>
          <t>The state encourages production and use of Grade 1 and Grade 2 high-efficiency submersible push-flow mixers; promotes the market uptake of high-efficiency environmental protection equipment through energy-saving product certification.</t>
        </is>
      </c>
      <c r="AQ51" s="610" t="inlineStr">
        <is>
          <t>N/A</t>
        </is>
      </c>
      <c r="AR51" s="610" t="inlineStr">
        <is>
          <t>N/A</t>
        </is>
      </c>
      <c r="AS51" s="610" t="inlineStr">
        <is>
          <t>C28</t>
        </is>
      </c>
      <c r="AT51" s="610" t="inlineStr">
        <is>
          <t>CO2</t>
        </is>
      </c>
      <c r="AU51" s="610" t="inlineStr">
        <is>
          <t>Positive</t>
        </is>
      </c>
      <c r="AV51" s="610" t="inlineStr">
        <is>
          <t>Energy conservation; Industrial development</t>
        </is>
      </c>
      <c r="AW51" s="610" t="inlineStr">
        <is>
          <t>GB 37485-2019 Minimum Allowable Values of Energy Efficiency and Energy Efficiency Grades for Submersible Push-Flow Mixers in Wastewater Treatment</t>
        </is>
      </c>
      <c r="AX51" s="610" t="inlineStr">
        <is>
          <t>https://openstd.samr.gov.cn/bzgk/gb/newGbInfo?hcno=CE7904294CC2751F6617EAC7A6665D58</t>
        </is>
      </c>
      <c r="AY51" s="610" t="inlineStr">
        <is>
          <t>N/A</t>
        </is>
      </c>
      <c r="AZ51" s="610" t="inlineStr"/>
    </row>
    <row r="52">
      <c r="A52" s="610" t="inlineStr">
        <is>
          <t>CHNPRFMEAI19S000</t>
        </is>
      </c>
      <c r="B52" s="610" t="inlineStr">
        <is>
          <t>Instrument</t>
        </is>
      </c>
      <c r="C52" s="610" t="inlineStr">
        <is>
          <t>Performance standard</t>
        </is>
      </c>
      <c r="D52" s="610" t="inlineStr">
        <is>
          <t>Minimum Energy Performance Standards (MEPS) for electric appliances</t>
        </is>
      </c>
      <c r="E52" s="610" t="inlineStr">
        <is>
          <t>Industry</t>
        </is>
      </c>
      <c r="F52" s="610" t="inlineStr">
        <is>
          <t>Industrial pumps; Petrochemical; Water supply and drainage</t>
        </is>
      </c>
      <c r="G52" s="610" t="inlineStr">
        <is>
          <t>离心泵能效限定值及能效等级</t>
        </is>
      </c>
      <c r="H52" s="610" t="inlineStr">
        <is>
          <t>Minimum Allowable Values of Energy Efficiency and Energy Efficiency Grades for Centrifugal Pumps</t>
        </is>
      </c>
      <c r="I52" s="610" t="inlineStr">
        <is>
          <t>N/A</t>
        </is>
      </c>
      <c r="J52" s="610"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610" t="inlineStr">
        <is>
          <t>Energy efficiency</t>
        </is>
      </c>
      <c r="L52" s="610" t="inlineStr">
        <is>
          <t>Direct</t>
        </is>
      </c>
      <c r="M52" s="610" t="inlineStr">
        <is>
          <t>national</t>
        </is>
      </c>
      <c r="N52" s="610" t="inlineStr">
        <is>
          <t>N/A</t>
        </is>
      </c>
      <c r="O52" s="610" t="inlineStr">
        <is>
          <t>30/12/2005</t>
        </is>
      </c>
      <c r="P52" s="610" t="inlineStr">
        <is>
          <t>01/08/2006</t>
        </is>
      </c>
      <c r="Q52" s="610" t="inlineStr">
        <is>
          <t>N/A</t>
        </is>
      </c>
      <c r="R52" s="610" t="inlineStr">
        <is>
          <t>28/02/2025</t>
        </is>
      </c>
      <c r="S52" s="610" t="inlineStr">
        <is>
          <t>On 28 February 2025, GB 19762-2025 was published, replacing GB 19762-2007 and GB 32284-2015, for the first time unifying the energy efficiency standards for clean-water centrifugal pumps and petrochemical centrifugal pumps under a single evaluation framework.</t>
        </is>
      </c>
      <c r="T52" s="610">
        <f>IF(P52="","In force",IF(P52="N/A","In force",IF(TODAY()&lt;DATE(VALUE(RIGHT(P52,4)),VALUE(MID(P52,4,2)),VALUE(LEFT(P52,2))),"Scheduled",IF(Q52="","In force",IF(Q52="N/A","In force",IF(TODAY()&lt;DATE(VALUE(RIGHT(Q52,4)),VALUE(MID(Q52,4,2)),VALUE(LEFT(Q52,2))),"In force","Ended"))))))</f>
        <v/>
      </c>
      <c r="U52" s="610" t="inlineStr">
        <is>
          <t>State Administration for Market Regulation; Standardization Administration of China</t>
        </is>
      </c>
      <c r="V52" s="610" t="inlineStr">
        <is>
          <t>Centrifugal pumps</t>
        </is>
      </c>
      <c r="W52" s="610" t="inlineStr">
        <is>
          <t>new</t>
        </is>
      </c>
      <c r="X52" s="610" t="inlineStr">
        <is>
          <t>Clean-water centrifugal pumps (single-stage single-suction, single-stage double-suction, multi-stage) and petrochemical centrifugal pumps with drive motor power 1 kW to 1 250 kW.</t>
        </is>
      </c>
      <c r="Y52" s="610" t="inlineStr">
        <is>
          <t>N/A</t>
        </is>
      </c>
      <c r="Z52" s="610" t="inlineStr">
        <is>
          <t>N/A</t>
        </is>
      </c>
      <c r="AA52" s="610" t="inlineStr">
        <is>
          <t>Firms</t>
        </is>
      </c>
      <c r="AB52" s="610" t="inlineStr">
        <is>
          <t>Manufacturers and importers producing, importing or selling centrifugal pump products within China.</t>
        </is>
      </c>
      <c r="AC52" s="610" t="inlineStr">
        <is>
          <t>Production; Sale; Import</t>
        </is>
      </c>
      <c r="AD52" s="610" t="inlineStr">
        <is>
          <t>Production, import and sale of centrifugal pump products. Products must meet the standard's minimum allowable energy efficiency values before they can enter the market.</t>
        </is>
      </c>
      <c r="AE52" s="610" t="inlineStr">
        <is>
          <t>Grade 3</t>
        </is>
      </c>
      <c r="AF52" s="610" t="inlineStr">
        <is>
          <t>Energy efficiency grade</t>
        </is>
      </c>
      <c r="AG52" s="610"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H52" s="610"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2" s="610" t="inlineStr">
        <is>
          <t>N/A</t>
        </is>
      </c>
      <c r="AJ52" s="610" t="inlineStr">
        <is>
          <t>N/A</t>
        </is>
      </c>
      <c r="AK52" s="610" t="inlineStr">
        <is>
          <t>Inspections or audits conducted by government authorities or third parties</t>
        </is>
      </c>
      <c r="AL52" s="610"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M52" s="610" t="inlineStr">
        <is>
          <t>Compliance order; Monetary penalties</t>
        </is>
      </c>
      <c r="AN52" s="610" t="inlineStr">
        <is>
          <t>For production, import or sale of centrifugal pump products not conforming to the mandatory energy efficiency standard, market regulatory authorities shall order cessation of production, import and sale, confiscate illegal gains and impose fines.</t>
        </is>
      </c>
      <c r="AO52" s="610" t="inlineStr">
        <is>
          <t>The state encourages production and use of Grade 1 and Grade 2 high-efficiency centrifugal pumps; promotes the market uptake of high-efficiency pump products through energy-saving product certification and government green procurement.</t>
        </is>
      </c>
      <c r="AP52" s="610" t="inlineStr">
        <is>
          <t>The state encourages production and use of Grade 1 and Grade 2 high-efficiency centrifugal pumps; promotes the market uptake of high-efficiency pump products through energy-saving product certification and government green procurement.</t>
        </is>
      </c>
      <c r="AQ52" s="610" t="inlineStr">
        <is>
          <t>N/A</t>
        </is>
      </c>
      <c r="AR52" s="610" t="inlineStr">
        <is>
          <t>N/A</t>
        </is>
      </c>
      <c r="AS52" s="610" t="inlineStr">
        <is>
          <t>C28</t>
        </is>
      </c>
      <c r="AT52" s="610" t="inlineStr">
        <is>
          <t>CO2</t>
        </is>
      </c>
      <c r="AU52" s="610" t="inlineStr">
        <is>
          <t>Positive</t>
        </is>
      </c>
      <c r="AV52" s="610" t="inlineStr">
        <is>
          <t>Energy conservation; Industrial development</t>
        </is>
      </c>
      <c r="AW52" s="610" t="inlineStr">
        <is>
          <t>GB 19762-2025 Minimum Allowable Values of Energy Efficiency and Energy Efficiency Grades for Centrifugal Pumps</t>
        </is>
      </c>
      <c r="AX52" s="610" t="inlineStr">
        <is>
          <t>https://openstd.samr.gov.cn/bzgk/std/newGbInfo?hcno=71D054118B5AD7FDAF8F83BCEDA0DA81</t>
        </is>
      </c>
      <c r="AY52" s="610" t="inlineStr">
        <is>
          <t>GB 19762-2007 (superseded): https://openstd.samr.gov.cn/bzgk/std/newGbInfo?hcno=A39DD3789E113CA7511DC7DB4868B8DA; GB 32284-2015 (superseded): https://openstd.samr.gov.cn/bzgk/std/newGbInfo?hcno=E44191007DF72382D3DB8689274E1C0E</t>
        </is>
      </c>
      <c r="AZ52" s="610" t="inlineStr"/>
    </row>
    <row r="53">
      <c r="A53" s="610" t="inlineStr">
        <is>
          <t>CHNPRFMEAI20S000</t>
        </is>
      </c>
      <c r="B53" s="610" t="inlineStr">
        <is>
          <t>Instrument</t>
        </is>
      </c>
      <c r="C53" s="610" t="inlineStr">
        <is>
          <t>Performance standard</t>
        </is>
      </c>
      <c r="D53" s="610" t="inlineStr">
        <is>
          <t>Minimum Energy Performance Standards (MEPS) for electric appliances</t>
        </is>
      </c>
      <c r="E53" s="610" t="inlineStr">
        <is>
          <t>Industry</t>
        </is>
      </c>
      <c r="F53" s="610" t="inlineStr">
        <is>
          <t>Industrial dust removal; Air pollution control</t>
        </is>
      </c>
      <c r="G53" s="610" t="inlineStr">
        <is>
          <t>除尘器能效限定值及能效等级</t>
        </is>
      </c>
      <c r="H53" s="610" t="inlineStr">
        <is>
          <t>Minimum Allowable Values of Energy Efficiency and Energy Efficiency Grades for Dust Collectors</t>
        </is>
      </c>
      <c r="I53" s="610" t="inlineStr">
        <is>
          <t>N/A</t>
        </is>
      </c>
      <c r="J53" s="610"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610" t="inlineStr">
        <is>
          <t>Energy efficiency</t>
        </is>
      </c>
      <c r="L53" s="610" t="inlineStr">
        <is>
          <t>Direct</t>
        </is>
      </c>
      <c r="M53" s="610" t="inlineStr">
        <is>
          <t>national</t>
        </is>
      </c>
      <c r="N53" s="610" t="inlineStr">
        <is>
          <t>N/A</t>
        </is>
      </c>
      <c r="O53" s="610" t="inlineStr">
        <is>
          <t>04/04/2019</t>
        </is>
      </c>
      <c r="P53" s="610" t="inlineStr">
        <is>
          <t>01/11/2020</t>
        </is>
      </c>
      <c r="Q53" s="610" t="inlineStr">
        <is>
          <t>N/A</t>
        </is>
      </c>
      <c r="R53" s="610" t="inlineStr">
        <is>
          <t>N/A</t>
        </is>
      </c>
      <c r="S53" s="610" t="inlineStr">
        <is>
          <t>N/A</t>
        </is>
      </c>
      <c r="T53" s="610">
        <f>IF(P53="","In force",IF(P53="N/A","In force",IF(TODAY()&lt;DATE(VALUE(RIGHT(P53,4)),VALUE(MID(P53,4,2)),VALUE(LEFT(P53,2))),"Scheduled",IF(Q53="","In force",IF(Q53="N/A","In force",IF(TODAY()&lt;DATE(VALUE(RIGHT(Q53,4)),VALUE(MID(Q53,4,2)),VALUE(LEFT(Q53,2))),"In force","Ended"))))))</f>
        <v/>
      </c>
      <c r="U53" s="610" t="inlineStr">
        <is>
          <t>State Administration for Market Regulation; Standardization Administration of China</t>
        </is>
      </c>
      <c r="V53" s="610" t="inlineStr">
        <is>
          <t>Dust collectors</t>
        </is>
      </c>
      <c r="W53" s="610" t="inlineStr">
        <is>
          <t>new</t>
        </is>
      </c>
      <c r="X53" s="610" t="inlineStr">
        <is>
          <t>Electrostatic precipitators and baghouse dust collectors used in coal-fired power plants, iron and steel, cement, chemical and other industries.</t>
        </is>
      </c>
      <c r="Y53" s="610" t="inlineStr">
        <is>
          <t>N/A</t>
        </is>
      </c>
      <c r="Z53" s="610" t="inlineStr">
        <is>
          <t>N/A</t>
        </is>
      </c>
      <c r="AA53" s="610" t="inlineStr">
        <is>
          <t>Firms</t>
        </is>
      </c>
      <c r="AB53" s="610" t="inlineStr">
        <is>
          <t>Manufacturers and importers producing, importing or selling dust collector products within China.</t>
        </is>
      </c>
      <c r="AC53" s="610" t="inlineStr">
        <is>
          <t>Production; Sale; Import</t>
        </is>
      </c>
      <c r="AD53" s="610" t="inlineStr">
        <is>
          <t>Production, import and sale of dust collector products. Products must meet the standard's minimum allowable energy efficiency values before they can enter the market.</t>
        </is>
      </c>
      <c r="AE53" s="610" t="inlineStr">
        <is>
          <t>Grade 3</t>
        </is>
      </c>
      <c r="AF53" s="610" t="inlineStr">
        <is>
          <t>Energy efficiency grade</t>
        </is>
      </c>
      <c r="AG53" s="610"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H53" s="610"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3" s="610" t="inlineStr">
        <is>
          <t>N/A</t>
        </is>
      </c>
      <c r="AJ53" s="610" t="inlineStr">
        <is>
          <t>N/A</t>
        </is>
      </c>
      <c r="AK53" s="610" t="inlineStr">
        <is>
          <t>Inspections or audits conducted by government authorities or third parties</t>
        </is>
      </c>
      <c r="AL53" s="610"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M53" s="610" t="inlineStr">
        <is>
          <t>Compliance order; Monetary penalties</t>
        </is>
      </c>
      <c r="AN53" s="610" t="inlineStr">
        <is>
          <t>For production, import or sale of dust collector products not conforming to the mandatory energy efficiency standard, market regulatory authorities shall order cessation of production, import and sale, confiscate illegal gains and impose fines.</t>
        </is>
      </c>
      <c r="AO53" s="610" t="inlineStr">
        <is>
          <t>The state encourages production and use of Grade 1 and Grade 2 high-efficiency dust collectors; promotes the market uptake of high-efficiency environmental protection equipment through energy-saving product certification.</t>
        </is>
      </c>
      <c r="AP53" s="610" t="inlineStr">
        <is>
          <t>The state encourages production and use of Grade 1 and Grade 2 high-efficiency dust collectors; promotes the market uptake of high-efficiency environmental protection equipment through energy-saving product certification.</t>
        </is>
      </c>
      <c r="AQ53" s="610" t="inlineStr">
        <is>
          <t>N/A</t>
        </is>
      </c>
      <c r="AR53" s="610" t="inlineStr">
        <is>
          <t>N/A</t>
        </is>
      </c>
      <c r="AS53" s="610" t="inlineStr">
        <is>
          <t>C28</t>
        </is>
      </c>
      <c r="AT53" s="610" t="inlineStr">
        <is>
          <t>CO2</t>
        </is>
      </c>
      <c r="AU53" s="610" t="inlineStr">
        <is>
          <t>Positive</t>
        </is>
      </c>
      <c r="AV53" s="610" t="inlineStr">
        <is>
          <t>Energy conservation; Industrial development</t>
        </is>
      </c>
      <c r="AW53" s="610" t="inlineStr">
        <is>
          <t>GB 37484-2019 Minimum Allowable Values of Energy Efficiency and Energy Efficiency Grades for Dust Collectors</t>
        </is>
      </c>
      <c r="AX53" s="610" t="inlineStr">
        <is>
          <t>https://openstd.samr.gov.cn/bzgk/gb/newGbInfo?hcno=EF6C84C6A26DE2617D88B7E658186B48</t>
        </is>
      </c>
      <c r="AY53" s="610" t="inlineStr">
        <is>
          <t>N/A</t>
        </is>
      </c>
      <c r="AZ53" s="610" t="inlineStr"/>
    </row>
    <row r="54">
      <c r="A54" s="610" t="inlineStr">
        <is>
          <t>CHNPRFMEAI21S000</t>
        </is>
      </c>
      <c r="B54" s="610" t="inlineStr">
        <is>
          <t>Instrument</t>
        </is>
      </c>
      <c r="C54" s="610" t="inlineStr">
        <is>
          <t>Performance standard</t>
        </is>
      </c>
      <c r="D54" s="610" t="inlineStr">
        <is>
          <t>Minimum Energy Performance Standards (MEPS) for electric appliances</t>
        </is>
      </c>
      <c r="E54" s="610" t="inlineStr">
        <is>
          <t>Industry</t>
        </is>
      </c>
      <c r="F54" s="610" t="inlineStr">
        <is>
          <t>Hydrogen energy; Chemical equipment</t>
        </is>
      </c>
      <c r="G54" s="610" t="inlineStr">
        <is>
          <t>水电解制氢系统能效限定值及能效等级</t>
        </is>
      </c>
      <c r="H54" s="610" t="inlineStr">
        <is>
          <t>Minimum Allowable Values of Energy Efficiency and Energy Efficiency Grades for Water Electrolysis Hydrogen Production Systems</t>
        </is>
      </c>
      <c r="I54" s="610" t="inlineStr">
        <is>
          <t>N/A</t>
        </is>
      </c>
      <c r="J54" s="610"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610" t="inlineStr">
        <is>
          <t>Energy efficiency</t>
        </is>
      </c>
      <c r="L54" s="610" t="inlineStr">
        <is>
          <t>Direct</t>
        </is>
      </c>
      <c r="M54" s="610" t="inlineStr">
        <is>
          <t>national</t>
        </is>
      </c>
      <c r="N54" s="610" t="inlineStr">
        <is>
          <t>N/A</t>
        </is>
      </c>
      <c r="O54" s="610" t="inlineStr">
        <is>
          <t>10/12/2015</t>
        </is>
      </c>
      <c r="P54" s="610" t="inlineStr">
        <is>
          <t>01/01/2017</t>
        </is>
      </c>
      <c r="Q54" s="610" t="inlineStr">
        <is>
          <t>N/A</t>
        </is>
      </c>
      <c r="R54" s="610" t="inlineStr">
        <is>
          <t>N/A</t>
        </is>
      </c>
      <c r="S54" s="610" t="inlineStr">
        <is>
          <t>N/A</t>
        </is>
      </c>
      <c r="T54" s="610">
        <f>IF(P54="","In force",IF(P54="N/A","In force",IF(TODAY()&lt;DATE(VALUE(RIGHT(P54,4)),VALUE(MID(P54,4,2)),VALUE(LEFT(P54,2))),"Scheduled",IF(Q54="","In force",IF(Q54="N/A","In force",IF(TODAY()&lt;DATE(VALUE(RIGHT(Q54,4)),VALUE(MID(Q54,4,2)),VALUE(LEFT(Q54,2))),"In force","Ended"))))))</f>
        <v/>
      </c>
      <c r="U54" s="610" t="inlineStr">
        <is>
          <t>State Administration for Market Regulation; Standardization Administration of China</t>
        </is>
      </c>
      <c r="V54" s="610" t="inlineStr">
        <is>
          <t>Water electrolysis hydrogen production systems</t>
        </is>
      </c>
      <c r="W54" s="610" t="inlineStr">
        <is>
          <t>new</t>
        </is>
      </c>
      <c r="X54" s="610" t="inlineStr">
        <is>
          <t>Industrial alkaline water electrolysis hydrogen production systems and proton exchange membrane (PEM) water electrolysis hydrogen production systems.</t>
        </is>
      </c>
      <c r="Y54" s="610" t="inlineStr">
        <is>
          <t>N/A</t>
        </is>
      </c>
      <c r="Z54" s="610" t="inlineStr">
        <is>
          <t>N/A</t>
        </is>
      </c>
      <c r="AA54" s="610" t="inlineStr">
        <is>
          <t>Firms</t>
        </is>
      </c>
      <c r="AB54" s="610" t="inlineStr">
        <is>
          <t>Manufacturers and importers producing, importing or selling water electrolysis hydrogen production system products within China.</t>
        </is>
      </c>
      <c r="AC54" s="610" t="inlineStr">
        <is>
          <t>Production; Sale; Import</t>
        </is>
      </c>
      <c r="AD54" s="610" t="inlineStr">
        <is>
          <t>Production, import and sale of water electrolysis hydrogen production system products. Products must meet the standard's minimum allowable energy efficiency values before they can enter the market.</t>
        </is>
      </c>
      <c r="AE54" s="610" t="inlineStr">
        <is>
          <t>Grade 3</t>
        </is>
      </c>
      <c r="AF54" s="610" t="inlineStr">
        <is>
          <t>Energy efficiency grade</t>
        </is>
      </c>
      <c r="AG54" s="610"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H54" s="610"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4" s="610" t="inlineStr">
        <is>
          <t>N/A</t>
        </is>
      </c>
      <c r="AJ54" s="610" t="inlineStr">
        <is>
          <t>N/A</t>
        </is>
      </c>
      <c r="AK54" s="610" t="inlineStr">
        <is>
          <t>Inspections or audits conducted by government authorities or third parties</t>
        </is>
      </c>
      <c r="AL54" s="610"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M54" s="610" t="inlineStr">
        <is>
          <t>Compliance order; Monetary penalties</t>
        </is>
      </c>
      <c r="AN54" s="610"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O54" s="610" t="inlineStr">
        <is>
          <t>The state encourages production and use of Grade 1 and Grade 2 high-efficiency water electrolysis hydrogen production systems; promotes the market uptake of high-efficiency hydrogen energy equipment through energy-saving product certification.</t>
        </is>
      </c>
      <c r="AP54" s="610" t="inlineStr">
        <is>
          <t>The state encourages production and use of Grade 1 and Grade 2 high-efficiency water electrolysis hydrogen production systems; promotes the market uptake of high-efficiency hydrogen energy equipment through energy-saving product certification.</t>
        </is>
      </c>
      <c r="AQ54" s="610" t="inlineStr">
        <is>
          <t>N/A</t>
        </is>
      </c>
      <c r="AR54" s="610" t="inlineStr">
        <is>
          <t>N/A</t>
        </is>
      </c>
      <c r="AS54" s="610" t="inlineStr">
        <is>
          <t>C28</t>
        </is>
      </c>
      <c r="AT54" s="610" t="inlineStr">
        <is>
          <t>CO2</t>
        </is>
      </c>
      <c r="AU54" s="610" t="inlineStr">
        <is>
          <t>Positive</t>
        </is>
      </c>
      <c r="AV54" s="610" t="inlineStr">
        <is>
          <t>Energy conservation; Industrial development</t>
        </is>
      </c>
      <c r="AW54" s="610" t="inlineStr">
        <is>
          <t>GB 32311-2015 Minimum Allowable Values of Energy Efficiency and Energy Efficiency Grades for Water Electrolysis Hydrogen Production Systems</t>
        </is>
      </c>
      <c r="AX54" s="610" t="inlineStr">
        <is>
          <t>https://openstd.samr.gov.cn/bzgk/gb/newGbInfo?hcno=781E52F0B23E73EE28B56F6B6D70D1F0</t>
        </is>
      </c>
      <c r="AY54" s="610" t="inlineStr">
        <is>
          <t>N/A</t>
        </is>
      </c>
      <c r="AZ54" s="610" t="inlineStr"/>
    </row>
    <row r="55">
      <c r="A55" s="610" t="inlineStr">
        <is>
          <t>CHNPRFMEAI22S000</t>
        </is>
      </c>
      <c r="B55" s="610" t="inlineStr">
        <is>
          <t>Instrument</t>
        </is>
      </c>
      <c r="C55" s="610" t="inlineStr">
        <is>
          <t>Performance standard</t>
        </is>
      </c>
      <c r="D55" s="610" t="inlineStr">
        <is>
          <t>Minimum Energy Performance Standards (MEPS) for electric appliances</t>
        </is>
      </c>
      <c r="E55" s="610" t="inlineStr">
        <is>
          <t>Buildings</t>
        </is>
      </c>
      <c r="F55" s="610" t="inlineStr">
        <is>
          <t>Electronic equipment</t>
        </is>
      </c>
      <c r="G55" s="610" t="inlineStr">
        <is>
          <t>投影机能效限定值及能效等级</t>
        </is>
      </c>
      <c r="H55" s="610" t="inlineStr">
        <is>
          <t>Minimum Allowable Values of Energy Efficiency and Energy Efficiency Grades for Projectors</t>
        </is>
      </c>
      <c r="I55" s="610" t="inlineStr">
        <is>
          <t>N/A</t>
        </is>
      </c>
      <c r="J55" s="610"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610" t="inlineStr">
        <is>
          <t>Energy efficiency</t>
        </is>
      </c>
      <c r="L55" s="610" t="inlineStr">
        <is>
          <t>Direct</t>
        </is>
      </c>
      <c r="M55" s="610" t="inlineStr">
        <is>
          <t>national</t>
        </is>
      </c>
      <c r="N55" s="610" t="inlineStr">
        <is>
          <t>N/A</t>
        </is>
      </c>
      <c r="O55" s="610" t="inlineStr">
        <is>
          <t>18/09/2015</t>
        </is>
      </c>
      <c r="P55" s="610" t="inlineStr">
        <is>
          <t>01/10/2016</t>
        </is>
      </c>
      <c r="Q55" s="610" t="inlineStr">
        <is>
          <t>N/A</t>
        </is>
      </c>
      <c r="R55" s="610" t="inlineStr">
        <is>
          <t>30/06/2025</t>
        </is>
      </c>
      <c r="S55" s="610" t="inlineStr">
        <is>
          <t>On 30 June 2025, GB 32028-2025 was published, replacing GB 32028-2015, expanding the scope to solid-state light source projectors, updating test methods, and raising energy efficiency values across all grades.</t>
        </is>
      </c>
      <c r="T55" s="610">
        <f>IF(P55="","In force",IF(P55="N/A","In force",IF(TODAY()&lt;DATE(VALUE(RIGHT(P55,4)),VALUE(MID(P55,4,2)),VALUE(LEFT(P55,2))),"Scheduled",IF(Q55="","In force",IF(Q55="N/A","In force",IF(TODAY()&lt;DATE(VALUE(RIGHT(Q55,4)),VALUE(MID(Q55,4,2)),VALUE(LEFT(Q55,2))),"In force","Ended"))))))</f>
        <v/>
      </c>
      <c r="U55" s="610" t="inlineStr">
        <is>
          <t>State Administration for Market Regulation; Standardization Administration of China</t>
        </is>
      </c>
      <c r="V55" s="610" t="inlineStr">
        <is>
          <t>Projectors</t>
        </is>
      </c>
      <c r="W55" s="610" t="inlineStr">
        <is>
          <t>new</t>
        </is>
      </c>
      <c r="X55" s="610" t="inlineStr">
        <is>
          <t>LCD, DLP and LCoS projectors using high-pressure mercury lamps or metal halide lamps as light sources, and solid-state light source (LED, laser) projectors, where projection is the primary function.</t>
        </is>
      </c>
      <c r="Y55" s="610" t="inlineStr">
        <is>
          <t>N/A</t>
        </is>
      </c>
      <c r="Z55" s="610" t="inlineStr">
        <is>
          <t>N/A</t>
        </is>
      </c>
      <c r="AA55" s="610" t="inlineStr">
        <is>
          <t>Firms</t>
        </is>
      </c>
      <c r="AB55" s="610" t="inlineStr">
        <is>
          <t>Manufacturers and importers producing, importing or selling projector products within China.</t>
        </is>
      </c>
      <c r="AC55" s="610" t="inlineStr">
        <is>
          <t>Production; Sale; Import</t>
        </is>
      </c>
      <c r="AD55" s="610" t="inlineStr">
        <is>
          <t>Production, import and sale of projector products. Products must meet the standard's minimum allowable energy efficiency values before they can enter the market.</t>
        </is>
      </c>
      <c r="AE55" s="610" t="inlineStr">
        <is>
          <t>Grade 3</t>
        </is>
      </c>
      <c r="AF55" s="610" t="inlineStr">
        <is>
          <t>Energy efficiency grade</t>
        </is>
      </c>
      <c r="AG55" s="610"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H55" s="610"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5" s="610" t="inlineStr">
        <is>
          <t>N/A</t>
        </is>
      </c>
      <c r="AJ55" s="610" t="inlineStr">
        <is>
          <t>N/A</t>
        </is>
      </c>
      <c r="AK55" s="610" t="inlineStr">
        <is>
          <t>Inspections or audits conducted by government authorities or third parties</t>
        </is>
      </c>
      <c r="AL55" s="610"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M55" s="610" t="inlineStr">
        <is>
          <t>Compliance order; Monetary penalties</t>
        </is>
      </c>
      <c r="AN55" s="610" t="inlineStr">
        <is>
          <t>For production, import or sale of projector products not conforming to the mandatory energy efficiency standard, market regulatory authorities shall order cessation of production, import and sale, confiscate illegal gains and impose fines.</t>
        </is>
      </c>
      <c r="AO55" s="610" t="inlineStr">
        <is>
          <t>The state encourages production and use of Grade 1 and Grade 2 high-efficiency projectors; promotes market uptake through energy-saving product certification and government green procurement.</t>
        </is>
      </c>
      <c r="AP55" s="610" t="inlineStr">
        <is>
          <t>The state encourages production and use of Grade 1 and Grade 2 high-efficiency projectors; promotes market uptake through energy-saving product certification and government green procurement.</t>
        </is>
      </c>
      <c r="AQ55" s="610" t="inlineStr">
        <is>
          <t>N/A</t>
        </is>
      </c>
      <c r="AR55" s="610" t="inlineStr">
        <is>
          <t>N/A</t>
        </is>
      </c>
      <c r="AS55" s="610" t="inlineStr">
        <is>
          <t>C26</t>
        </is>
      </c>
      <c r="AT55" s="610" t="inlineStr">
        <is>
          <t>CO2</t>
        </is>
      </c>
      <c r="AU55" s="610" t="inlineStr">
        <is>
          <t>Positive</t>
        </is>
      </c>
      <c r="AV55" s="610" t="inlineStr">
        <is>
          <t>Energy conservation; Industrial development</t>
        </is>
      </c>
      <c r="AW55" s="610" t="inlineStr">
        <is>
          <t>GB 32028-2025 Minimum Allowable Values of Energy Efficiency and Energy Efficiency Grades for Projectors</t>
        </is>
      </c>
      <c r="AX55" s="610" t="inlineStr">
        <is>
          <t>https://openstd.samr.gov.cn/bzgk/std/newGbInfo?hcno=3CC8713ADAEA3E8F937E6C5B9D4939E6</t>
        </is>
      </c>
      <c r="AY55" s="610" t="inlineStr">
        <is>
          <t>GB 32028-2015 (superseded): https://openstd.samr.gov.cn/bzgk/std/newGbInfo?hcno=65585D6D77D9C59A39EF1810B8E93696</t>
        </is>
      </c>
      <c r="AZ55" s="610" t="inlineStr"/>
    </row>
    <row r="56">
      <c r="A56" s="610" t="inlineStr">
        <is>
          <t>CHNPRFMEAI23S000</t>
        </is>
      </c>
      <c r="B56" s="610" t="inlineStr">
        <is>
          <t>Instrument</t>
        </is>
      </c>
      <c r="C56" s="610" t="inlineStr">
        <is>
          <t>Performance standard</t>
        </is>
      </c>
      <c r="D56" s="610" t="inlineStr">
        <is>
          <t>Minimum Energy Performance Standards (MEPS) for electric appliances</t>
        </is>
      </c>
      <c r="E56" s="610" t="inlineStr">
        <is>
          <t>Buildings</t>
        </is>
      </c>
      <c r="F56" s="610" t="inlineStr">
        <is>
          <t>Household appliances; Ventilation equipment</t>
        </is>
      </c>
      <c r="G56" s="610" t="inlineStr">
        <is>
          <t>吸油烟机与换气扇能效限定值及能效等级</t>
        </is>
      </c>
      <c r="H56" s="610" t="inlineStr">
        <is>
          <t>Minimum Allowable Values of Energy Efficiency and Energy Efficiency Grades for Range Hoods and Ventilation Fans</t>
        </is>
      </c>
      <c r="I56" s="610" t="inlineStr">
        <is>
          <t>N/A</t>
        </is>
      </c>
      <c r="J56" s="610"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610" t="inlineStr">
        <is>
          <t>Energy efficiency</t>
        </is>
      </c>
      <c r="L56" s="610" t="inlineStr">
        <is>
          <t>Direct</t>
        </is>
      </c>
      <c r="M56" s="610" t="inlineStr">
        <is>
          <t>national</t>
        </is>
      </c>
      <c r="N56" s="610" t="inlineStr">
        <is>
          <t>N/A</t>
        </is>
      </c>
      <c r="O56" s="610" t="inlineStr">
        <is>
          <t>10/10/2013</t>
        </is>
      </c>
      <c r="P56" s="610" t="inlineStr">
        <is>
          <t>01/09/2014</t>
        </is>
      </c>
      <c r="Q56" s="610" t="inlineStr">
        <is>
          <t>N/A</t>
        </is>
      </c>
      <c r="R56" s="610" t="inlineStr">
        <is>
          <t>31/10/2025</t>
        </is>
      </c>
      <c r="S56" s="610"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T56" s="610">
        <f>IF(P56="","In force",IF(P56="N/A","In force",IF(TODAY()&lt;DATE(VALUE(RIGHT(P56,4)),VALUE(MID(P56,4,2)),VALUE(LEFT(P56,2))),"Scheduled",IF(Q56="","In force",IF(Q56="N/A","In force",IF(TODAY()&lt;DATE(VALUE(RIGHT(Q56,4)),VALUE(MID(Q56,4,2)),VALUE(LEFT(Q56,2))),"In force","Ended"))))))</f>
        <v/>
      </c>
      <c r="U56" s="610" t="inlineStr">
        <is>
          <t>State Administration for Market Regulation; Standardization Administration of China</t>
        </is>
      </c>
      <c r="V56" s="610" t="inlineStr">
        <is>
          <t>Range hoods and ventilation fans</t>
        </is>
      </c>
      <c r="W56" s="610" t="inlineStr">
        <is>
          <t>new</t>
        </is>
      </c>
      <c r="X56" s="610" t="inlineStr">
        <is>
          <t>Household and similar range hoods (excluding downdraft range hoods); household and similar ventilation fans (including louvred, duct-type and wall-mounted types).</t>
        </is>
      </c>
      <c r="Y56" s="610" t="inlineStr">
        <is>
          <t>N/A</t>
        </is>
      </c>
      <c r="Z56" s="610" t="inlineStr">
        <is>
          <t>N/A</t>
        </is>
      </c>
      <c r="AA56" s="610" t="inlineStr">
        <is>
          <t>Firms</t>
        </is>
      </c>
      <c r="AB56" s="610" t="inlineStr">
        <is>
          <t>Manufacturers and importers producing, importing or selling range hood and ventilation fan products within China.</t>
        </is>
      </c>
      <c r="AC56" s="610" t="inlineStr">
        <is>
          <t>Production; Sale; Import</t>
        </is>
      </c>
      <c r="AD56" s="610" t="inlineStr">
        <is>
          <t>Production, import and sale of range hood and ventilation fan products. Products must meet the standard's minimum allowable energy efficiency values before they can enter the market.</t>
        </is>
      </c>
      <c r="AE56" s="610" t="inlineStr">
        <is>
          <t>Grade 3</t>
        </is>
      </c>
      <c r="AF56" s="610" t="inlineStr">
        <is>
          <t>Energy efficiency grade</t>
        </is>
      </c>
      <c r="AG56" s="610"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H56" s="610"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6" s="610" t="inlineStr">
        <is>
          <t>N/A</t>
        </is>
      </c>
      <c r="AJ56" s="610" t="inlineStr">
        <is>
          <t>N/A</t>
        </is>
      </c>
      <c r="AK56" s="610" t="inlineStr">
        <is>
          <t>Inspections or audits conducted by government authorities or third parties</t>
        </is>
      </c>
      <c r="AL56" s="610"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M56" s="610" t="inlineStr">
        <is>
          <t>Compliance order; Monetary penalties</t>
        </is>
      </c>
      <c r="AN56" s="610"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O56" s="610" t="inlineStr">
        <is>
          <t>The state encourages production and use of Grade 1 and Grade 2 high-efficiency range hoods and ventilation fans; promotes market uptake through energy-saving product certification.</t>
        </is>
      </c>
      <c r="AP56" s="610" t="inlineStr">
        <is>
          <t>The state encourages production and use of Grade 1 and Grade 2 high-efficiency range hoods and ventilation fans; promotes market uptake through energy-saving product certification.</t>
        </is>
      </c>
      <c r="AQ56" s="610" t="inlineStr">
        <is>
          <t>N/A</t>
        </is>
      </c>
      <c r="AR56" s="610" t="inlineStr">
        <is>
          <t>N/A</t>
        </is>
      </c>
      <c r="AS56" s="610" t="inlineStr">
        <is>
          <t>C27</t>
        </is>
      </c>
      <c r="AT56" s="610" t="inlineStr">
        <is>
          <t>CO2</t>
        </is>
      </c>
      <c r="AU56" s="610" t="inlineStr">
        <is>
          <t>Positive</t>
        </is>
      </c>
      <c r="AV56" s="610" t="inlineStr">
        <is>
          <t>Energy conservation; Industrial development</t>
        </is>
      </c>
      <c r="AW56" s="610" t="inlineStr">
        <is>
          <t>GB 29539-2025 Minimum Allowable Values of Energy Efficiency and Energy Efficiency Grades for Range Hoods and Ventilation Fans</t>
        </is>
      </c>
      <c r="AX56" s="610" t="inlineStr">
        <is>
          <t>https://openstd.samr.gov.cn/bzgk/std/newGbInfo?hcno=AAC859296FADDD2959B66CDEE9E20526</t>
        </is>
      </c>
      <c r="AY56" s="610" t="inlineStr">
        <is>
          <t>GB 29539-2013 (superseded): https://openstd.samr.gov.cn/bzgk/std/newGbInfo?hcno=6F9F468CF2C121BD728FCA3A1FDEA35A; GB 32049-2015 (superseded): https://openstd.samr.gov.cn/bzgk/std/newGbInfo?hcno=9FF0CB8743441E1CA05DBACA00360B24</t>
        </is>
      </c>
      <c r="AZ56" s="610" t="inlineStr"/>
    </row>
    <row r="57">
      <c r="A57" s="610" t="inlineStr">
        <is>
          <t>CHNPRFMEAI24S000</t>
        </is>
      </c>
      <c r="B57" s="610" t="inlineStr">
        <is>
          <t>Instrument</t>
        </is>
      </c>
      <c r="C57" s="610" t="inlineStr">
        <is>
          <t>Performance standard</t>
        </is>
      </c>
      <c r="D57" s="610" t="inlineStr">
        <is>
          <t>Minimum Energy Performance Standards (MEPS) for electric appliances</t>
        </is>
      </c>
      <c r="E57" s="610" t="inlineStr">
        <is>
          <t>Buildings</t>
        </is>
      </c>
      <c r="F57" s="610" t="inlineStr">
        <is>
          <t>Household appliances</t>
        </is>
      </c>
      <c r="G57" s="610" t="inlineStr">
        <is>
          <t>饮水机能效限定值及能效等级</t>
        </is>
      </c>
      <c r="H57" s="610" t="inlineStr">
        <is>
          <t>Minimum Allowable Values of Energy Efficiency and Energy Efficiency Grades for Drinking Water Dispensers</t>
        </is>
      </c>
      <c r="I57" s="610" t="inlineStr">
        <is>
          <t>N/A</t>
        </is>
      </c>
      <c r="J57" s="610"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610" t="inlineStr">
        <is>
          <t>Energy efficiency</t>
        </is>
      </c>
      <c r="L57" s="610" t="inlineStr">
        <is>
          <t>Direct</t>
        </is>
      </c>
      <c r="M57" s="610" t="inlineStr">
        <is>
          <t>national</t>
        </is>
      </c>
      <c r="N57" s="610" t="inlineStr">
        <is>
          <t>N/A</t>
        </is>
      </c>
      <c r="O57" s="610" t="inlineStr">
        <is>
          <t>24/07/2014</t>
        </is>
      </c>
      <c r="P57" s="610" t="inlineStr">
        <is>
          <t>01/06/2015</t>
        </is>
      </c>
      <c r="Q57" s="610" t="inlineStr">
        <is>
          <t>N/A</t>
        </is>
      </c>
      <c r="R57" s="610" t="inlineStr">
        <is>
          <t>N/A</t>
        </is>
      </c>
      <c r="S57" s="610" t="inlineStr">
        <is>
          <t>N/A</t>
        </is>
      </c>
      <c r="T57" s="610">
        <f>IF(P57="","In force",IF(P57="N/A","In force",IF(TODAY()&lt;DATE(VALUE(RIGHT(P57,4)),VALUE(MID(P57,4,2)),VALUE(LEFT(P57,2))),"Scheduled",IF(Q57="","In force",IF(Q57="N/A","In force",IF(TODAY()&lt;DATE(VALUE(RIGHT(Q57,4)),VALUE(MID(Q57,4,2)),VALUE(LEFT(Q57,2))),"In force","Ended"))))))</f>
        <v/>
      </c>
      <c r="U57" s="610" t="inlineStr">
        <is>
          <t>State Administration for Market Regulation; Standardization Administration of China</t>
        </is>
      </c>
      <c r="V57" s="610" t="inlineStr">
        <is>
          <t>Drinking water dispensers</t>
        </is>
      </c>
      <c r="W57" s="610" t="inlineStr">
        <is>
          <t>new</t>
        </is>
      </c>
      <c r="X57" s="610" t="inlineStr">
        <is>
          <t>Household and similar drinking water dispensers with rated voltage not exceeding 250 V, including warm-water and hot-cold types.</t>
        </is>
      </c>
      <c r="Y57" s="610" t="inlineStr">
        <is>
          <t>N/A</t>
        </is>
      </c>
      <c r="Z57" s="610" t="inlineStr">
        <is>
          <t>N/A</t>
        </is>
      </c>
      <c r="AA57" s="610" t="inlineStr">
        <is>
          <t>Firms</t>
        </is>
      </c>
      <c r="AB57" s="610" t="inlineStr">
        <is>
          <t>Manufacturers and importers producing, importing or selling drinking water dispenser products within China.</t>
        </is>
      </c>
      <c r="AC57" s="610" t="inlineStr">
        <is>
          <t>Production; Sale; Import</t>
        </is>
      </c>
      <c r="AD57" s="610" t="inlineStr">
        <is>
          <t>Production, import and sale of drinking water dispenser products. Products must meet the standard's minimum allowable energy efficiency values before they can enter the market.</t>
        </is>
      </c>
      <c r="AE57" s="610" t="inlineStr">
        <is>
          <t>Grade 5</t>
        </is>
      </c>
      <c r="AF57" s="610" t="inlineStr">
        <is>
          <t>Energy efficiency grade</t>
        </is>
      </c>
      <c r="AG57" s="610"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H57" s="610"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I57" s="610" t="inlineStr">
        <is>
          <t>N/A</t>
        </is>
      </c>
      <c r="AJ57" s="610" t="inlineStr">
        <is>
          <t>N/A</t>
        </is>
      </c>
      <c r="AK57" s="610" t="inlineStr">
        <is>
          <t>Inspections or audits conducted by government authorities or third parties</t>
        </is>
      </c>
      <c r="AL57" s="610"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M57" s="610" t="inlineStr">
        <is>
          <t>Compliance order; Monetary penalties</t>
        </is>
      </c>
      <c r="AN57" s="610" t="inlineStr">
        <is>
          <t>For production, import or sale of drinking water dispenser products not conforming to the mandatory energy efficiency standard, market regulatory authorities shall order cessation of production, import and sale, confiscate illegal gains and impose fines.</t>
        </is>
      </c>
      <c r="AO57" s="610" t="inlineStr">
        <is>
          <t>The state encourages production and use of Grade 1 and Grade 2 high-efficiency drinking water dispensers; promotes market uptake through energy-saving product certification.</t>
        </is>
      </c>
      <c r="AP57" s="610" t="inlineStr">
        <is>
          <t>The state encourages production and use of Grade 1 and Grade 2 high-efficiency drinking water dispensers; promotes market uptake through energy-saving product certification.</t>
        </is>
      </c>
      <c r="AQ57" s="610" t="inlineStr">
        <is>
          <t>N/A</t>
        </is>
      </c>
      <c r="AR57" s="610" t="inlineStr">
        <is>
          <t>N/A</t>
        </is>
      </c>
      <c r="AS57" s="610" t="inlineStr">
        <is>
          <t>C27</t>
        </is>
      </c>
      <c r="AT57" s="610" t="inlineStr">
        <is>
          <t>CO2</t>
        </is>
      </c>
      <c r="AU57" s="610" t="inlineStr">
        <is>
          <t>Positive</t>
        </is>
      </c>
      <c r="AV57" s="610" t="inlineStr">
        <is>
          <t>Energy conservation; Industrial development</t>
        </is>
      </c>
      <c r="AW57" s="610" t="inlineStr">
        <is>
          <t>GB 30978-2014 Minimum Allowable Values of Energy Efficiency and Energy Efficiency Grades for Drinking Water Dispensers</t>
        </is>
      </c>
      <c r="AX57" s="610" t="inlineStr">
        <is>
          <t>https://openstd.samr.gov.cn/bzgk/gb/newGbInfo?hcno=314252B211BA126C738CCA0F0993191C</t>
        </is>
      </c>
      <c r="AY57" s="610" t="inlineStr">
        <is>
          <t>N/A</t>
        </is>
      </c>
      <c r="AZ57" s="610" t="inlineStr"/>
    </row>
    <row r="58">
      <c r="A58" s="610" t="inlineStr">
        <is>
          <t>CHNPRFMEAI25S000</t>
        </is>
      </c>
      <c r="B58" s="610" t="inlineStr">
        <is>
          <t>Instrument</t>
        </is>
      </c>
      <c r="C58" s="610" t="inlineStr">
        <is>
          <t>Performance standard</t>
        </is>
      </c>
      <c r="D58" s="610" t="inlineStr">
        <is>
          <t>Minimum Energy Performance Standards (MEPS) for electric appliances</t>
        </is>
      </c>
      <c r="E58" s="610" t="inlineStr">
        <is>
          <t>Buildings</t>
        </is>
      </c>
      <c r="F58" s="610" t="inlineStr">
        <is>
          <t>Office equipment; Electronic equipment</t>
        </is>
      </c>
      <c r="G58" s="610" t="inlineStr">
        <is>
          <t>复印机、打印机和传真机能效限定值及能效等级</t>
        </is>
      </c>
      <c r="H58" s="610" t="inlineStr">
        <is>
          <t>Minimum Allowable Values of Energy Efficiency and Energy Efficiency Grades for Copiers, Printers and Fax Machines</t>
        </is>
      </c>
      <c r="I58" s="610" t="inlineStr">
        <is>
          <t>N/A</t>
        </is>
      </c>
      <c r="J58" s="610"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610" t="inlineStr">
        <is>
          <t>Energy efficiency</t>
        </is>
      </c>
      <c r="L58" s="610" t="inlineStr">
        <is>
          <t>Direct</t>
        </is>
      </c>
      <c r="M58" s="610" t="inlineStr">
        <is>
          <t>national</t>
        </is>
      </c>
      <c r="N58" s="610" t="inlineStr">
        <is>
          <t>N/A</t>
        </is>
      </c>
      <c r="O58" s="610" t="inlineStr">
        <is>
          <t>16/04/2008</t>
        </is>
      </c>
      <c r="P58" s="610" t="inlineStr">
        <is>
          <t>01/11/2008</t>
        </is>
      </c>
      <c r="Q58" s="610" t="inlineStr">
        <is>
          <t>N/A</t>
        </is>
      </c>
      <c r="R58" s="610" t="inlineStr">
        <is>
          <t>28/04/2014</t>
        </is>
      </c>
      <c r="S58" s="610" t="inlineStr">
        <is>
          <t>On 28 April 2014, GB 21521-2014 was published, replacing GB 21521-2008, adding definitions and requirements for LED/laser hybrid light source and variable-speed products, and raising energy efficiency values across all grades.</t>
        </is>
      </c>
      <c r="T58" s="610">
        <f>IF(P58="","In force",IF(P58="N/A","In force",IF(TODAY()&lt;DATE(VALUE(RIGHT(P58,4)),VALUE(MID(P58,4,2)),VALUE(LEFT(P58,2))),"Scheduled",IF(Q58="","In force",IF(Q58="N/A","In force",IF(TODAY()&lt;DATE(VALUE(RIGHT(Q58,4)),VALUE(MID(Q58,4,2)),VALUE(LEFT(Q58,2))),"In force","Ended"))))))</f>
        <v/>
      </c>
      <c r="U58" s="610" t="inlineStr">
        <is>
          <t>State Administration for Market Regulation; Standardization Administration of China</t>
        </is>
      </c>
      <c r="V58" s="610" t="inlineStr">
        <is>
          <t>Copiers, printers and fax machines</t>
        </is>
      </c>
      <c r="W58" s="610" t="inlineStr">
        <is>
          <t>new</t>
        </is>
      </c>
      <c r="X58" s="610"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Y58" s="610" t="inlineStr">
        <is>
          <t>N/A</t>
        </is>
      </c>
      <c r="Z58" s="610" t="inlineStr">
        <is>
          <t>N/A</t>
        </is>
      </c>
      <c r="AA58" s="610" t="inlineStr">
        <is>
          <t>Firms</t>
        </is>
      </c>
      <c r="AB58" s="610" t="inlineStr">
        <is>
          <t>Manufacturers and importers producing, importing or selling copier, printer and fax machine products within China.</t>
        </is>
      </c>
      <c r="AC58" s="610" t="inlineStr">
        <is>
          <t>Production; Sale; Import</t>
        </is>
      </c>
      <c r="AD58" s="610" t="inlineStr">
        <is>
          <t>Production, import and sale of copier, printer and fax machine products. Products must meet the standard's minimum allowable energy efficiency values before they can enter the market.</t>
        </is>
      </c>
      <c r="AE58" s="610" t="inlineStr">
        <is>
          <t>Grade 3</t>
        </is>
      </c>
      <c r="AF58" s="610" t="inlineStr">
        <is>
          <t>Energy efficiency grade</t>
        </is>
      </c>
      <c r="AG58" s="610"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H58" s="610"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8" s="610" t="inlineStr">
        <is>
          <t>N/A</t>
        </is>
      </c>
      <c r="AJ58" s="610" t="inlineStr">
        <is>
          <t>N/A</t>
        </is>
      </c>
      <c r="AK58" s="610" t="inlineStr">
        <is>
          <t>Inspections or audits conducted by government authorities or third parties</t>
        </is>
      </c>
      <c r="AL58" s="610"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M58" s="610" t="inlineStr">
        <is>
          <t>Compliance order; Monetary penalties</t>
        </is>
      </c>
      <c r="AN58" s="610"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O58" s="610" t="inlineStr">
        <is>
          <t>The state encourages production and use of Grade 1 and Grade 2 high-efficiency office equipment; promotes market uptake through energy-saving product certification and government green procurement.</t>
        </is>
      </c>
      <c r="AP58" s="610" t="inlineStr">
        <is>
          <t>The state encourages production and use of Grade 1 and Grade 2 high-efficiency office equipment; promotes market uptake through energy-saving product certification and government green procurement.</t>
        </is>
      </c>
      <c r="AQ58" s="610" t="inlineStr">
        <is>
          <t>N/A</t>
        </is>
      </c>
      <c r="AR58" s="610" t="inlineStr">
        <is>
          <t>N/A</t>
        </is>
      </c>
      <c r="AS58" s="610" t="inlineStr">
        <is>
          <t>C26</t>
        </is>
      </c>
      <c r="AT58" s="610" t="inlineStr">
        <is>
          <t>CO2</t>
        </is>
      </c>
      <c r="AU58" s="610" t="inlineStr">
        <is>
          <t>Positive</t>
        </is>
      </c>
      <c r="AV58" s="610" t="inlineStr">
        <is>
          <t>Energy conservation; Industrial development</t>
        </is>
      </c>
      <c r="AW58" s="610" t="inlineStr">
        <is>
          <t>GB 21521-2014 Minimum Allowable Values of Energy Efficiency and Energy Efficiency Grades for Copiers, Printers and Fax Machines</t>
        </is>
      </c>
      <c r="AX58" s="610" t="inlineStr">
        <is>
          <t>https://openstd.samr.gov.cn/bzgk/std/newGbInfo?hcno=3A6EE361E067ADB7CC7FACA0AB38F26B</t>
        </is>
      </c>
      <c r="AY58" s="610" t="inlineStr">
        <is>
          <t>GB 21521-2008 (superseded): https://std.samr.gov.cn/gb/search/gbDetailed?id=71F772D7ED11D3A7E05397BE0A0AB82A; GB 25956-2010 (superseded): https://openstd.samr.gov.cn/bzgk/std/newGbInfo?hcno=942583C0B242AE0EA3C02D18553519F4</t>
        </is>
      </c>
      <c r="AZ58" s="610" t="inlineStr"/>
    </row>
    <row r="59">
      <c r="A59" s="610" t="inlineStr">
        <is>
          <t>CHNPRFMEAI26S000</t>
        </is>
      </c>
      <c r="B59" s="610" t="inlineStr">
        <is>
          <t>Instrument</t>
        </is>
      </c>
      <c r="C59" s="610" t="inlineStr">
        <is>
          <t>Performance standard</t>
        </is>
      </c>
      <c r="D59" s="610" t="inlineStr">
        <is>
          <t>Minimum Energy Performance Standards (MEPS) for electric appliances</t>
        </is>
      </c>
      <c r="E59" s="610" t="inlineStr">
        <is>
          <t>Industry</t>
        </is>
      </c>
      <c r="F59" s="610" t="inlineStr">
        <is>
          <t>Electronic equipment; Power electronics</t>
        </is>
      </c>
      <c r="G59" s="610" t="inlineStr">
        <is>
          <t>电源能效限定值及能效等级</t>
        </is>
      </c>
      <c r="H59" s="610" t="inlineStr">
        <is>
          <t>Minimum Allowable Values of Energy Efficiency and Energy Efficiency Grades for Power Supplies</t>
        </is>
      </c>
      <c r="I59" s="610" t="inlineStr">
        <is>
          <t>N/A</t>
        </is>
      </c>
      <c r="J59" s="610"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610" t="inlineStr">
        <is>
          <t>Energy efficiency</t>
        </is>
      </c>
      <c r="L59" s="610" t="inlineStr">
        <is>
          <t>Direct</t>
        </is>
      </c>
      <c r="M59" s="610" t="inlineStr">
        <is>
          <t>national</t>
        </is>
      </c>
      <c r="N59" s="610" t="inlineStr">
        <is>
          <t>N/A</t>
        </is>
      </c>
      <c r="O59" s="610" t="inlineStr">
        <is>
          <t>24/10/2007</t>
        </is>
      </c>
      <c r="P59" s="610" t="inlineStr">
        <is>
          <t>01/05/2008</t>
        </is>
      </c>
      <c r="Q59" s="610" t="inlineStr">
        <is>
          <t>N/A</t>
        </is>
      </c>
      <c r="R59" s="610" t="inlineStr">
        <is>
          <t>24/01/2025</t>
        </is>
      </c>
      <c r="S59" s="610" t="inlineStr">
        <is>
          <t>On 24 January 2025, GB 20943-2025 was published, replacing GB 20943-2013, significantly expanding the scope to include built-in power supplies (PC, server, industrial), and adding power factor requirements.</t>
        </is>
      </c>
      <c r="T59" s="610">
        <f>IF(P59="","In force",IF(P59="N/A","In force",IF(TODAY()&lt;DATE(VALUE(RIGHT(P59,4)),VALUE(MID(P59,4,2)),VALUE(LEFT(P59,2))),"Scheduled",IF(Q59="","In force",IF(Q59="N/A","In force",IF(TODAY()&lt;DATE(VALUE(RIGHT(Q59,4)),VALUE(MID(Q59,4,2)),VALUE(LEFT(Q59,2))),"In force","Ended"))))))</f>
        <v/>
      </c>
      <c r="U59" s="610" t="inlineStr">
        <is>
          <t>State Administration for Market Regulation; Standardization Administration of China</t>
        </is>
      </c>
      <c r="V59" s="610" t="inlineStr">
        <is>
          <t>Power supplies</t>
        </is>
      </c>
      <c r="W59" s="610" t="inlineStr">
        <is>
          <t>new</t>
        </is>
      </c>
      <c r="X59" s="610" t="inlineStr">
        <is>
          <t>External power supplies with rated output power not exceeding 250 W (including AC-DC and DC-DC); built-in power supplies (including PC built-in power supplies, server built-in power supplies, and industrial power supplies).</t>
        </is>
      </c>
      <c r="Y59" s="610" t="inlineStr">
        <is>
          <t>N/A</t>
        </is>
      </c>
      <c r="Z59" s="610" t="inlineStr">
        <is>
          <t>N/A</t>
        </is>
      </c>
      <c r="AA59" s="610" t="inlineStr">
        <is>
          <t>Firms</t>
        </is>
      </c>
      <c r="AB59" s="610" t="inlineStr">
        <is>
          <t>Manufacturers and importers producing, importing or selling power supply products within China.</t>
        </is>
      </c>
      <c r="AC59" s="610" t="inlineStr">
        <is>
          <t>Production; Sale; Import</t>
        </is>
      </c>
      <c r="AD59" s="610" t="inlineStr">
        <is>
          <t>Production, import and sale of power supply products. Products must meet the standard's minimum allowable energy efficiency values before they can enter the market.</t>
        </is>
      </c>
      <c r="AE59" s="610" t="inlineStr">
        <is>
          <t>Grade 3</t>
        </is>
      </c>
      <c r="AF59" s="610" t="inlineStr">
        <is>
          <t>Energy efficiency grade</t>
        </is>
      </c>
      <c r="AG59" s="610"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H59" s="610"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9" s="610" t="inlineStr">
        <is>
          <t>N/A</t>
        </is>
      </c>
      <c r="AJ59" s="610" t="inlineStr">
        <is>
          <t>N/A</t>
        </is>
      </c>
      <c r="AK59" s="610" t="inlineStr">
        <is>
          <t>Inspections or audits conducted by government authorities or third parties</t>
        </is>
      </c>
      <c r="AL59" s="610"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M59" s="610" t="inlineStr">
        <is>
          <t>Compliance order; Monetary penalties</t>
        </is>
      </c>
      <c r="AN59" s="610" t="inlineStr">
        <is>
          <t>For production, import or sale of power supply products not conforming to the mandatory energy efficiency standard, market regulatory authorities shall order cessation of production, import and sale, confiscate illegal gains and impose fines.</t>
        </is>
      </c>
      <c r="AO59" s="610" t="inlineStr">
        <is>
          <t>The state encourages production and use of Grade 1 and Grade 2 high-efficiency power supply products; promotes market uptake through energy-saving product certification and government green procurement.</t>
        </is>
      </c>
      <c r="AP59" s="610" t="inlineStr">
        <is>
          <t>The state encourages production and use of Grade 1 and Grade 2 high-efficiency power supply products; promotes market uptake through energy-saving product certification and government green procurement.</t>
        </is>
      </c>
      <c r="AQ59" s="610" t="inlineStr">
        <is>
          <t>N/A</t>
        </is>
      </c>
      <c r="AR59" s="610" t="inlineStr">
        <is>
          <t>N/A</t>
        </is>
      </c>
      <c r="AS59" s="610" t="inlineStr">
        <is>
          <t>C26; C27</t>
        </is>
      </c>
      <c r="AT59" s="610" t="inlineStr">
        <is>
          <t>CO2</t>
        </is>
      </c>
      <c r="AU59" s="610" t="inlineStr">
        <is>
          <t>Positive</t>
        </is>
      </c>
      <c r="AV59" s="610" t="inlineStr">
        <is>
          <t>Energy conservation; Industrial development</t>
        </is>
      </c>
      <c r="AW59" s="610" t="inlineStr">
        <is>
          <t>GB 20943-2025 Minimum Allowable Values of Energy Efficiency and Energy Efficiency Grades for Power Supplies</t>
        </is>
      </c>
      <c r="AX59" s="610" t="inlineStr">
        <is>
          <t>https://openstd.samr.gov.cn/bzgk/std/newGbInfo?hcno=8105E9E58B8B8BDB5DF9D96119B1C60A</t>
        </is>
      </c>
      <c r="AY59" s="610" t="inlineStr">
        <is>
          <t>GB 20943-2013 (superseded): https://openstd.samr.gov.cn/bzgk/std/newGbInfo?hcno=73B6BEDF79049F8000906E7BEBA6A0FC</t>
        </is>
      </c>
      <c r="AZ59" s="610" t="inlineStr"/>
    </row>
    <row r="60">
      <c r="A60" s="610" t="inlineStr">
        <is>
          <t>CHNPRFMEAI27S000</t>
        </is>
      </c>
      <c r="B60" s="610" t="inlineStr">
        <is>
          <t>Instrument</t>
        </is>
      </c>
      <c r="C60" s="610" t="inlineStr">
        <is>
          <t>Performance standard</t>
        </is>
      </c>
      <c r="D60" s="610" t="inlineStr">
        <is>
          <t>Minimum Energy Performance Standards (MEPS) for electric appliances</t>
        </is>
      </c>
      <c r="E60" s="610" t="inlineStr">
        <is>
          <t>Industry</t>
        </is>
      </c>
      <c r="F60" s="610" t="inlineStr">
        <is>
          <t>Industrial fans; General machinery</t>
        </is>
      </c>
      <c r="G60" s="610" t="inlineStr">
        <is>
          <t>鼓风机能效限定值及能效等级</t>
        </is>
      </c>
      <c r="H60" s="610" t="inlineStr">
        <is>
          <t>Minimum Allowable Values of Energy Efficiency and Energy Efficiency Grades for Blowers</t>
        </is>
      </c>
      <c r="I60" s="610" t="inlineStr">
        <is>
          <t>N/A</t>
        </is>
      </c>
      <c r="J60" s="610"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610" t="inlineStr">
        <is>
          <t>Energy efficiency</t>
        </is>
      </c>
      <c r="L60" s="610" t="inlineStr">
        <is>
          <t>Direct</t>
        </is>
      </c>
      <c r="M60" s="610" t="inlineStr">
        <is>
          <t>national</t>
        </is>
      </c>
      <c r="N60" s="610" t="inlineStr">
        <is>
          <t>N/A</t>
        </is>
      </c>
      <c r="O60" s="610" t="inlineStr">
        <is>
          <t>05/03/2012</t>
        </is>
      </c>
      <c r="P60" s="610" t="inlineStr">
        <is>
          <t>01/09/2012</t>
        </is>
      </c>
      <c r="Q60" s="610" t="inlineStr">
        <is>
          <t>N/A</t>
        </is>
      </c>
      <c r="R60" s="610" t="inlineStr">
        <is>
          <t>31/03/2026</t>
        </is>
      </c>
      <c r="S60" s="610" t="inlineStr">
        <is>
          <t>On 31 March 2026, GB 28381-2026 was published, replacing GB 28381-2012, expanding the scope to screw blowers, updating test methods, and raising energy efficiency values across all grades.</t>
        </is>
      </c>
      <c r="T60" s="610">
        <f>IF(P60="","In force",IF(P60="N/A","In force",IF(TODAY()&lt;DATE(VALUE(RIGHT(P60,4)),VALUE(MID(P60,4,2)),VALUE(LEFT(P60,2))),"Scheduled",IF(Q60="","In force",IF(Q60="N/A","In force",IF(TODAY()&lt;DATE(VALUE(RIGHT(Q60,4)),VALUE(MID(Q60,4,2)),VALUE(LEFT(Q60,2))),"In force","Ended"))))))</f>
        <v/>
      </c>
      <c r="U60" s="610" t="inlineStr">
        <is>
          <t>State Administration for Market Regulation; Standardization Administration of China</t>
        </is>
      </c>
      <c r="V60" s="610" t="inlineStr">
        <is>
          <t>Blowers</t>
        </is>
      </c>
      <c r="W60" s="610" t="inlineStr">
        <is>
          <t>new</t>
        </is>
      </c>
      <c r="X60" s="610" t="inlineStr">
        <is>
          <t>Centrifugal blowers, axial blowers, Roots blowers and screw blowers with drive motor power 1 kW to 500 kW.</t>
        </is>
      </c>
      <c r="Y60" s="610" t="inlineStr">
        <is>
          <t>N/A</t>
        </is>
      </c>
      <c r="Z60" s="610" t="inlineStr">
        <is>
          <t>N/A</t>
        </is>
      </c>
      <c r="AA60" s="610" t="inlineStr">
        <is>
          <t>Firms</t>
        </is>
      </c>
      <c r="AB60" s="610" t="inlineStr">
        <is>
          <t>Manufacturers and importers producing, importing or selling blower products within China.</t>
        </is>
      </c>
      <c r="AC60" s="610" t="inlineStr">
        <is>
          <t>Production; Sale; Import</t>
        </is>
      </c>
      <c r="AD60" s="610" t="inlineStr">
        <is>
          <t>Production, import and sale of blower products. Products must meet the standard's minimum allowable energy efficiency values before they can enter the market.</t>
        </is>
      </c>
      <c r="AE60" s="610" t="inlineStr">
        <is>
          <t>Grade 3</t>
        </is>
      </c>
      <c r="AF60" s="610" t="inlineStr">
        <is>
          <t>Energy efficiency grade</t>
        </is>
      </c>
      <c r="AG60" s="610"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H60" s="610"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0" s="610" t="inlineStr">
        <is>
          <t>N/A</t>
        </is>
      </c>
      <c r="AJ60" s="610" t="inlineStr">
        <is>
          <t>N/A</t>
        </is>
      </c>
      <c r="AK60" s="610" t="inlineStr">
        <is>
          <t>Inspections or audits conducted by government authorities or third parties</t>
        </is>
      </c>
      <c r="AL60" s="610"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M60" s="610" t="inlineStr">
        <is>
          <t>Compliance order; Monetary penalties</t>
        </is>
      </c>
      <c r="AN60" s="610" t="inlineStr">
        <is>
          <t>For production, import or sale of blower products not conforming to the mandatory energy efficiency standard, market regulatory authorities shall order cessation of production, import and sale, confiscate illegal gains and impose fines.</t>
        </is>
      </c>
      <c r="AO60" s="610" t="inlineStr">
        <is>
          <t>The state encourages production and use of Grade 1 and Grade 2 high-efficiency blowers; promotes the market uptake of high-efficiency fans through energy-saving product certification.</t>
        </is>
      </c>
      <c r="AP60" s="610" t="inlineStr">
        <is>
          <t>The state encourages production and use of Grade 1 and Grade 2 high-efficiency blowers; promotes the market uptake of high-efficiency fans through energy-saving product certification.</t>
        </is>
      </c>
      <c r="AQ60" s="610" t="inlineStr">
        <is>
          <t>N/A</t>
        </is>
      </c>
      <c r="AR60" s="610" t="inlineStr">
        <is>
          <t>N/A</t>
        </is>
      </c>
      <c r="AS60" s="610" t="inlineStr">
        <is>
          <t>C28</t>
        </is>
      </c>
      <c r="AT60" s="610" t="inlineStr">
        <is>
          <t>CO2</t>
        </is>
      </c>
      <c r="AU60" s="610" t="inlineStr">
        <is>
          <t>Positive</t>
        </is>
      </c>
      <c r="AV60" s="610" t="inlineStr">
        <is>
          <t>Energy conservation; Industrial development</t>
        </is>
      </c>
      <c r="AW60" s="610" t="inlineStr">
        <is>
          <t>GB 28381-2026 Minimum Allowable Values of Energy Efficiency and Energy Efficiency Grades for Blowers</t>
        </is>
      </c>
      <c r="AX60" s="610" t="inlineStr">
        <is>
          <t>https://openstd.samr.gov.cn/bzgk/std/newGbInfo?hcno=C4BCA78A5B5819D9BDD5885F4D6F7086</t>
        </is>
      </c>
      <c r="AY60" s="610" t="inlineStr">
        <is>
          <t>GB 28381-2012 (superseded): https://openstd.samr.gov.cn/bzgk/std/newGbInfo?hcno=23D690B79CE60B8A9C73C9549B161602</t>
        </is>
      </c>
      <c r="AZ60" s="610" t="inlineStr"/>
    </row>
    <row r="61">
      <c r="A61" s="610" t="inlineStr">
        <is>
          <t>CHNPRFMEAI28S000</t>
        </is>
      </c>
      <c r="B61" s="610" t="inlineStr">
        <is>
          <t>Instrument</t>
        </is>
      </c>
      <c r="C61" s="610" t="inlineStr">
        <is>
          <t>Performance standard</t>
        </is>
      </c>
      <c r="D61" s="610" t="inlineStr">
        <is>
          <t>Minimum Energy Performance Standards (MEPS) for electric appliances</t>
        </is>
      </c>
      <c r="E61" s="610" t="inlineStr">
        <is>
          <t>Industry</t>
        </is>
      </c>
      <c r="F61" s="610" t="inlineStr">
        <is>
          <t>Electric vehicle charging infrastructure; Power electronics</t>
        </is>
      </c>
      <c r="G61" s="610" t="inlineStr">
        <is>
          <t>电动汽车供电设备能效限定值及能效等级</t>
        </is>
      </c>
      <c r="H61" s="610" t="inlineStr">
        <is>
          <t>Minimum Allowable Values of Energy Efficiency and Energy Efficiency Grades for Electric Vehicle Supply Equipment</t>
        </is>
      </c>
      <c r="I61" s="610" t="inlineStr">
        <is>
          <t>N/A</t>
        </is>
      </c>
      <c r="J61" s="610"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610" t="inlineStr">
        <is>
          <t>Energy efficiency; Electrification</t>
        </is>
      </c>
      <c r="L61" s="610" t="inlineStr">
        <is>
          <t>Direct</t>
        </is>
      </c>
      <c r="M61" s="610" t="inlineStr">
        <is>
          <t>national</t>
        </is>
      </c>
      <c r="N61" s="610" t="inlineStr">
        <is>
          <t>N/A</t>
        </is>
      </c>
      <c r="O61" s="610" t="inlineStr">
        <is>
          <t>05/10/2025</t>
        </is>
      </c>
      <c r="P61" s="610" t="inlineStr">
        <is>
          <t>01/11/2026</t>
        </is>
      </c>
      <c r="Q61" s="610" t="inlineStr">
        <is>
          <t>N/A</t>
        </is>
      </c>
      <c r="R61" s="610" t="inlineStr">
        <is>
          <t>N/A</t>
        </is>
      </c>
      <c r="S61" s="610" t="inlineStr">
        <is>
          <t>N/A</t>
        </is>
      </c>
      <c r="T61" s="610">
        <f>IF(P61="","In force",IF(P61="N/A","In force",IF(TODAY()&lt;DATE(VALUE(RIGHT(P61,4)),VALUE(MID(P61,4,2)),VALUE(LEFT(P61,2))),"Scheduled",IF(Q61="","In force",IF(Q61="N/A","In force",IF(TODAY()&lt;DATE(VALUE(RIGHT(Q61,4)),VALUE(MID(Q61,4,2)),VALUE(LEFT(Q61,2))),"In force","Ended"))))))</f>
        <v/>
      </c>
      <c r="U61" s="610" t="inlineStr">
        <is>
          <t>State Administration for Market Regulation; Standardization Administration of China</t>
        </is>
      </c>
      <c r="V61" s="610" t="inlineStr">
        <is>
          <t>Electric vehicle supply equipment</t>
        </is>
      </c>
      <c r="W61" s="610" t="inlineStr">
        <is>
          <t>new</t>
        </is>
      </c>
      <c r="X61" s="610" t="inlineStr">
        <is>
          <t>AC charging piles, DC chargers and wireless charging equipment with rated voltage not exceeding 1 000 V AC or 1 500 V DC.</t>
        </is>
      </c>
      <c r="Y61" s="610" t="inlineStr">
        <is>
          <t>N/A</t>
        </is>
      </c>
      <c r="Z61" s="610" t="inlineStr">
        <is>
          <t>N/A</t>
        </is>
      </c>
      <c r="AA61" s="610" t="inlineStr">
        <is>
          <t>Firms</t>
        </is>
      </c>
      <c r="AB61" s="610" t="inlineStr">
        <is>
          <t>Manufacturers and importers producing, importing or selling electric vehicle supply equipment products within China.</t>
        </is>
      </c>
      <c r="AC61" s="610" t="inlineStr">
        <is>
          <t>Production; Sale; Import</t>
        </is>
      </c>
      <c r="AD61" s="610" t="inlineStr">
        <is>
          <t>Production, import and sale of electric vehicle supply equipment products. Products must meet the standard's minimum allowable energy efficiency values before they can enter the market.</t>
        </is>
      </c>
      <c r="AE61" s="610" t="inlineStr">
        <is>
          <t>Grade 3</t>
        </is>
      </c>
      <c r="AF61" s="610" t="inlineStr">
        <is>
          <t>Energy efficiency grade</t>
        </is>
      </c>
      <c r="AG61" s="610"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H61" s="610"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I61" s="610" t="inlineStr">
        <is>
          <t>N/A</t>
        </is>
      </c>
      <c r="AJ61" s="610" t="inlineStr">
        <is>
          <t>N/A</t>
        </is>
      </c>
      <c r="AK61" s="610" t="inlineStr">
        <is>
          <t>Inspections or audits conducted by government authorities or third parties</t>
        </is>
      </c>
      <c r="AL61" s="610"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M61" s="610" t="inlineStr">
        <is>
          <t>Compliance order; Monetary penalties</t>
        </is>
      </c>
      <c r="AN61" s="610"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O61" s="610" t="inlineStr">
        <is>
          <t>The state encourages production and use of Grade 1 and Grade 2 high-efficiency electric vehicle supply equipment; promotes the market uptake of high-efficiency charging equipment through energy-saving product certification and green charging infrastructure.</t>
        </is>
      </c>
      <c r="AP61" s="610" t="inlineStr">
        <is>
          <t>The state encourages production and use of Grade 1 and Grade 2 high-efficiency electric vehicle supply equipment; promotes the market uptake of high-efficiency charging equipment through energy-saving product certification and green charging infrastructure.</t>
        </is>
      </c>
      <c r="AQ61" s="610" t="inlineStr">
        <is>
          <t>N/A</t>
        </is>
      </c>
      <c r="AR61" s="610" t="inlineStr">
        <is>
          <t>N/A</t>
        </is>
      </c>
      <c r="AS61" s="610" t="inlineStr">
        <is>
          <t>C27; D35</t>
        </is>
      </c>
      <c r="AT61" s="610" t="inlineStr">
        <is>
          <t>CO2</t>
        </is>
      </c>
      <c r="AU61" s="610" t="inlineStr">
        <is>
          <t>Positive</t>
        </is>
      </c>
      <c r="AV61" s="610" t="inlineStr">
        <is>
          <t>Energy conservation; Industrial development</t>
        </is>
      </c>
      <c r="AW61" s="610" t="inlineStr">
        <is>
          <t>GB 46519-2025 Minimum Allowable Values of Energy Efficiency and Energy Efficiency Grades for Electric Vehicle Supply Equipment</t>
        </is>
      </c>
      <c r="AX61" s="610" t="inlineStr">
        <is>
          <t>https://openstd.samr.gov.cn/bzgk/std/newGbInfo?hcno=F594A2F350B2BC74B566C4FCCE7EB8C1</t>
        </is>
      </c>
      <c r="AY61" s="610" t="inlineStr">
        <is>
          <t>N/A</t>
        </is>
      </c>
      <c r="AZ61" s="610" t="inlineStr"/>
    </row>
    <row r="62">
      <c r="A62" s="610" t="inlineStr">
        <is>
          <t>CHNPRFMEAI29S000</t>
        </is>
      </c>
      <c r="B62" s="610" t="inlineStr">
        <is>
          <t>Instrument</t>
        </is>
      </c>
      <c r="C62" s="610" t="inlineStr">
        <is>
          <t>Performance standard</t>
        </is>
      </c>
      <c r="D62" s="610" t="inlineStr">
        <is>
          <t>Minimum Energy Performance Standards (MEPS) for electric appliances</t>
        </is>
      </c>
      <c r="E62" s="610" t="inlineStr">
        <is>
          <t>Industry</t>
        </is>
      </c>
      <c r="F62" s="610" t="inlineStr">
        <is>
          <t>Solar photovoltaic</t>
        </is>
      </c>
      <c r="G62" s="610" t="inlineStr">
        <is>
          <t>晶体硅光伏组件和逆变器能效限定值及能效等级</t>
        </is>
      </c>
      <c r="H62" s="610" t="inlineStr">
        <is>
          <t>Minimum Allowable Values of Energy Efficiency and Energy Efficiency Grades for Crystalline Silicon Photovoltaic Modules and Inverters</t>
        </is>
      </c>
      <c r="I62" s="610" t="inlineStr">
        <is>
          <t>N/A</t>
        </is>
      </c>
      <c r="J62" s="610"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610" t="inlineStr">
        <is>
          <t>Energy efficiency; Industrial development</t>
        </is>
      </c>
      <c r="L62" s="610" t="inlineStr">
        <is>
          <t>Direct</t>
        </is>
      </c>
      <c r="M62" s="610" t="inlineStr">
        <is>
          <t>national</t>
        </is>
      </c>
      <c r="N62" s="610" t="inlineStr">
        <is>
          <t>N/A</t>
        </is>
      </c>
      <c r="O62" s="610" t="inlineStr">
        <is>
          <t>27/06/2026</t>
        </is>
      </c>
      <c r="P62" s="610" t="inlineStr">
        <is>
          <t>01/01/2027</t>
        </is>
      </c>
      <c r="Q62" s="610" t="inlineStr">
        <is>
          <t>N/A</t>
        </is>
      </c>
      <c r="R62" s="610" t="inlineStr">
        <is>
          <t>N/A</t>
        </is>
      </c>
      <c r="S62" s="610" t="inlineStr">
        <is>
          <t>N/A</t>
        </is>
      </c>
      <c r="T62" s="610">
        <f>IF(P62="","In force",IF(P62="N/A","In force",IF(TODAY()&lt;DATE(VALUE(RIGHT(P62,4)),VALUE(MID(P62,4,2)),VALUE(LEFT(P62,2))),"Scheduled",IF(Q62="","In force",IF(Q62="N/A","In force",IF(TODAY()&lt;DATE(VALUE(RIGHT(Q62,4)),VALUE(MID(Q62,4,2)),VALUE(LEFT(Q62,2))),"In force","Ended"))))))</f>
        <v/>
      </c>
      <c r="U62" s="610" t="inlineStr">
        <is>
          <t>State Administration for Market Regulation; Standardization Administration of China</t>
        </is>
      </c>
      <c r="V62" s="610" t="inlineStr">
        <is>
          <t>Crystalline silicon photovoltaic modules and PV grid-connected inverters</t>
        </is>
      </c>
      <c r="W62" s="610" t="inlineStr">
        <is>
          <t>new</t>
        </is>
      </c>
      <c r="X62" s="610"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Y62" s="610" t="inlineStr">
        <is>
          <t>N/A</t>
        </is>
      </c>
      <c r="Z62" s="610" t="inlineStr">
        <is>
          <t>N/A</t>
        </is>
      </c>
      <c r="AA62" s="610" t="inlineStr">
        <is>
          <t>Firms</t>
        </is>
      </c>
      <c r="AB62" s="610" t="inlineStr">
        <is>
          <t>Manufacturers and importers producing, importing or selling crystalline silicon PV modules and PV grid-connected inverters within China.</t>
        </is>
      </c>
      <c r="AC62" s="610" t="inlineStr">
        <is>
          <t>Production; Sale; Import</t>
        </is>
      </c>
      <c r="AD62" s="610"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E62" s="610" t="inlineStr">
        <is>
          <t>Grade 3</t>
        </is>
      </c>
      <c r="AF62" s="610" t="inlineStr">
        <is>
          <t>Energy efficiency grade</t>
        </is>
      </c>
      <c r="AG62" s="610"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H62" s="610"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I62" s="610" t="inlineStr">
        <is>
          <t>N/A</t>
        </is>
      </c>
      <c r="AJ62" s="610" t="inlineStr">
        <is>
          <t>N/A</t>
        </is>
      </c>
      <c r="AK62" s="610" t="inlineStr">
        <is>
          <t>Government inspections</t>
        </is>
      </c>
      <c r="AL62" s="610"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M62" s="610" t="inlineStr">
        <is>
          <t>Compliance orders; Fines</t>
        </is>
      </c>
      <c r="AN62" s="610"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O62" s="610" t="inlineStr">
        <is>
          <t>Other incentives or support</t>
        </is>
      </c>
      <c r="AP62" s="610"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Q62" s="610" t="inlineStr">
        <is>
          <t>N/A</t>
        </is>
      </c>
      <c r="AR62" s="610" t="inlineStr">
        <is>
          <t>N/A</t>
        </is>
      </c>
      <c r="AS62" s="610" t="inlineStr">
        <is>
          <t>C27</t>
        </is>
      </c>
      <c r="AT62" s="610" t="inlineStr">
        <is>
          <t>CO2</t>
        </is>
      </c>
      <c r="AU62" s="610" t="inlineStr">
        <is>
          <t>Positive</t>
        </is>
      </c>
      <c r="AV62" s="610" t="inlineStr">
        <is>
          <t>Energy conservation; Technological innovation; Industrial development</t>
        </is>
      </c>
      <c r="AW62" s="610" t="inlineStr">
        <is>
          <t>GB 47834-2026 Minimum Allowable Values of Energy Efficiency and Energy Efficiency Grades for Crystalline Silicon Photovoltaic Modules and Inverters</t>
        </is>
      </c>
      <c r="AX62" s="610" t="inlineStr">
        <is>
          <t>https://openstd.samr.gov.cn/bzgk/std/newGbInfo?hcno=225627E1DC4E7B5E174A7380130B4D30</t>
        </is>
      </c>
      <c r="AY62" s="610" t="inlineStr">
        <is>
          <t>N/A</t>
        </is>
      </c>
      <c r="AZ62" s="610" t="inlineStr"/>
    </row>
    <row r="63">
      <c r="A63" s="610" t="inlineStr">
        <is>
          <t>CHNPRFMEAI30S000</t>
        </is>
      </c>
      <c r="B63" s="610" t="inlineStr">
        <is>
          <t>Instrument</t>
        </is>
      </c>
      <c r="C63" s="610" t="inlineStr">
        <is>
          <t>Performance standard</t>
        </is>
      </c>
      <c r="D63" s="610" t="inlineStr">
        <is>
          <t>Minimum Energy Performance Standards (MEPS) for electric appliances</t>
        </is>
      </c>
      <c r="E63" s="610" t="inlineStr">
        <is>
          <t>Industry; Buildings</t>
        </is>
      </c>
      <c r="F63" s="610" t="inlineStr">
        <is>
          <t>Lighting; Commercial buildings; Residential buildings; Public buildings</t>
        </is>
      </c>
      <c r="G63" s="610" t="inlineStr">
        <is>
          <t>室内照明用LED产品能效限定值及能效等级</t>
        </is>
      </c>
      <c r="H63" s="610" t="inlineStr">
        <is>
          <t>Minimum Allowable Values of Energy Efficiency and Energy Efficiency Grades for Indoor Lighting LED Products</t>
        </is>
      </c>
      <c r="I63" s="610" t="inlineStr">
        <is>
          <t>N/A</t>
        </is>
      </c>
      <c r="J63" s="610"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610" t="inlineStr">
        <is>
          <t>Energy efficiency</t>
        </is>
      </c>
      <c r="L63" s="610" t="inlineStr">
        <is>
          <t>Direct</t>
        </is>
      </c>
      <c r="M63" s="610" t="inlineStr">
        <is>
          <t>national</t>
        </is>
      </c>
      <c r="N63" s="610" t="inlineStr">
        <is>
          <t>N/A</t>
        </is>
      </c>
      <c r="O63" s="610" t="inlineStr">
        <is>
          <t>18/12/2013</t>
        </is>
      </c>
      <c r="P63" s="610" t="inlineStr">
        <is>
          <t>01/09/2014</t>
        </is>
      </c>
      <c r="Q63" s="610" t="inlineStr">
        <is>
          <t>N/A</t>
        </is>
      </c>
      <c r="R63" s="610" t="inlineStr">
        <is>
          <t>27/02/2026</t>
        </is>
      </c>
      <c r="S63" s="610"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T63" s="610">
        <f>IF(P63="","In force",IF(P63="N/A","In force",IF(TODAY()&lt;DATE(VALUE(RIGHT(P63,4)),VALUE(MID(P63,4,2)),VALUE(LEFT(P63,2))),"Scheduled",IF(Q63="","In force",IF(Q63="N/A","In force",IF(TODAY()&lt;DATE(VALUE(RIGHT(Q63,4)),VALUE(MID(Q63,4,2)),VALUE(LEFT(Q63,2))),"In force","Ended"))))))</f>
        <v/>
      </c>
      <c r="U63" s="610" t="inlineStr">
        <is>
          <t>State Administration for Market Regulation; Standardization Administration of China</t>
        </is>
      </c>
      <c r="V63" s="610" t="inlineStr">
        <is>
          <t>Indoor lighting LED products</t>
        </is>
      </c>
      <c r="W63" s="610" t="inlineStr">
        <is>
          <t>new</t>
        </is>
      </c>
      <c r="X63" s="610"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Y63" s="610" t="inlineStr">
        <is>
          <t>N/A</t>
        </is>
      </c>
      <c r="Z63" s="610" t="inlineStr">
        <is>
          <t>N/A</t>
        </is>
      </c>
      <c r="AA63" s="610" t="inlineStr">
        <is>
          <t>Firms</t>
        </is>
      </c>
      <c r="AB63" s="610" t="inlineStr">
        <is>
          <t>Manufacturers and importers producing, importing or selling indoor lighting LED products within China.</t>
        </is>
      </c>
      <c r="AC63" s="610" t="inlineStr">
        <is>
          <t>Production; Sale; Import</t>
        </is>
      </c>
      <c r="AD63" s="610" t="inlineStr">
        <is>
          <t>Production, import and sale of indoor lighting LED products. Products must meet the standard's minimum allowable energy efficiency values before they can enter the market.</t>
        </is>
      </c>
      <c r="AE63" s="610" t="inlineStr">
        <is>
          <t>Grade 3</t>
        </is>
      </c>
      <c r="AF63" s="610" t="inlineStr">
        <is>
          <t>Energy efficiency grade</t>
        </is>
      </c>
      <c r="AG63" s="610"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H63" s="610"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I63" s="610" t="inlineStr">
        <is>
          <t>N/A</t>
        </is>
      </c>
      <c r="AJ63" s="610" t="inlineStr">
        <is>
          <t>N/A</t>
        </is>
      </c>
      <c r="AK63" s="610" t="inlineStr">
        <is>
          <t>Government inspections</t>
        </is>
      </c>
      <c r="AL63" s="610"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M63" s="610" t="inlineStr">
        <is>
          <t>Compliance orders; Fines</t>
        </is>
      </c>
      <c r="AN63" s="610"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O63" s="610" t="inlineStr">
        <is>
          <t>Other incentives or support</t>
        </is>
      </c>
      <c r="AP63" s="610"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Q63" s="610" t="inlineStr">
        <is>
          <t>N/A</t>
        </is>
      </c>
      <c r="AR63" s="610" t="inlineStr">
        <is>
          <t>N/A</t>
        </is>
      </c>
      <c r="AS63" s="610" t="inlineStr">
        <is>
          <t>C27</t>
        </is>
      </c>
      <c r="AT63" s="610" t="inlineStr">
        <is>
          <t>CO2</t>
        </is>
      </c>
      <c r="AU63" s="610" t="inlineStr">
        <is>
          <t>Positive</t>
        </is>
      </c>
      <c r="AV63" s="610" t="inlineStr">
        <is>
          <t>Energy conservation; Industrial development</t>
        </is>
      </c>
      <c r="AW63" s="610" t="inlineStr">
        <is>
          <t>GB 30255-2026 Minimum Allowable Values of Energy Efficiency and Energy Efficiency Grades for Indoor Lighting LED Products</t>
        </is>
      </c>
      <c r="AX63" s="610" t="inlineStr">
        <is>
          <t>https://openstd.samr.gov.cn/bzgk/std/newGbInfo?hcno=C037214954746E0BFCE4CBE3CD779A7C</t>
        </is>
      </c>
      <c r="AY63" s="610" t="inlineStr">
        <is>
          <t>N/A</t>
        </is>
      </c>
      <c r="AZ63" s="610" t="inlineStr"/>
    </row>
    <row r="64">
      <c r="A64" s="610" t="inlineStr">
        <is>
          <t>CHNPRFMREI01S000</t>
        </is>
      </c>
      <c r="B64" s="610" t="inlineStr">
        <is>
          <t>Instrument</t>
        </is>
      </c>
      <c r="C64" s="610" t="inlineStr">
        <is>
          <t>Performance standard</t>
        </is>
      </c>
      <c r="D64" s="610" t="inlineStr">
        <is>
          <t>Minimum Energy Performance Standards (MEPS) for refrigeration equipment</t>
        </is>
      </c>
      <c r="E64" s="610" t="inlineStr">
        <is>
          <t>Industry; Buildings</t>
        </is>
      </c>
      <c r="F64" s="610" t="inlineStr">
        <is>
          <t>Food cold chain; Cold storage warehouses; Commercial refrigeration</t>
        </is>
      </c>
      <c r="G64" s="610" t="inlineStr">
        <is>
          <t>冷库（箱）和压缩冷凝机组能效限定值及能效等级</t>
        </is>
      </c>
      <c r="H64" s="610" t="inlineStr">
        <is>
          <t>Minimum Allowable Values of Energy Efficiency and Energy Efficiency Grades for Cold Storage Cabinets and Compressor-Condensing Units</t>
        </is>
      </c>
      <c r="I64" s="610" t="inlineStr">
        <is>
          <t>N/A</t>
        </is>
      </c>
      <c r="J64" s="610"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610" t="inlineStr">
        <is>
          <t>Energy efficiency</t>
        </is>
      </c>
      <c r="L64" s="610" t="inlineStr">
        <is>
          <t>Direct</t>
        </is>
      </c>
      <c r="M64" s="610" t="inlineStr">
        <is>
          <t>national</t>
        </is>
      </c>
      <c r="N64" s="610" t="inlineStr">
        <is>
          <t>N/A</t>
        </is>
      </c>
      <c r="O64" s="610" t="inlineStr">
        <is>
          <t>29/04/2024</t>
        </is>
      </c>
      <c r="P64" s="610" t="inlineStr">
        <is>
          <t>01/02/2025</t>
        </is>
      </c>
      <c r="Q64" s="610" t="inlineStr">
        <is>
          <t>N/A</t>
        </is>
      </c>
      <c r="R64" s="610" t="inlineStr">
        <is>
          <t>N/A</t>
        </is>
      </c>
      <c r="S64" s="610" t="inlineStr">
        <is>
          <t>N/A</t>
        </is>
      </c>
      <c r="T64" s="610">
        <f>IF(P64="","In force",IF(P64="N/A","In force",IF(TODAY()&lt;DATE(VALUE(RIGHT(P64,4)),VALUE(MID(P64,4,2)),VALUE(LEFT(P64,2))),"Scheduled",IF(Q64="","In force",IF(Q64="N/A","In force",IF(TODAY()&lt;DATE(VALUE(RIGHT(Q64,4)),VALUE(MID(Q64,4,2)),VALUE(LEFT(Q64,2))),"In force","Ended"))))))</f>
        <v/>
      </c>
      <c r="U64" s="610" t="inlineStr">
        <is>
          <t>State Administration for Market Regulation; Standardization Administration of China</t>
        </is>
      </c>
      <c r="V64" s="610" t="inlineStr">
        <is>
          <t>Cold storage cabinets and compressor-condensing units</t>
        </is>
      </c>
      <c r="W64" s="610" t="inlineStr">
        <is>
          <t>new</t>
        </is>
      </c>
      <c r="X64" s="610"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Y64" s="610" t="inlineStr">
        <is>
          <t>N/A</t>
        </is>
      </c>
      <c r="Z64" s="610" t="inlineStr">
        <is>
          <t>N/A</t>
        </is>
      </c>
      <c r="AA64" s="610" t="inlineStr">
        <is>
          <t>Firms</t>
        </is>
      </c>
      <c r="AB64" s="610" t="inlineStr">
        <is>
          <t>Manufacturers and importers producing, importing or selling cold storage cabinets and compressor-condensing units within China.</t>
        </is>
      </c>
      <c r="AC64" s="610" t="inlineStr">
        <is>
          <t>Production; Sale; Import</t>
        </is>
      </c>
      <c r="AD64" s="610" t="inlineStr">
        <is>
          <t>Production, import and sale of cold storage cabinets and compressor-condensing units. Products must meet the standard's minimum allowable energy efficiency values (Grade 3) before they can enter the market.</t>
        </is>
      </c>
      <c r="AE64" s="610" t="inlineStr">
        <is>
          <t>Grade 3</t>
        </is>
      </c>
      <c r="AF64" s="610" t="inlineStr">
        <is>
          <t>Energy efficiency grade</t>
        </is>
      </c>
      <c r="AG64" s="610"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H64" s="610"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4" s="610" t="inlineStr">
        <is>
          <t>N/A</t>
        </is>
      </c>
      <c r="AJ64" s="610" t="inlineStr">
        <is>
          <t>N/A</t>
        </is>
      </c>
      <c r="AK64" s="610" t="inlineStr">
        <is>
          <t>Inspections or audits conducted by government authorities or third parties</t>
        </is>
      </c>
      <c r="AL64" s="610" t="inlineStr">
        <is>
          <t>Market regulatory authorities conduct energy efficiency label supervision inspections and product quality supervision spot checks on cold storage cabinet and compressor-condensing unit products.</t>
        </is>
      </c>
      <c r="AM64" s="610" t="inlineStr">
        <is>
          <t>Compliance requirements; Testing</t>
        </is>
      </c>
      <c r="AN64" s="610"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O64" s="610"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P64" s="610"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Q64" s="610" t="inlineStr">
        <is>
          <t>N/A</t>
        </is>
      </c>
      <c r="AR64" s="610" t="inlineStr">
        <is>
          <t>N/A</t>
        </is>
      </c>
      <c r="AS64" s="610" t="inlineStr">
        <is>
          <t>C27; C28</t>
        </is>
      </c>
      <c r="AT64" s="610" t="inlineStr">
        <is>
          <t>CO2</t>
        </is>
      </c>
      <c r="AU64" s="610" t="inlineStr">
        <is>
          <t>Positive</t>
        </is>
      </c>
      <c r="AV64" s="610" t="inlineStr">
        <is>
          <t>Energy conservation; Industrial development</t>
        </is>
      </c>
      <c r="AW64" s="610" t="inlineStr">
        <is>
          <t>GB 44015-2024 Minimum Allowable Values of Energy Efficiency and Energy Efficiency Grades for Cold Storage Cabinets and Compressor-Condensing Units</t>
        </is>
      </c>
      <c r="AX64" s="610" t="inlineStr">
        <is>
          <t>https://openstd.samr.gov.cn/bzgk/std/newGbInfo?hcno=B3B732610072125E247A58FF6C2750FB</t>
        </is>
      </c>
      <c r="AY64" s="610" t="inlineStr">
        <is>
          <t>N/A</t>
        </is>
      </c>
      <c r="AZ64" s="610" t="inlineStr"/>
    </row>
    <row r="65">
      <c r="A65" s="610" t="inlineStr">
        <is>
          <t>CHNPRFMREI02S000</t>
        </is>
      </c>
      <c r="B65" s="610" t="inlineStr">
        <is>
          <t>Instrument</t>
        </is>
      </c>
      <c r="C65" s="610" t="inlineStr">
        <is>
          <t>Performance standard</t>
        </is>
      </c>
      <c r="D65" s="610" t="inlineStr">
        <is>
          <t>Minimum Energy Performance Standards (MEPS) for refrigeration equipment</t>
        </is>
      </c>
      <c r="E65" s="610" t="inlineStr">
        <is>
          <t>Buildings; Industry</t>
        </is>
      </c>
      <c r="F65" s="610" t="inlineStr">
        <is>
          <t>Commercial refrigeration; Food retail</t>
        </is>
      </c>
      <c r="G65" s="610" t="inlineStr">
        <is>
          <t>商用制冷器具能效限定值及能效等级</t>
        </is>
      </c>
      <c r="H65" s="610" t="inlineStr">
        <is>
          <t>Minimum Allowable Values of Energy Efficiency and Energy Efficiency Grades for Commercial Refrigerating Appliances</t>
        </is>
      </c>
      <c r="I65" s="610" t="inlineStr">
        <is>
          <t>N/A</t>
        </is>
      </c>
      <c r="J65" s="610"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610" t="inlineStr">
        <is>
          <t>Energy efficiency</t>
        </is>
      </c>
      <c r="L65" s="610" t="inlineStr">
        <is>
          <t>Direct</t>
        </is>
      </c>
      <c r="M65" s="610" t="inlineStr">
        <is>
          <t>national</t>
        </is>
      </c>
      <c r="N65" s="610" t="inlineStr">
        <is>
          <t>N/A</t>
        </is>
      </c>
      <c r="O65" s="610" t="inlineStr">
        <is>
          <t>01/06/2011</t>
        </is>
      </c>
      <c r="P65" s="610" t="inlineStr">
        <is>
          <t>01/01/2012</t>
        </is>
      </c>
      <c r="Q65" s="610" t="inlineStr">
        <is>
          <t>N/A</t>
        </is>
      </c>
      <c r="R65" s="610" t="inlineStr">
        <is>
          <t>29/09/2024</t>
        </is>
      </c>
      <c r="S65" s="610"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T65" s="610">
        <f>IF(P65="","In force",IF(P65="N/A","In force",IF(TODAY()&lt;DATE(VALUE(RIGHT(P65,4)),VALUE(MID(P65,4,2)),VALUE(LEFT(P65,2))),"Scheduled",IF(Q65="","In force",IF(Q65="N/A","In force",IF(TODAY()&lt;DATE(VALUE(RIGHT(Q65,4)),VALUE(MID(Q65,4,2)),VALUE(LEFT(Q65,2))),"In force","Ended"))))))</f>
        <v/>
      </c>
      <c r="U65" s="610" t="inlineStr">
        <is>
          <t>State Administration for Market Regulation; Standardization Administration of China</t>
        </is>
      </c>
      <c r="V65" s="610" t="inlineStr">
        <is>
          <t>Commercial refrigerating appliances</t>
        </is>
      </c>
      <c r="W65" s="610" t="inlineStr">
        <is>
          <t>new</t>
        </is>
      </c>
      <c r="X65" s="610"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Y65" s="610" t="inlineStr">
        <is>
          <t>N/A</t>
        </is>
      </c>
      <c r="Z65" s="610" t="inlineStr">
        <is>
          <t>N/A</t>
        </is>
      </c>
      <c r="AA65" s="610" t="inlineStr">
        <is>
          <t>Firms</t>
        </is>
      </c>
      <c r="AB65" s="610" t="inlineStr">
        <is>
          <t>Manufacturers and importers producing, importing or selling commercial refrigerating appliances within China.</t>
        </is>
      </c>
      <c r="AC65" s="610" t="inlineStr">
        <is>
          <t>Production; Sale; Import</t>
        </is>
      </c>
      <c r="AD65" s="610" t="inlineStr">
        <is>
          <t>Production, import and sale of commercial refrigerating appliances. Products must meet the standard's minimum allowable energy efficiency values (Grade 3) before they can enter the market.</t>
        </is>
      </c>
      <c r="AE65" s="610" t="inlineStr">
        <is>
          <t>Grade 3</t>
        </is>
      </c>
      <c r="AF65" s="610" t="inlineStr">
        <is>
          <t>Energy efficiency grade</t>
        </is>
      </c>
      <c r="AG65" s="610"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H65" s="610"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5" s="610" t="inlineStr">
        <is>
          <t>N/A</t>
        </is>
      </c>
      <c r="AJ65" s="610" t="inlineStr">
        <is>
          <t>N/A</t>
        </is>
      </c>
      <c r="AK65" s="610" t="inlineStr">
        <is>
          <t>Inspections or audits conducted by government authorities or third parties</t>
        </is>
      </c>
      <c r="AL65" s="610" t="inlineStr">
        <is>
          <t>Market regulatory authorities conduct energy efficiency label supervision inspections and product quality supervision spot checks on commercial refrigerating appliance products.</t>
        </is>
      </c>
      <c r="AM65" s="610" t="inlineStr">
        <is>
          <t>Compliance requirements; Testing</t>
        </is>
      </c>
      <c r="AN65" s="610"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O65" s="610"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P65" s="610"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Q65" s="610" t="inlineStr">
        <is>
          <t>N/A</t>
        </is>
      </c>
      <c r="AR65" s="610" t="inlineStr">
        <is>
          <t>N/A</t>
        </is>
      </c>
      <c r="AS65" s="610" t="inlineStr">
        <is>
          <t>C27; C28</t>
        </is>
      </c>
      <c r="AT65" s="610" t="inlineStr">
        <is>
          <t>CO2</t>
        </is>
      </c>
      <c r="AU65" s="610" t="inlineStr">
        <is>
          <t>Positive</t>
        </is>
      </c>
      <c r="AV65" s="610" t="inlineStr">
        <is>
          <t>Energy conservation; Pollution control; Industrial development</t>
        </is>
      </c>
      <c r="AW65" s="610" t="inlineStr">
        <is>
          <t>GB 26920-2024 Minimum Allowable Values of Energy Efficiency and Energy Efficiency Grades for Commercial Refrigerating Appliances</t>
        </is>
      </c>
      <c r="AX65" s="610" t="inlineStr">
        <is>
          <t>https://openstd.samr.gov.cn/bzgk/std/newGbInfo?hcno=D31D3F0141DC29FC6A4FFA51B09CAF0C</t>
        </is>
      </c>
      <c r="AY65" s="610" t="inlineStr">
        <is>
          <t>GB 26920.3-2019 (superseded): https://openstd.samr.gov.cn/bzgk/std/newGbInfo?hcno=F47A3F40107AD767BF38BB5A0033437F</t>
        </is>
      </c>
      <c r="AZ65" s="610" t="inlineStr"/>
    </row>
    <row r="66">
      <c r="A66" s="610" t="inlineStr">
        <is>
          <t>CHNPRFEILI01S000</t>
        </is>
      </c>
      <c r="B66" s="610" t="inlineStr">
        <is>
          <t>Instrument</t>
        </is>
      </c>
      <c r="C66" s="610" t="inlineStr">
        <is>
          <t>Performance standard</t>
        </is>
      </c>
      <c r="D66" s="610" t="inlineStr">
        <is>
          <t>Energy intensity limit for industrial production</t>
        </is>
      </c>
      <c r="E66" s="610" t="inlineStr">
        <is>
          <t>Industry</t>
        </is>
      </c>
      <c r="F66" s="610"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610" t="inlineStr">
        <is>
          <t>工业重点领域能效标杆水平和基准水平</t>
        </is>
      </c>
      <c r="H66" s="610" t="inlineStr">
        <is>
          <t>Energy Efficiency Benchmark and Baseline Levels for Key Industrial Sectors</t>
        </is>
      </c>
      <c r="I66" s="610" t="inlineStr">
        <is>
          <t>N/A</t>
        </is>
      </c>
      <c r="J66" s="610"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610" t="inlineStr">
        <is>
          <t>Energy efficiency; Climate change mitigation; Industrial development</t>
        </is>
      </c>
      <c r="L66" s="610" t="inlineStr">
        <is>
          <t>Direct</t>
        </is>
      </c>
      <c r="M66" s="610" t="inlineStr">
        <is>
          <t>national</t>
        </is>
      </c>
      <c r="N66" s="610" t="inlineStr">
        <is>
          <t>N/A</t>
        </is>
      </c>
      <c r="O66" s="610" t="inlineStr">
        <is>
          <t>15/11/2021</t>
        </is>
      </c>
      <c r="P66" s="610" t="inlineStr">
        <is>
          <t>01/01/2022</t>
        </is>
      </c>
      <c r="Q66" s="610" t="inlineStr">
        <is>
          <t>N/A</t>
        </is>
      </c>
      <c r="R66" s="610" t="inlineStr">
        <is>
          <t>04/07/2023</t>
        </is>
      </c>
      <c r="S66" s="610"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T66" s="610">
        <f>IF(P66="","In force",IF(P66="N/A","In force",IF(TODAY()&lt;DATE(VALUE(RIGHT(P66,4)),VALUE(MID(P66,4,2)),VALUE(LEFT(P66,2))),"Scheduled",IF(Q66="","In force",IF(Q66="N/A","In force",IF(TODAY()&lt;DATE(VALUE(RIGHT(Q66,4)),VALUE(MID(Q66,4,2)),VALUE(LEFT(Q66,2))),"In force","Ended"))))))</f>
        <v/>
      </c>
      <c r="U66" s="610" t="inlineStr">
        <is>
          <t>National Development and Reform Commission; Ministry of Industry and Information Technology; Ministry of Ecology and Environment; State Administration for Market Regulation; National Energy Administration</t>
        </is>
      </c>
      <c r="V66" s="610" t="inlineStr">
        <is>
          <t>Industrial production lines / production facilities</t>
        </is>
      </c>
      <c r="W66" s="610" t="inlineStr">
        <is>
          <t>New; existing</t>
        </is>
      </c>
      <c r="X66" s="610"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Y66" s="610" t="inlineStr">
        <is>
          <t>N/A</t>
        </is>
      </c>
      <c r="Z66" s="610" t="inlineStr">
        <is>
          <t>N/A</t>
        </is>
      </c>
      <c r="AA66" s="610" t="inlineStr">
        <is>
          <t>Firms</t>
        </is>
      </c>
      <c r="AB66" s="610"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C66" s="610" t="inlineStr">
        <is>
          <t>Production</t>
        </is>
      </c>
      <c r="AD66" s="610"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E66" s="610" t="inlineStr">
        <is>
          <t>N/A</t>
        </is>
      </c>
      <c r="AF66" s="610" t="inlineStr">
        <is>
          <t>N/A</t>
        </is>
      </c>
      <c r="AG66" s="610"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H66" s="610"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I66" s="610" t="inlineStr">
        <is>
          <t>N/A</t>
        </is>
      </c>
      <c r="AJ66" s="610" t="inlineStr">
        <is>
          <t>N/A</t>
        </is>
      </c>
      <c r="AK66" s="610" t="inlineStr">
        <is>
          <t>Inspections or audits conducted by government authorities or third parties; Energy consumption data reporting by firms</t>
        </is>
      </c>
      <c r="AL66" s="610"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M66" s="610" t="inlineStr">
        <is>
          <t>Compliance order; Fines; Differentiated electricity pricing; Phase-out and closure</t>
        </is>
      </c>
      <c r="AN66" s="610"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O66" s="610"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P66" s="610"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Q66" s="610" t="inlineStr">
        <is>
          <t>N/A</t>
        </is>
      </c>
      <c r="AR66" s="610" t="inlineStr">
        <is>
          <t>N/A</t>
        </is>
      </c>
      <c r="AS66" s="610" t="inlineStr">
        <is>
          <t>C13; C17; C19; C20; C22; C23; C24</t>
        </is>
      </c>
      <c r="AT66" s="610" t="inlineStr">
        <is>
          <t>CO2</t>
        </is>
      </c>
      <c r="AU66" s="610" t="inlineStr">
        <is>
          <t>Positive</t>
        </is>
      </c>
      <c r="AV66" s="610" t="inlineStr">
        <is>
          <t>Energy conservation; Technological innovation; Pollution control; Industrial development; Resource conservation</t>
        </is>
      </c>
      <c r="AW66" s="610" t="inlineStr">
        <is>
          <t>Notice of the National Development and Reform Commission and Other Departments on Issuing the Energy Efficiency Benchmark and Baseline Levels for Key Industrial Sectors (2023 Edition) (Fa Gai Chan Ye [2023] No. 723)</t>
        </is>
      </c>
      <c r="AX66" s="610" t="inlineStr">
        <is>
          <t>https://www.ndrc.gov.cn/xwdt/tzgg/202307/t20230704_1358115_ext.html</t>
        </is>
      </c>
      <c r="AY66" s="610" t="inlineStr">
        <is>
          <t>https://www.ndrc.gov.cn/xxgk/zcfb/tz/202111/t20211115_1304012_ext.html</t>
        </is>
      </c>
      <c r="AZ66" s="610" t="inlineStr"/>
    </row>
    <row r="67">
      <c r="A67" s="610" t="inlineStr">
        <is>
          <t>CHNPRFEILI02S000</t>
        </is>
      </c>
      <c r="B67" s="610" t="inlineStr">
        <is>
          <t>Instrument</t>
        </is>
      </c>
      <c r="C67" s="610" t="inlineStr">
        <is>
          <t>Performance standard</t>
        </is>
      </c>
      <c r="D67" s="610" t="inlineStr">
        <is>
          <t>Energy intensity limit for industrial production</t>
        </is>
      </c>
      <c r="E67" s="610" t="inlineStr">
        <is>
          <t>Industry</t>
        </is>
      </c>
      <c r="F67" s="610" t="inlineStr">
        <is>
          <t>Chemicals</t>
        </is>
      </c>
      <c r="G67" s="610" t="inlineStr">
        <is>
          <t>甲醛单位产品能源消耗限额</t>
        </is>
      </c>
      <c r="H67" s="610" t="inlineStr">
        <is>
          <t>Norm of Energy Consumption per Unit Production of Formaldehyde</t>
        </is>
      </c>
      <c r="I67" s="610" t="inlineStr">
        <is>
          <t>N/A</t>
        </is>
      </c>
      <c r="J67" s="610"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610" t="inlineStr">
        <is>
          <t>Energy efficiency</t>
        </is>
      </c>
      <c r="L67" s="610" t="inlineStr">
        <is>
          <t>Direct</t>
        </is>
      </c>
      <c r="M67" s="610" t="inlineStr">
        <is>
          <t>national</t>
        </is>
      </c>
      <c r="N67" s="610" t="inlineStr">
        <is>
          <t>N/A</t>
        </is>
      </c>
      <c r="O67" s="610" t="inlineStr">
        <is>
          <t>01/08/2025</t>
        </is>
      </c>
      <c r="P67" s="610" t="inlineStr">
        <is>
          <t>01/08/2026</t>
        </is>
      </c>
      <c r="Q67" s="610" t="inlineStr">
        <is>
          <t>N/A</t>
        </is>
      </c>
      <c r="R67" s="610" t="inlineStr">
        <is>
          <t>N/A</t>
        </is>
      </c>
      <c r="S67" s="610" t="inlineStr">
        <is>
          <t>N/A</t>
        </is>
      </c>
      <c r="T67" s="610">
        <f>IF(P67="","In force",IF(P67="N/A","In force",IF(TODAY()&lt;DATE(VALUE(RIGHT(P67,4)),VALUE(MID(P67,4,2)),VALUE(LEFT(P67,2))),"Scheduled",IF(Q67="","In force",IF(Q67="N/A","In force",IF(TODAY()&lt;DATE(VALUE(RIGHT(Q67,4)),VALUE(MID(Q67,4,2)),VALUE(LEFT(Q67,2))),"In force","Ended"))))))</f>
        <v/>
      </c>
      <c r="U67" s="610" t="inlineStr">
        <is>
          <t>State Administration for Market Regulation; Standardization Administration of China</t>
        </is>
      </c>
      <c r="V67" s="610" t="inlineStr">
        <is>
          <t>Formaldehyde production units</t>
        </is>
      </c>
      <c r="W67" s="610" t="inlineStr">
        <is>
          <t>New; Existing</t>
        </is>
      </c>
      <c r="X67" s="610" t="inlineStr">
        <is>
          <t>Production units using methanol as feedstock and employing the silver-catalysed or iron-molybdenum process to produce formaldehyde.</t>
        </is>
      </c>
      <c r="Y67" s="610" t="inlineStr">
        <is>
          <t>N/A</t>
        </is>
      </c>
      <c r="Z67" s="610" t="inlineStr">
        <is>
          <t>N/A</t>
        </is>
      </c>
      <c r="AA67" s="610" t="inlineStr">
        <is>
          <t>Firms</t>
        </is>
      </c>
      <c r="AB67" s="610" t="inlineStr">
        <is>
          <t>Firms operating formaldehyde production units within China.</t>
        </is>
      </c>
      <c r="AC67" s="610" t="inlineStr">
        <is>
          <t>Production</t>
        </is>
      </c>
      <c r="AD67" s="610" t="inlineStr">
        <is>
          <t>Operation of formaldehyde production units. Existing firms must meet Grade 3 (minimum) intensity limits; new, expansion and renovation projects must meet Grade 2 (access) limits.</t>
        </is>
      </c>
      <c r="AE67" s="610" t="inlineStr">
        <is>
          <t>Grade 3</t>
        </is>
      </c>
      <c r="AF67" s="610" t="inlineStr">
        <is>
          <t>Energy intensity limit grade</t>
        </is>
      </c>
      <c r="AG6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H67" s="610"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I67" s="610" t="inlineStr">
        <is>
          <t>N/A</t>
        </is>
      </c>
      <c r="AJ67" s="610" t="inlineStr">
        <is>
          <t>N/A</t>
        </is>
      </c>
      <c r="AK67" s="610" t="inlineStr">
        <is>
          <t>Inspections or audits conducted by government authorities or third parties; Energy consumption data reporting by firms</t>
        </is>
      </c>
      <c r="AL67" s="610" t="inlineStr">
        <is>
          <t>Market regulatory authorities conduct supervision inspections on formaldehyde producers' compliance with energy intensity limit standards; firms must submit annual energy consumption data and undergo energy conservation inspections.</t>
        </is>
      </c>
      <c r="AM67" s="610" t="inlineStr">
        <is>
          <t>Compliance order; Fines; Differentiated electricity pricing; Phase-out and closure</t>
        </is>
      </c>
      <c r="AN67" s="610"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O67" s="610"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P67" s="610"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Q67" s="610" t="inlineStr">
        <is>
          <t>N/A</t>
        </is>
      </c>
      <c r="AR67" s="610" t="inlineStr">
        <is>
          <t>N/A</t>
        </is>
      </c>
      <c r="AS67" s="610" t="inlineStr">
        <is>
          <t>C20</t>
        </is>
      </c>
      <c r="AT67" s="610" t="inlineStr">
        <is>
          <t>CO2</t>
        </is>
      </c>
      <c r="AU67" s="610" t="inlineStr">
        <is>
          <t>Positive</t>
        </is>
      </c>
      <c r="AV67" s="610" t="inlineStr">
        <is>
          <t>Energy conservation</t>
        </is>
      </c>
      <c r="AW67" s="610" t="inlineStr">
        <is>
          <t>GB 45246-2025 Norm of Energy Consumption per Unit Production of Main Wood-Based Panel Products</t>
        </is>
      </c>
      <c r="AX67" s="610" t="inlineStr">
        <is>
          <t>https://openstd.samr.gov.cn/bzgk/std/newGbInfo?hcno=48412ECEBF7578E4EDFA26F06CC3DF37</t>
        </is>
      </c>
      <c r="AY67" s="610" t="inlineStr">
        <is>
          <t>N/A</t>
        </is>
      </c>
      <c r="AZ67" s="610" t="inlineStr"/>
    </row>
    <row r="68">
      <c r="A68" s="610" t="inlineStr">
        <is>
          <t>CHNPRFEILI03S000</t>
        </is>
      </c>
      <c r="B68" s="610" t="inlineStr">
        <is>
          <t>Instrument</t>
        </is>
      </c>
      <c r="C68" s="610" t="inlineStr">
        <is>
          <t>Performance standard</t>
        </is>
      </c>
      <c r="D68" s="610" t="inlineStr">
        <is>
          <t>Energy intensity limit for industrial production</t>
        </is>
      </c>
      <c r="E68" s="610" t="inlineStr">
        <is>
          <t>Energy</t>
        </is>
      </c>
      <c r="F68" s="610" t="inlineStr">
        <is>
          <t>Coal-fired power generation</t>
        </is>
      </c>
      <c r="G68" s="610" t="inlineStr">
        <is>
          <t>燃煤发电机组单位产品能源消耗限额</t>
        </is>
      </c>
      <c r="H68" s="610" t="inlineStr">
        <is>
          <t>Norm of Energy Consumption per Unit Production of Coal-Fired Power Generation Units</t>
        </is>
      </c>
      <c r="I68" s="610" t="inlineStr">
        <is>
          <t>N/A</t>
        </is>
      </c>
      <c r="J68" s="610"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610" t="inlineStr">
        <is>
          <t>Energy efficiency</t>
        </is>
      </c>
      <c r="L68" s="610" t="inlineStr">
        <is>
          <t>Direct</t>
        </is>
      </c>
      <c r="M68" s="610" t="inlineStr">
        <is>
          <t>national</t>
        </is>
      </c>
      <c r="N68" s="610" t="inlineStr">
        <is>
          <t>N/A</t>
        </is>
      </c>
      <c r="O68" s="610" t="inlineStr">
        <is>
          <t>03/12/2007</t>
        </is>
      </c>
      <c r="P68" s="610" t="inlineStr">
        <is>
          <t>01/06/2008</t>
        </is>
      </c>
      <c r="Q68" s="610" t="inlineStr">
        <is>
          <t>N/A</t>
        </is>
      </c>
      <c r="R68" s="610" t="inlineStr">
        <is>
          <t>29/09/2024</t>
        </is>
      </c>
      <c r="S68" s="610" t="inlineStr">
        <is>
          <t>On 29 September 2024, GB 21258-2024 was published, replacing GB 21258-2017 and GB 35574-2017, updating energy intensity limits across all grades, bringing circulating fluidised bed units within the coverage scope and achieving near-universal coal power coverage.</t>
        </is>
      </c>
      <c r="T68" s="610">
        <f>IF(P68="","In force",IF(P68="N/A","In force",IF(TODAY()&lt;DATE(VALUE(RIGHT(P68,4)),VALUE(MID(P68,4,2)),VALUE(LEFT(P68,2))),"Scheduled",IF(Q68="","In force",IF(Q68="N/A","In force",IF(TODAY()&lt;DATE(VALUE(RIGHT(Q68,4)),VALUE(MID(Q68,4,2)),VALUE(LEFT(Q68,2))),"In force","Ended"))))))</f>
        <v/>
      </c>
      <c r="U68" s="610" t="inlineStr">
        <is>
          <t>State Administration for Market Regulation; Standardization Administration of China</t>
        </is>
      </c>
      <c r="V68" s="610" t="inlineStr">
        <is>
          <t>Coal-fired power generation units</t>
        </is>
      </c>
      <c r="W68" s="610" t="inlineStr">
        <is>
          <t>New; Existing</t>
        </is>
      </c>
      <c r="X68" s="610" t="inlineStr">
        <is>
          <t>Conventional coal-fired power generation units, including condensing units and combined heat and power (CHP) units, classified by capacity and steam parameters (ultra-supercritical, supercritical, subcritical, super-high pressure, etc.).</t>
        </is>
      </c>
      <c r="Y68" s="610" t="inlineStr">
        <is>
          <t>N/A</t>
        </is>
      </c>
      <c r="Z68" s="610" t="inlineStr">
        <is>
          <t>N/A</t>
        </is>
      </c>
      <c r="AA68" s="610" t="inlineStr">
        <is>
          <t>Firms</t>
        </is>
      </c>
      <c r="AB68" s="610" t="inlineStr">
        <is>
          <t>Firms operating coal-fired power generation units within China.</t>
        </is>
      </c>
      <c r="AC68" s="610" t="inlineStr">
        <is>
          <t>Production</t>
        </is>
      </c>
      <c r="AD68" s="610" t="inlineStr">
        <is>
          <t>Operation of coal-fired power generation units. Existing units must meet Grade 3 (minimum) intensity limits; new units must meet Grade 2 (access) limits.</t>
        </is>
      </c>
      <c r="AE68" s="610" t="inlineStr">
        <is>
          <t>Grade 3</t>
        </is>
      </c>
      <c r="AF68" s="610" t="inlineStr">
        <is>
          <t>Energy intensity limit grade</t>
        </is>
      </c>
      <c r="AG68" s="610"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H68" s="610"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I68" s="610" t="inlineStr">
        <is>
          <t>N/A</t>
        </is>
      </c>
      <c r="AJ68" s="610" t="inlineStr">
        <is>
          <t>N/A</t>
        </is>
      </c>
      <c r="AK68" s="610" t="inlineStr">
        <is>
          <t>Supervisory inspections by government agencies; enterprise energy consumption data reporting</t>
        </is>
      </c>
      <c r="AL68" s="610"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M68" s="610" t="inlineStr">
        <is>
          <t>Compliance order; Fines; Differentiated electricity pricing; Phase-out and closure</t>
        </is>
      </c>
      <c r="AN68" s="610"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O68" s="610" t="inlineStr">
        <is>
          <t>Other incentives or support</t>
        </is>
      </c>
      <c r="AP68" s="610"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Q68" s="610" t="inlineStr">
        <is>
          <t>N/A</t>
        </is>
      </c>
      <c r="AR68" s="610" t="inlineStr">
        <is>
          <t>N/A</t>
        </is>
      </c>
      <c r="AS68" s="610" t="inlineStr">
        <is>
          <t>D35</t>
        </is>
      </c>
      <c r="AT68" s="610" t="inlineStr">
        <is>
          <t>CO2</t>
        </is>
      </c>
      <c r="AU68" s="610" t="inlineStr">
        <is>
          <t>Positive</t>
        </is>
      </c>
      <c r="AV68" s="610" t="inlineStr">
        <is>
          <t>Energy conservation; Pollution control</t>
        </is>
      </c>
      <c r="AW68" s="610" t="inlineStr">
        <is>
          <t>GB 21258-2024 Norm of Energy Consumption per Unit Production of Coal-Fired Power Generation Units</t>
        </is>
      </c>
      <c r="AX68" s="610" t="inlineStr">
        <is>
          <t>https://openstd.samr.gov.cn/bzgk/std/newGbInfo?hcno=5ECDC8DD7CCBDCBA21C3103D8473A77F</t>
        </is>
      </c>
      <c r="AY68" s="610" t="inlineStr">
        <is>
          <t>N/A</t>
        </is>
      </c>
      <c r="AZ68" s="610" t="inlineStr"/>
    </row>
    <row r="69">
      <c r="A69" s="610" t="inlineStr">
        <is>
          <t>CHNPRFEILI04S000</t>
        </is>
      </c>
      <c r="B69" s="610" t="inlineStr">
        <is>
          <t>Instrument</t>
        </is>
      </c>
      <c r="C69" s="610" t="inlineStr">
        <is>
          <t>Performance standard</t>
        </is>
      </c>
      <c r="D69" s="610" t="inlineStr">
        <is>
          <t>Energy intensity limit for industrial production</t>
        </is>
      </c>
      <c r="E69" s="610" t="inlineStr">
        <is>
          <t>Industry</t>
        </is>
      </c>
      <c r="F69" s="610" t="inlineStr">
        <is>
          <t>Coal mining</t>
        </is>
      </c>
      <c r="G69" s="610" t="inlineStr">
        <is>
          <t>煤炭开采单位产品能源消耗限额</t>
        </is>
      </c>
      <c r="H69" s="610" t="inlineStr">
        <is>
          <t>Norm of Energy Consumption per Unit Production of Coal Mining</t>
        </is>
      </c>
      <c r="I69" s="610" t="inlineStr">
        <is>
          <t>N/A</t>
        </is>
      </c>
      <c r="J69" s="610"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610" t="inlineStr">
        <is>
          <t>Energy efficiency</t>
        </is>
      </c>
      <c r="L69" s="610" t="inlineStr">
        <is>
          <t>Direct</t>
        </is>
      </c>
      <c r="M69" s="610" t="inlineStr">
        <is>
          <t>national</t>
        </is>
      </c>
      <c r="N69" s="610" t="inlineStr">
        <is>
          <t>N/A</t>
        </is>
      </c>
      <c r="O69" s="610" t="inlineStr">
        <is>
          <t>31/12/2012</t>
        </is>
      </c>
      <c r="P69" s="610" t="inlineStr">
        <is>
          <t>01/10/2013</t>
        </is>
      </c>
      <c r="Q69" s="610" t="inlineStr">
        <is>
          <t>N/A</t>
        </is>
      </c>
      <c r="R69" s="610" t="inlineStr">
        <is>
          <t>01/08/2025</t>
        </is>
      </c>
      <c r="S69" s="610" t="inlineStr">
        <is>
          <t>On 1 August 2025, GB 29445-2025 was published, consolidating and replacing GB 29444-2012 (underground mining) and GB 29445-2012 (open-pit mining), merging the two separate standards into one and updating energy intensity limits across all grades.</t>
        </is>
      </c>
      <c r="T69" s="610">
        <f>IF(P69="","In force",IF(P69="N/A","In force",IF(TODAY()&lt;DATE(VALUE(RIGHT(P69,4)),VALUE(MID(P69,4,2)),VALUE(LEFT(P69,2))),"Scheduled",IF(Q69="","In force",IF(Q69="N/A","In force",IF(TODAY()&lt;DATE(VALUE(RIGHT(Q69,4)),VALUE(MID(Q69,4,2)),VALUE(LEFT(Q69,2))),"In force","Ended"))))))</f>
        <v/>
      </c>
      <c r="U69" s="610" t="inlineStr">
        <is>
          <t>State Administration for Market Regulation; Standardization Administration of China</t>
        </is>
      </c>
      <c r="V69" s="610" t="inlineStr">
        <is>
          <t>Coal mining production systems</t>
        </is>
      </c>
      <c r="W69" s="610" t="inlineStr">
        <is>
          <t>New; Existing</t>
        </is>
      </c>
      <c r="X69" s="610" t="inlineStr">
        <is>
          <t>Underground or open-pit coal mining production systems of coal mining enterprises, encompassing extraction, transport, hoisting, ventilation, drainage, lighting and other main production processes and auxiliary production systems.</t>
        </is>
      </c>
      <c r="Y69" s="610" t="inlineStr">
        <is>
          <t>N/A</t>
        </is>
      </c>
      <c r="Z69" s="610" t="inlineStr">
        <is>
          <t>N/A</t>
        </is>
      </c>
      <c r="AA69" s="610" t="inlineStr">
        <is>
          <t>Firms</t>
        </is>
      </c>
      <c r="AB69" s="610" t="inlineStr">
        <is>
          <t>Operators of coal mining enterprises within China.</t>
        </is>
      </c>
      <c r="AC69" s="610" t="inlineStr">
        <is>
          <t>Production</t>
        </is>
      </c>
      <c r="AD69" s="610" t="inlineStr">
        <is>
          <t>Operation of coal mining production systems. Existing enterprises must meet Grade 3 (minimum) intensity limits; new enterprises must meet Grade 2 (access) limits.</t>
        </is>
      </c>
      <c r="AE69" s="610" t="inlineStr">
        <is>
          <t>Grade 3</t>
        </is>
      </c>
      <c r="AF69" s="610" t="inlineStr">
        <is>
          <t>Energy intensity limit grade</t>
        </is>
      </c>
      <c r="AG69" s="610"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H69" s="610"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I69" s="610" t="inlineStr">
        <is>
          <t>N/A</t>
        </is>
      </c>
      <c r="AJ69" s="610" t="inlineStr">
        <is>
          <t>N/A</t>
        </is>
      </c>
      <c r="AK69" s="610" t="inlineStr">
        <is>
          <t>Supervisory inspections by government agencies; enterprise energy consumption data reporting</t>
        </is>
      </c>
      <c r="AL69" s="610"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M69" s="610" t="inlineStr">
        <is>
          <t>Compliance order; Fines; Differentiated electricity pricing; Phase-out and closure</t>
        </is>
      </c>
      <c r="AN69" s="610"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69" s="610" t="inlineStr">
        <is>
          <t>Other incentives or support</t>
        </is>
      </c>
      <c r="AP69" s="610"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Q69" s="610" t="inlineStr">
        <is>
          <t>N/A</t>
        </is>
      </c>
      <c r="AR69" s="610" t="inlineStr">
        <is>
          <t>N/A</t>
        </is>
      </c>
      <c r="AS69" s="610" t="inlineStr">
        <is>
          <t>B05</t>
        </is>
      </c>
      <c r="AT69" s="610" t="inlineStr">
        <is>
          <t>CO2</t>
        </is>
      </c>
      <c r="AU69" s="610" t="inlineStr">
        <is>
          <t>Positive</t>
        </is>
      </c>
      <c r="AV69" s="610" t="inlineStr">
        <is>
          <t>Energy conservation</t>
        </is>
      </c>
      <c r="AW69" s="610" t="inlineStr">
        <is>
          <t>GB 29445-2025 Norm of Energy Consumption per Unit Production of Coal Mining</t>
        </is>
      </c>
      <c r="AX69" s="610" t="inlineStr">
        <is>
          <t>https://openstd.samr.gov.cn/bzgk/std/newGbInfo?hcno=7043EB594BD5ABD2DFA696645B96B0CF</t>
        </is>
      </c>
      <c r="AY69" s="610" t="inlineStr">
        <is>
          <t>GB 29444-2012 (superseded, coal mines): https://openstd.samr.gov.cn/bzgk/std/newGbInfo?hcno=F2264FE27AD4688868A72C4DD87F77B0; GB 29445-2012 (superseded, open-pit mining): https://openstd.samr.gov.cn/bzgk/std/newGbInfo?hcno=7C2A5E9D8333A6111451DDFEBECF6A64</t>
        </is>
      </c>
      <c r="AZ69" s="610" t="inlineStr"/>
    </row>
    <row r="70">
      <c r="A70" s="610" t="inlineStr">
        <is>
          <t>CHNPRFEILI05S000</t>
        </is>
      </c>
      <c r="B70" s="610" t="inlineStr">
        <is>
          <t>Instrument</t>
        </is>
      </c>
      <c r="C70" s="610" t="inlineStr">
        <is>
          <t>Performance standard</t>
        </is>
      </c>
      <c r="D70" s="610" t="inlineStr">
        <is>
          <t>Energy intensity limit for industrial production</t>
        </is>
      </c>
      <c r="E70" s="610" t="inlineStr">
        <is>
          <t>Industry</t>
        </is>
      </c>
      <c r="F70" s="610" t="inlineStr">
        <is>
          <t>Iron and steel</t>
        </is>
      </c>
      <c r="G70" s="610" t="inlineStr">
        <is>
          <t>粗钢生产主要工序单位产品能源消耗限额</t>
        </is>
      </c>
      <c r="H70" s="610" t="inlineStr">
        <is>
          <t>Norm of Energy Consumption per Unit Production of Main Processes of Crude Steel</t>
        </is>
      </c>
      <c r="I70" s="610" t="inlineStr">
        <is>
          <t>N/A</t>
        </is>
      </c>
      <c r="J70" s="610"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610" t="inlineStr">
        <is>
          <t>Energy efficiency</t>
        </is>
      </c>
      <c r="L70" s="610" t="inlineStr">
        <is>
          <t>Direct</t>
        </is>
      </c>
      <c r="M70" s="610" t="inlineStr">
        <is>
          <t>national</t>
        </is>
      </c>
      <c r="N70" s="610" t="inlineStr">
        <is>
          <t>N/A</t>
        </is>
      </c>
      <c r="O70" s="610" t="inlineStr">
        <is>
          <t>03/12/2007</t>
        </is>
      </c>
      <c r="P70" s="610" t="inlineStr">
        <is>
          <t>01/06/2008</t>
        </is>
      </c>
      <c r="Q70" s="610" t="inlineStr">
        <is>
          <t>N/A</t>
        </is>
      </c>
      <c r="R70" s="610" t="inlineStr">
        <is>
          <t>30/06/2025</t>
        </is>
      </c>
      <c r="S70" s="610" t="inlineStr">
        <is>
          <t>On 30 June 2025, GB 21256-2025 was published, replacing GB 21256-2013, updating energy intensity limits across all grades, adding EAF short-process limit requirements, and introducing a correction factor system for objective factors.</t>
        </is>
      </c>
      <c r="T70" s="610">
        <f>IF(P70="","In force",IF(P70="N/A","In force",IF(TODAY()&lt;DATE(VALUE(RIGHT(P70,4)),VALUE(MID(P70,4,2)),VALUE(LEFT(P70,2))),"Scheduled",IF(Q70="","In force",IF(Q70="N/A","In force",IF(TODAY()&lt;DATE(VALUE(RIGHT(Q70,4)),VALUE(MID(Q70,4,2)),VALUE(LEFT(Q70,2))),"In force","Ended"))))))</f>
        <v/>
      </c>
      <c r="U70" s="610" t="inlineStr">
        <is>
          <t>State Administration for Market Regulation; Standardization Administration of China</t>
        </is>
      </c>
      <c r="V70" s="610" t="inlineStr">
        <is>
          <t>Main process units of crude steel production</t>
        </is>
      </c>
      <c r="W70" s="610" t="inlineStr">
        <is>
          <t>New; Existing</t>
        </is>
      </c>
      <c r="X70" s="610" t="inlineStr">
        <is>
          <t>Production units of sintering, pelletising, blast furnace ironmaking, basic oxygen furnace (BOF) steelmaking and electric arc furnace (EAF) steelmaking processes at iron and steel enterprises.</t>
        </is>
      </c>
      <c r="Y70" s="610" t="inlineStr">
        <is>
          <t>N/A</t>
        </is>
      </c>
      <c r="Z70" s="610" t="inlineStr">
        <is>
          <t>N/A</t>
        </is>
      </c>
      <c r="AA70" s="610" t="inlineStr">
        <is>
          <t>Firms</t>
        </is>
      </c>
      <c r="AB70" s="610" t="inlineStr">
        <is>
          <t>Firms operating iron and steel production process units within China.</t>
        </is>
      </c>
      <c r="AC70" s="610" t="inlineStr">
        <is>
          <t>Production</t>
        </is>
      </c>
      <c r="AD70" s="610" t="inlineStr">
        <is>
          <t>Operation of main crude steel production processes (sintering, pelletising, blast furnace, BOF, EAF). Existing process units must meet Grade 3 (minimum) intensity limits; new, expansion and renovation process units must meet Grade 2 (access) limits.</t>
        </is>
      </c>
      <c r="AE70" s="610" t="inlineStr">
        <is>
          <t>Grade 3</t>
        </is>
      </c>
      <c r="AF70" s="610" t="inlineStr">
        <is>
          <t>Energy intensity limit grade</t>
        </is>
      </c>
      <c r="AG70"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H70" s="610"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I70" s="610" t="inlineStr">
        <is>
          <t>N/A</t>
        </is>
      </c>
      <c r="AJ70" s="610" t="inlineStr">
        <is>
          <t>N/A</t>
        </is>
      </c>
      <c r="AK70" s="610" t="inlineStr">
        <is>
          <t>Supervisory inspections by government agencies; enterprise energy consumption data reporting</t>
        </is>
      </c>
      <c r="AL70" s="610"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M70" s="610" t="inlineStr">
        <is>
          <t>Compliance order; Fines; Differentiated electricity pricing; Phase-out and closure</t>
        </is>
      </c>
      <c r="AN70" s="610"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O70" s="610" t="inlineStr">
        <is>
          <t>Other incentives or support</t>
        </is>
      </c>
      <c r="AP70" s="610"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Q70" s="610" t="inlineStr">
        <is>
          <t>N/A</t>
        </is>
      </c>
      <c r="AR70" s="610" t="inlineStr">
        <is>
          <t>N/A</t>
        </is>
      </c>
      <c r="AS70" s="610" t="inlineStr">
        <is>
          <t>C24</t>
        </is>
      </c>
      <c r="AT70" s="610" t="inlineStr">
        <is>
          <t>CO2</t>
        </is>
      </c>
      <c r="AU70" s="610" t="inlineStr">
        <is>
          <t>Positive</t>
        </is>
      </c>
      <c r="AV70" s="610" t="inlineStr">
        <is>
          <t>Energy conservation; Pollution control</t>
        </is>
      </c>
      <c r="AW70" s="610" t="inlineStr">
        <is>
          <t>GB 21256-2025 Norm of Energy Consumption per Unit Production of Main Processes of Crude Steel</t>
        </is>
      </c>
      <c r="AX70" s="610" t="inlineStr">
        <is>
          <t>https://openstd.samr.gov.cn/bzgk/std/newGbInfo?hcno=3BB9B7A579C230D931EF7F45E2DA5C05</t>
        </is>
      </c>
      <c r="AY70" s="610" t="inlineStr">
        <is>
          <t>GB 21256-2013 (superseded): https://openstd.samr.gov.cn/bzgk/std/newGbInfo?hcno=93D6F65AC0C5739DDA47EB0FF9B62D73</t>
        </is>
      </c>
      <c r="AZ70" s="610" t="inlineStr"/>
    </row>
    <row r="71">
      <c r="A71" s="610" t="inlineStr">
        <is>
          <t>CHNPRFEILI06S000</t>
        </is>
      </c>
      <c r="B71" s="610" t="inlineStr">
        <is>
          <t>Instrument</t>
        </is>
      </c>
      <c r="C71" s="610" t="inlineStr">
        <is>
          <t>Performance standard</t>
        </is>
      </c>
      <c r="D71" s="610" t="inlineStr">
        <is>
          <t>Energy intensity limit for industrial production</t>
        </is>
      </c>
      <c r="E71" s="610" t="inlineStr">
        <is>
          <t>Industry</t>
        </is>
      </c>
      <c r="F71" s="610" t="inlineStr">
        <is>
          <t>Chemicals; Textiles</t>
        </is>
      </c>
      <c r="G71" s="610" t="inlineStr">
        <is>
          <t>化学纤维单位产品能源消耗限额</t>
        </is>
      </c>
      <c r="H71" s="610" t="inlineStr">
        <is>
          <t>Norm of Energy Consumption per Unit Production of Chemical Fibers</t>
        </is>
      </c>
      <c r="I71" s="610" t="inlineStr">
        <is>
          <t>N/A</t>
        </is>
      </c>
      <c r="J71" s="610"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610" t="inlineStr">
        <is>
          <t>Energy efficiency</t>
        </is>
      </c>
      <c r="L71" s="610" t="inlineStr">
        <is>
          <t>Direct</t>
        </is>
      </c>
      <c r="M71" s="610" t="inlineStr">
        <is>
          <t>national</t>
        </is>
      </c>
      <c r="N71" s="610" t="inlineStr">
        <is>
          <t>N/A</t>
        </is>
      </c>
      <c r="O71" s="610" t="inlineStr">
        <is>
          <t>19/11/2018</t>
        </is>
      </c>
      <c r="P71" s="610" t="inlineStr">
        <is>
          <t>01/12/2019</t>
        </is>
      </c>
      <c r="Q71" s="610" t="inlineStr">
        <is>
          <t>N/A</t>
        </is>
      </c>
      <c r="R71" s="610" t="inlineStr">
        <is>
          <t>30/05/2025</t>
        </is>
      </c>
      <c r="S71" s="610"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T71" s="610">
        <f>IF(P71="","In force",IF(P71="N/A","In force",IF(TODAY()&lt;DATE(VALUE(RIGHT(P71,4)),VALUE(MID(P71,4,2)),VALUE(LEFT(P71,2))),"Scheduled",IF(Q71="","In force",IF(Q71="N/A","In force",IF(TODAY()&lt;DATE(VALUE(RIGHT(Q71,4)),VALUE(MID(Q71,4,2)),VALUE(LEFT(Q71,2))),"In force","Ended"))))))</f>
        <v/>
      </c>
      <c r="U71" s="610" t="inlineStr">
        <is>
          <t>State Administration for Market Regulation; Standardization Administration of China</t>
        </is>
      </c>
      <c r="V71" s="610" t="inlineStr">
        <is>
          <t>Chemical fibre production units</t>
        </is>
      </c>
      <c r="W71" s="610" t="inlineStr">
        <is>
          <t>New; Existing</t>
        </is>
      </c>
      <c r="X71" s="610" t="inlineStr">
        <is>
          <t>Production units for various types of chemical fibres (including polyester, nylon, acrylic, spandex, viscose fibre, etc.), encompassing polymerisation, spinning and post-treatment processes.</t>
        </is>
      </c>
      <c r="Y71" s="610" t="inlineStr">
        <is>
          <t>N/A</t>
        </is>
      </c>
      <c r="Z71" s="610" t="inlineStr">
        <is>
          <t>N/A</t>
        </is>
      </c>
      <c r="AA71" s="610" t="inlineStr">
        <is>
          <t>Firms</t>
        </is>
      </c>
      <c r="AB71" s="610" t="inlineStr">
        <is>
          <t>Firms operating chemical fibre production units within China.</t>
        </is>
      </c>
      <c r="AC71" s="610" t="inlineStr">
        <is>
          <t>Production</t>
        </is>
      </c>
      <c r="AD71" s="610" t="inlineStr">
        <is>
          <t>Operation of chemical fibre production units. Existing firms must meet Grade 3 (minimum) intensity limits; new, expansion and renovation firms must meet Grade 2 (access) limits.</t>
        </is>
      </c>
      <c r="AE71" s="610" t="inlineStr">
        <is>
          <t>Grade 3</t>
        </is>
      </c>
      <c r="AF71" s="610" t="inlineStr">
        <is>
          <t>Energy intensity limit grade</t>
        </is>
      </c>
      <c r="AG71"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H71" s="610"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I71" s="610" t="inlineStr">
        <is>
          <t>N/A</t>
        </is>
      </c>
      <c r="AJ71" s="610" t="inlineStr">
        <is>
          <t>N/A</t>
        </is>
      </c>
      <c r="AK71" s="610" t="inlineStr">
        <is>
          <t>Supervisory inspections by government agencies; enterprise energy consumption data reporting</t>
        </is>
      </c>
      <c r="AL71" s="610"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M71" s="610" t="inlineStr">
        <is>
          <t>Compliance order; Fines; Differentiated electricity pricing; Phase-out and closure</t>
        </is>
      </c>
      <c r="AN71" s="610"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1" s="610" t="inlineStr">
        <is>
          <t>Other incentives or support</t>
        </is>
      </c>
      <c r="AP71" s="610"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Q71" s="610" t="inlineStr">
        <is>
          <t>N/A</t>
        </is>
      </c>
      <c r="AR71" s="610" t="inlineStr">
        <is>
          <t>N/A</t>
        </is>
      </c>
      <c r="AS71" s="610" t="inlineStr">
        <is>
          <t>C20</t>
        </is>
      </c>
      <c r="AT71" s="610" t="inlineStr">
        <is>
          <t>CO2</t>
        </is>
      </c>
      <c r="AU71" s="610" t="inlineStr">
        <is>
          <t>Positive</t>
        </is>
      </c>
      <c r="AV71" s="610" t="inlineStr">
        <is>
          <t>Energy conservation</t>
        </is>
      </c>
      <c r="AW71" s="610" t="inlineStr">
        <is>
          <t>GB 36889-2025 Norm of Energy Consumption per Unit Production of Chemical Fibers</t>
        </is>
      </c>
      <c r="AX71" s="610" t="inlineStr">
        <is>
          <t>https://openstd.samr.gov.cn/bzgk/std/newGbInfo?hcno=405998A5A2F978987A9B9DA1CFFF4AE3</t>
        </is>
      </c>
      <c r="AY71" s="610" t="inlineStr">
        <is>
          <t>GB 36889-2018 (superseded): https://openstd.samr.gov.cn/bzgk/std/newGbInfo?hcno=6261C9DF1A3A6283D026FE58AE0CEF73</t>
        </is>
      </c>
      <c r="AZ71" s="610" t="inlineStr"/>
    </row>
    <row r="72">
      <c r="A72" s="610" t="inlineStr">
        <is>
          <t>CHNPRFEILI07S000</t>
        </is>
      </c>
      <c r="B72" s="610" t="inlineStr">
        <is>
          <t>Instrument</t>
        </is>
      </c>
      <c r="C72" s="610" t="inlineStr">
        <is>
          <t>Performance standard</t>
        </is>
      </c>
      <c r="D72" s="610" t="inlineStr">
        <is>
          <t>Energy intensity limit for industrial production</t>
        </is>
      </c>
      <c r="E72" s="610" t="inlineStr">
        <is>
          <t>Industry</t>
        </is>
      </c>
      <c r="F72" s="610" t="inlineStr">
        <is>
          <t>Coking industry</t>
        </is>
      </c>
      <c r="G72" s="610" t="inlineStr">
        <is>
          <t>焦炭单位产品能源消耗限额</t>
        </is>
      </c>
      <c r="H72" s="610" t="inlineStr">
        <is>
          <t>Norm of Energy Consumption per Unit Production of Coke</t>
        </is>
      </c>
      <c r="I72" s="610" t="inlineStr">
        <is>
          <t>N/A</t>
        </is>
      </c>
      <c r="J72" s="610"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610" t="inlineStr">
        <is>
          <t>Energy efficiency</t>
        </is>
      </c>
      <c r="L72" s="610" t="inlineStr">
        <is>
          <t>Direct</t>
        </is>
      </c>
      <c r="M72" s="610" t="inlineStr">
        <is>
          <t>national</t>
        </is>
      </c>
      <c r="N72" s="610" t="inlineStr">
        <is>
          <t>N/A</t>
        </is>
      </c>
      <c r="O72" s="610" t="inlineStr">
        <is>
          <t>09/01/2008</t>
        </is>
      </c>
      <c r="P72" s="610" t="inlineStr">
        <is>
          <t>01/06/2008</t>
        </is>
      </c>
      <c r="Q72" s="610" t="inlineStr">
        <is>
          <t>N/A</t>
        </is>
      </c>
      <c r="R72" s="610" t="inlineStr">
        <is>
          <t>25/04/2025</t>
        </is>
      </c>
      <c r="S72" s="610"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T72" s="610">
        <f>IF(P72="","In force",IF(P72="N/A","In force",IF(TODAY()&lt;DATE(VALUE(RIGHT(P72,4)),VALUE(MID(P72,4,2)),VALUE(LEFT(P72,2))),"Scheduled",IF(Q72="","In force",IF(Q72="N/A","In force",IF(TODAY()&lt;DATE(VALUE(RIGHT(Q72,4)),VALUE(MID(Q72,4,2)),VALUE(LEFT(Q72,2))),"In force","Ended"))))))</f>
        <v/>
      </c>
      <c r="U72" s="610" t="inlineStr">
        <is>
          <t>State Administration for Market Regulation; Standardization Administration of China</t>
        </is>
      </c>
      <c r="V72" s="610" t="inlineStr">
        <is>
          <t>Coke production units</t>
        </is>
      </c>
      <c r="W72" s="610" t="inlineStr">
        <is>
          <t>New; Existing</t>
        </is>
      </c>
      <c r="X72" s="610" t="inlineStr">
        <is>
          <t>Conventional coke oven (top-charged and stamp-charged) units producing coke, encompassing coal preparation, coking, coke quenching and gas purification processes.</t>
        </is>
      </c>
      <c r="Y72" s="610" t="inlineStr">
        <is>
          <t>N/A</t>
        </is>
      </c>
      <c r="Z72" s="610" t="inlineStr">
        <is>
          <t>N/A</t>
        </is>
      </c>
      <c r="AA72" s="610" t="inlineStr">
        <is>
          <t>Firms</t>
        </is>
      </c>
      <c r="AB72" s="610" t="inlineStr">
        <is>
          <t>Firms operating coke production units within China.</t>
        </is>
      </c>
      <c r="AC72" s="610" t="inlineStr">
        <is>
          <t>Production</t>
        </is>
      </c>
      <c r="AD72" s="610" t="inlineStr">
        <is>
          <t>Operation of coke production units. Existing firms must meet Grade 3 (minimum) intensity limits; new, expansion and renovation firms must meet Grade 2 (access) limits.</t>
        </is>
      </c>
      <c r="AE72" s="610" t="inlineStr">
        <is>
          <t>Grade 3</t>
        </is>
      </c>
      <c r="AF72" s="610" t="inlineStr">
        <is>
          <t>Energy intensity limit grade</t>
        </is>
      </c>
      <c r="AG72"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H72" s="610"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I72" s="610" t="inlineStr">
        <is>
          <t>N/A</t>
        </is>
      </c>
      <c r="AJ72" s="610" t="inlineStr">
        <is>
          <t>N/A</t>
        </is>
      </c>
      <c r="AK72" s="610" t="inlineStr">
        <is>
          <t>Supervisory inspections by government agencies; enterprise energy consumption data reporting</t>
        </is>
      </c>
      <c r="AL72" s="610"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M72" s="610" t="inlineStr">
        <is>
          <t>Compliance order; Fines; Differentiated electricity pricing; Phase-out and closure</t>
        </is>
      </c>
      <c r="AN72" s="610"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2" s="610" t="inlineStr">
        <is>
          <t>Other incentives or support</t>
        </is>
      </c>
      <c r="AP72" s="610"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Q72" s="610" t="inlineStr">
        <is>
          <t>N/A</t>
        </is>
      </c>
      <c r="AR72" s="610" t="inlineStr">
        <is>
          <t>N/A</t>
        </is>
      </c>
      <c r="AS72" s="610" t="inlineStr">
        <is>
          <t>C19</t>
        </is>
      </c>
      <c r="AT72" s="610" t="inlineStr">
        <is>
          <t>CO2</t>
        </is>
      </c>
      <c r="AU72" s="610" t="inlineStr">
        <is>
          <t>Positive</t>
        </is>
      </c>
      <c r="AV72" s="610" t="inlineStr">
        <is>
          <t>Energy conservation</t>
        </is>
      </c>
      <c r="AW72" s="610" t="inlineStr">
        <is>
          <t>GB 21342-2025 Norm of Energy Consumption per Unit Production of Coke</t>
        </is>
      </c>
      <c r="AX72" s="610" t="inlineStr">
        <is>
          <t>https://openstd.samr.gov.cn/bzgk/std/newGbInfo?hcno=5DB2AFADA4980285095D82F5A23D947A</t>
        </is>
      </c>
      <c r="AY72" s="610" t="inlineStr">
        <is>
          <t>GB 21342-2013 (superseded): https://openstd.samr.gov.cn/bzgk/std/newGbInfo?hcno=B2F901BD9AC538D6E8133C123E77E315</t>
        </is>
      </c>
      <c r="AZ72" s="610" t="inlineStr"/>
    </row>
    <row r="73">
      <c r="A73" s="610" t="inlineStr">
        <is>
          <t>CHNPRFEILI08S000</t>
        </is>
      </c>
      <c r="B73" s="610" t="inlineStr">
        <is>
          <t>Instrument</t>
        </is>
      </c>
      <c r="C73" s="610" t="inlineStr">
        <is>
          <t>Performance standard</t>
        </is>
      </c>
      <c r="D73" s="610" t="inlineStr">
        <is>
          <t>Energy intensity limit for industrial production</t>
        </is>
      </c>
      <c r="E73" s="610" t="inlineStr">
        <is>
          <t>Industry</t>
        </is>
      </c>
      <c r="F73" s="610" t="inlineStr">
        <is>
          <t>Non-metallic mineral mining and processing</t>
        </is>
      </c>
      <c r="G73" s="610" t="inlineStr">
        <is>
          <t>石墨和萤石单位产品能源消耗限额</t>
        </is>
      </c>
      <c r="H73" s="610" t="inlineStr">
        <is>
          <t>Norm of Energy Consumption per Unit Production of Graphite and Fluorite</t>
        </is>
      </c>
      <c r="I73" s="610" t="inlineStr">
        <is>
          <t>N/A</t>
        </is>
      </c>
      <c r="J73" s="610"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610" t="inlineStr">
        <is>
          <t>Energy efficiency</t>
        </is>
      </c>
      <c r="L73" s="610" t="inlineStr">
        <is>
          <t>Direct</t>
        </is>
      </c>
      <c r="M73" s="610" t="inlineStr">
        <is>
          <t>national</t>
        </is>
      </c>
      <c r="N73" s="610" t="inlineStr">
        <is>
          <t>N/A</t>
        </is>
      </c>
      <c r="O73" s="610" t="inlineStr">
        <is>
          <t>28/03/2025</t>
        </is>
      </c>
      <c r="P73" s="610" t="inlineStr">
        <is>
          <t>01/04/2026</t>
        </is>
      </c>
      <c r="Q73" s="610" t="inlineStr">
        <is>
          <t>N/A</t>
        </is>
      </c>
      <c r="R73" s="610" t="inlineStr">
        <is>
          <t>N/A</t>
        </is>
      </c>
      <c r="S73" s="610" t="inlineStr">
        <is>
          <t>N/A</t>
        </is>
      </c>
      <c r="T73" s="610">
        <f>IF(P73="","In force",IF(P73="N/A","In force",IF(TODAY()&lt;DATE(VALUE(RIGHT(P73,4)),VALUE(MID(P73,4,2)),VALUE(LEFT(P73,2))),"Scheduled",IF(Q73="","In force",IF(Q73="N/A","In force",IF(TODAY()&lt;DATE(VALUE(RIGHT(Q73,4)),VALUE(MID(Q73,4,2)),VALUE(LEFT(Q73,2))),"In force","Ended"))))))</f>
        <v/>
      </c>
      <c r="U73" s="610" t="inlineStr">
        <is>
          <t>State Administration for Market Regulation; Standardization Administration of China</t>
        </is>
      </c>
      <c r="V73" s="610" t="inlineStr">
        <is>
          <t>Graphite and fluorite mining, processing and beneficiation production systems</t>
        </is>
      </c>
      <c r="W73" s="610" t="inlineStr">
        <is>
          <t>New; Existing</t>
        </is>
      </c>
      <c r="X73" s="610"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Y73" s="610" t="inlineStr">
        <is>
          <t>N/A</t>
        </is>
      </c>
      <c r="Z73" s="610" t="inlineStr">
        <is>
          <t>N/A</t>
        </is>
      </c>
      <c r="AA73" s="610" t="inlineStr">
        <is>
          <t>Firms</t>
        </is>
      </c>
      <c r="AB73" s="610" t="inlineStr">
        <is>
          <t>Firms operating graphite or fluorite mining, processing and beneficiation production systems within China.</t>
        </is>
      </c>
      <c r="AC73" s="610" t="inlineStr">
        <is>
          <t>Production</t>
        </is>
      </c>
      <c r="AD73" s="610" t="inlineStr">
        <is>
          <t>Operation of graphite and fluorite mining, processing and beneficiation production systems. Existing firms must meet Grade 3 (minimum) intensity limits; new, expansion and renovation firms must meet Grade 2 (access) limits.</t>
        </is>
      </c>
      <c r="AE73" s="610" t="inlineStr">
        <is>
          <t>Grade 3</t>
        </is>
      </c>
      <c r="AF73" s="610" t="inlineStr">
        <is>
          <t>Energy intensity limit grade</t>
        </is>
      </c>
      <c r="AG73"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H73" s="610"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I73" s="610" t="inlineStr">
        <is>
          <t>N/A</t>
        </is>
      </c>
      <c r="AJ73" s="610" t="inlineStr">
        <is>
          <t>N/A</t>
        </is>
      </c>
      <c r="AK73" s="610" t="inlineStr">
        <is>
          <t>Supervisory inspections by government agencies; enterprise energy consumption data reporting</t>
        </is>
      </c>
      <c r="AL73" s="610"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M73" s="610" t="inlineStr">
        <is>
          <t>Compliance order; Fines; Differentiated electricity pricing; Phase-out and closure</t>
        </is>
      </c>
      <c r="AN73" s="610"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3" s="610" t="inlineStr">
        <is>
          <t>Other incentives or support</t>
        </is>
      </c>
      <c r="AP73" s="610"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Q73" s="610" t="inlineStr">
        <is>
          <t>N/A</t>
        </is>
      </c>
      <c r="AR73" s="610" t="inlineStr">
        <is>
          <t>N/A</t>
        </is>
      </c>
      <c r="AS73" s="610" t="inlineStr">
        <is>
          <t>B08</t>
        </is>
      </c>
      <c r="AT73" s="610" t="inlineStr">
        <is>
          <t>CO2</t>
        </is>
      </c>
      <c r="AU73" s="610" t="inlineStr">
        <is>
          <t>Positive</t>
        </is>
      </c>
      <c r="AV73" s="610" t="inlineStr">
        <is>
          <t>Energy conservation</t>
        </is>
      </c>
      <c r="AW73" s="610" t="inlineStr">
        <is>
          <t>GB 45549-2025 Norm of Energy Consumption per Unit Production of Graphite and Fluorite</t>
        </is>
      </c>
      <c r="AX73" s="610" t="inlineStr">
        <is>
          <t>https://openstd.samr.gov.cn/bzgk/std/newGbInfo?hcno=065164EA34C008A87E8890885F5A1DCA</t>
        </is>
      </c>
      <c r="AY73" s="610" t="inlineStr">
        <is>
          <t>N/A</t>
        </is>
      </c>
      <c r="AZ73" s="610" t="inlineStr"/>
    </row>
    <row r="74">
      <c r="A74" s="610" t="inlineStr">
        <is>
          <t>CHNPRFEILI09S000</t>
        </is>
      </c>
      <c r="B74" s="610" t="inlineStr">
        <is>
          <t>Instrument</t>
        </is>
      </c>
      <c r="C74" s="610" t="inlineStr">
        <is>
          <t>Performance standard</t>
        </is>
      </c>
      <c r="D74" s="610" t="inlineStr">
        <is>
          <t>Energy intensity limit for industrial production</t>
        </is>
      </c>
      <c r="E74" s="610" t="inlineStr">
        <is>
          <t>Industry</t>
        </is>
      </c>
      <c r="F74" s="610" t="inlineStr">
        <is>
          <t>Building materials</t>
        </is>
      </c>
      <c r="G74" s="610" t="inlineStr">
        <is>
          <t>铝（塑）复合板单位产品能源消耗限额</t>
        </is>
      </c>
      <c r="H74" s="610" t="inlineStr">
        <is>
          <t>Norm of Energy Consumption per Unit Production of Aluminium (Plastic) Composite Panel</t>
        </is>
      </c>
      <c r="I74" s="610" t="inlineStr">
        <is>
          <t>N/A</t>
        </is>
      </c>
      <c r="J74" s="610"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610" t="inlineStr">
        <is>
          <t>Energy efficiency</t>
        </is>
      </c>
      <c r="L74" s="610" t="inlineStr">
        <is>
          <t>Direct</t>
        </is>
      </c>
      <c r="M74" s="610" t="inlineStr">
        <is>
          <t>national</t>
        </is>
      </c>
      <c r="N74" s="610" t="inlineStr">
        <is>
          <t>N/A</t>
        </is>
      </c>
      <c r="O74" s="610" t="inlineStr">
        <is>
          <t>31/12/2013</t>
        </is>
      </c>
      <c r="P74" s="610" t="inlineStr">
        <is>
          <t>01/12/2014</t>
        </is>
      </c>
      <c r="Q74" s="610" t="inlineStr">
        <is>
          <t>N/A</t>
        </is>
      </c>
      <c r="R74" s="610" t="inlineStr">
        <is>
          <t>28/02/2025</t>
        </is>
      </c>
      <c r="S74" s="610"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T74" s="610">
        <f>IF(P74="","In force",IF(P74="N/A","In force",IF(TODAY()&lt;DATE(VALUE(RIGHT(P74,4)),VALUE(MID(P74,4,2)),VALUE(LEFT(P74,2))),"Scheduled",IF(Q74="","In force",IF(Q74="N/A","In force",IF(TODAY()&lt;DATE(VALUE(RIGHT(Q74,4)),VALUE(MID(Q74,4,2)),VALUE(LEFT(Q74,2))),"In force","Ended"))))))</f>
        <v/>
      </c>
      <c r="U74" s="610" t="inlineStr">
        <is>
          <t>State Administration for Market Regulation; Standardization Administration of China</t>
        </is>
      </c>
      <c r="V74" s="610" t="inlineStr">
        <is>
          <t>Aluminium (plastic) composite panel production units</t>
        </is>
      </c>
      <c r="W74" s="610" t="inlineStr">
        <is>
          <t>New; Existing</t>
        </is>
      </c>
      <c r="X74" s="610" t="inlineStr">
        <is>
          <t>Production units for aluminium-plastic composite panels, non-combustible aluminium composite panels and aluminium veneers for decoration, encompassing coating, laminating, cutting and other main processes and auxiliary production systems.</t>
        </is>
      </c>
      <c r="Y74" s="610" t="inlineStr">
        <is>
          <t>N/A</t>
        </is>
      </c>
      <c r="Z74" s="610" t="inlineStr">
        <is>
          <t>N/A</t>
        </is>
      </c>
      <c r="AA74" s="610" t="inlineStr">
        <is>
          <t>Firms</t>
        </is>
      </c>
      <c r="AB74" s="610" t="inlineStr">
        <is>
          <t>Firms operating aluminium (plastic) composite panel production units within China.</t>
        </is>
      </c>
      <c r="AC74" s="610" t="inlineStr">
        <is>
          <t>Production</t>
        </is>
      </c>
      <c r="AD74" s="610" t="inlineStr">
        <is>
          <t>Operation of aluminium (plastic) composite panel production units. Existing firms must meet Grade 3 (minimum) intensity limits; new, expansion and renovation firms must meet Grade 2 (access) limits.</t>
        </is>
      </c>
      <c r="AE74" s="610" t="inlineStr">
        <is>
          <t>Grade 3</t>
        </is>
      </c>
      <c r="AF74" s="610" t="inlineStr">
        <is>
          <t>Energy intensity limit grade</t>
        </is>
      </c>
      <c r="AG74"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H74" s="610"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I74" s="610" t="inlineStr">
        <is>
          <t>N/A</t>
        </is>
      </c>
      <c r="AJ74" s="610" t="inlineStr">
        <is>
          <t>N/A</t>
        </is>
      </c>
      <c r="AK74" s="610" t="inlineStr">
        <is>
          <t>Supervisory inspections by government agencies; enterprise energy consumption data reporting</t>
        </is>
      </c>
      <c r="AL74" s="610"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M74" s="610" t="inlineStr">
        <is>
          <t>Compliance order; Fines; Differentiated electricity pricing; Phase-out and closure</t>
        </is>
      </c>
      <c r="AN74" s="610"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4" s="610" t="inlineStr">
        <is>
          <t>Other incentives or support</t>
        </is>
      </c>
      <c r="AP74" s="610"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Q74" s="610" t="inlineStr">
        <is>
          <t>N/A</t>
        </is>
      </c>
      <c r="AR74" s="610" t="inlineStr">
        <is>
          <t>N/A</t>
        </is>
      </c>
      <c r="AS74" s="610" t="inlineStr">
        <is>
          <t>C25</t>
        </is>
      </c>
      <c r="AT74" s="610" t="inlineStr">
        <is>
          <t>CO2</t>
        </is>
      </c>
      <c r="AU74" s="610" t="inlineStr">
        <is>
          <t>Positive</t>
        </is>
      </c>
      <c r="AV74" s="610" t="inlineStr">
        <is>
          <t>Energy conservation</t>
        </is>
      </c>
      <c r="AW74" s="610" t="inlineStr">
        <is>
          <t>GB 30185-2025 Norm of Energy Consumption per Unit Production of Aluminium (Plastic) Composite Panel</t>
        </is>
      </c>
      <c r="AX74" s="610" t="inlineStr">
        <is>
          <t>https://openstd.samr.gov.cn/bzgk/std/newGbInfo?hcno=6748E505890163484CE72741CF7D8D3A</t>
        </is>
      </c>
      <c r="AY74" s="610" t="inlineStr">
        <is>
          <t>GB 30185-2013 (superseded): https://openstd.samr.gov.cn/bzgk/std/newGbInfo?hcno=560D51C1E285DC30D8E67E5B5CFB6C0F</t>
        </is>
      </c>
      <c r="AZ74" s="610" t="inlineStr"/>
    </row>
    <row r="75">
      <c r="A75" s="610" t="inlineStr">
        <is>
          <t>CHNPRFEILI10S000</t>
        </is>
      </c>
      <c r="B75" s="610" t="inlineStr">
        <is>
          <t>Instrument</t>
        </is>
      </c>
      <c r="C75" s="610" t="inlineStr">
        <is>
          <t>Performance standard</t>
        </is>
      </c>
      <c r="D75" s="610" t="inlineStr">
        <is>
          <t>Energy intensity limit for industrial production</t>
        </is>
      </c>
      <c r="E75" s="610" t="inlineStr">
        <is>
          <t>Industry</t>
        </is>
      </c>
      <c r="F75" s="610" t="inlineStr">
        <is>
          <t>Food and beverage</t>
        </is>
      </c>
      <c r="G75" s="610" t="inlineStr">
        <is>
          <t>啤酒单位产品能源消耗限额</t>
        </is>
      </c>
      <c r="H75" s="610" t="inlineStr">
        <is>
          <t>Norm of Energy Consumption per Unit Production of Beer</t>
        </is>
      </c>
      <c r="I75" s="610" t="inlineStr">
        <is>
          <t>N/A</t>
        </is>
      </c>
      <c r="J75" s="610"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610" t="inlineStr">
        <is>
          <t>Energy efficiency</t>
        </is>
      </c>
      <c r="L75" s="610" t="inlineStr">
        <is>
          <t>Direct</t>
        </is>
      </c>
      <c r="M75" s="610" t="inlineStr">
        <is>
          <t>national</t>
        </is>
      </c>
      <c r="N75" s="610" t="inlineStr">
        <is>
          <t>N/A</t>
        </is>
      </c>
      <c r="O75" s="610" t="inlineStr">
        <is>
          <t>11/09/2015</t>
        </is>
      </c>
      <c r="P75" s="610" t="inlineStr">
        <is>
          <t>01/10/2016</t>
        </is>
      </c>
      <c r="Q75" s="610" t="inlineStr">
        <is>
          <t>N/A</t>
        </is>
      </c>
      <c r="R75" s="610" t="inlineStr">
        <is>
          <t>24/01/2025</t>
        </is>
      </c>
      <c r="S75" s="610"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T75" s="610">
        <f>IF(P75="","In force",IF(P75="N/A","In force",IF(TODAY()&lt;DATE(VALUE(RIGHT(P75,4)),VALUE(MID(P75,4,2)),VALUE(LEFT(P75,2))),"Scheduled",IF(Q75="","In force",IF(Q75="N/A","In force",IF(TODAY()&lt;DATE(VALUE(RIGHT(Q75,4)),VALUE(MID(Q75,4,2)),VALUE(LEFT(Q75,2))),"In force","Ended"))))))</f>
        <v/>
      </c>
      <c r="U75" s="610" t="inlineStr">
        <is>
          <t>State Administration for Market Regulation; Standardization Administration of China</t>
        </is>
      </c>
      <c r="V75" s="610" t="inlineStr">
        <is>
          <t>Beer production units</t>
        </is>
      </c>
      <c r="W75" s="610" t="inlineStr">
        <is>
          <t>New; Existing</t>
        </is>
      </c>
      <c r="X75" s="610" t="inlineStr">
        <is>
          <t>Beer production units encompassing mashing, fermentation, filtration, packaging and other full-process production units and auxiliary systems (excluding craft breweries).</t>
        </is>
      </c>
      <c r="Y75" s="610" t="inlineStr">
        <is>
          <t>N/A</t>
        </is>
      </c>
      <c r="Z75" s="610" t="inlineStr">
        <is>
          <t>N/A</t>
        </is>
      </c>
      <c r="AA75" s="610" t="inlineStr">
        <is>
          <t>Firms</t>
        </is>
      </c>
      <c r="AB75" s="610" t="inlineStr">
        <is>
          <t>Firms operating beer production units within China (excluding craft breweries).</t>
        </is>
      </c>
      <c r="AC75" s="610" t="inlineStr">
        <is>
          <t>Production</t>
        </is>
      </c>
      <c r="AD75" s="610" t="inlineStr">
        <is>
          <t>Operation of beer production units. Existing firms must meet Grade 3 (minimum) intensity limits; new, expansion and renovation firms must meet Grade 2 (access) limits.</t>
        </is>
      </c>
      <c r="AE75" s="610" t="inlineStr">
        <is>
          <t>Grade 3</t>
        </is>
      </c>
      <c r="AF75" s="610" t="inlineStr">
        <is>
          <t>Energy intensity limit grade</t>
        </is>
      </c>
      <c r="AG75"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H75" s="610"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I75" s="610" t="inlineStr">
        <is>
          <t>N/A</t>
        </is>
      </c>
      <c r="AJ75" s="610" t="inlineStr">
        <is>
          <t>N/A</t>
        </is>
      </c>
      <c r="AK75" s="610" t="inlineStr">
        <is>
          <t>Supervisory inspections by government agencies; enterprise energy consumption data reporting</t>
        </is>
      </c>
      <c r="AL75" s="610"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M75" s="610" t="inlineStr">
        <is>
          <t>Compliance order; Fines; Differentiated electricity pricing; Phase-out and closure</t>
        </is>
      </c>
      <c r="AN75" s="610"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5" s="610" t="inlineStr">
        <is>
          <t>Other incentives or support</t>
        </is>
      </c>
      <c r="AP75" s="610"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Q75" s="610" t="inlineStr">
        <is>
          <t>N/A</t>
        </is>
      </c>
      <c r="AR75" s="610" t="inlineStr">
        <is>
          <t>N/A</t>
        </is>
      </c>
      <c r="AS75" s="610" t="inlineStr">
        <is>
          <t>C11</t>
        </is>
      </c>
      <c r="AT75" s="610" t="inlineStr">
        <is>
          <t>CO2</t>
        </is>
      </c>
      <c r="AU75" s="610" t="inlineStr">
        <is>
          <t>Positive</t>
        </is>
      </c>
      <c r="AV75" s="610" t="inlineStr">
        <is>
          <t>Energy conservation</t>
        </is>
      </c>
      <c r="AW75" s="610" t="inlineStr">
        <is>
          <t>GB 32047-2025 Norm of Energy Consumption per Unit Production of Beer</t>
        </is>
      </c>
      <c r="AX75" s="610" t="inlineStr">
        <is>
          <t>https://openstd.samr.gov.cn/bzgk/std/newGbInfo?hcno=FD4197AA490DD8F5038521420BB8EAB6</t>
        </is>
      </c>
      <c r="AY75" s="610" t="inlineStr">
        <is>
          <t>GB 32047-2015 (superseded): https://openstd.samr.gov.cn/bzgk/std/newGbInfo?hcno=C1DFB96F1DEE094771AD9648B5A06D9C</t>
        </is>
      </c>
      <c r="AZ75" s="610" t="inlineStr"/>
    </row>
    <row r="76">
      <c r="A76" s="610" t="inlineStr">
        <is>
          <t>CHNPRFEILI11S000</t>
        </is>
      </c>
      <c r="B76" s="610" t="inlineStr">
        <is>
          <t>Instrument</t>
        </is>
      </c>
      <c r="C76" s="610" t="inlineStr">
        <is>
          <t>Performance standard</t>
        </is>
      </c>
      <c r="D76" s="610" t="inlineStr">
        <is>
          <t>Energy intensity limit for industrial production</t>
        </is>
      </c>
      <c r="E76" s="610" t="inlineStr">
        <is>
          <t>Energy</t>
        </is>
      </c>
      <c r="F76" s="610" t="inlineStr">
        <is>
          <t>Natural gas power generation</t>
        </is>
      </c>
      <c r="G76" s="610" t="inlineStr">
        <is>
          <t>燃气-蒸汽联合循环发电机组单位产品能源消耗限额</t>
        </is>
      </c>
      <c r="H76" s="610" t="inlineStr">
        <is>
          <t>Norm of Energy Consumption per Unit Production of Gas-Steam Combined Cycle Power Generation Units</t>
        </is>
      </c>
      <c r="I76" s="610" t="inlineStr">
        <is>
          <t>N/A</t>
        </is>
      </c>
      <c r="J76" s="610"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610" t="inlineStr">
        <is>
          <t>Energy efficiency</t>
        </is>
      </c>
      <c r="L76" s="610" t="inlineStr">
        <is>
          <t>Direct</t>
        </is>
      </c>
      <c r="M76" s="610" t="inlineStr">
        <is>
          <t>national</t>
        </is>
      </c>
      <c r="N76" s="610" t="inlineStr">
        <is>
          <t>N/A</t>
        </is>
      </c>
      <c r="O76" s="610" t="inlineStr">
        <is>
          <t>24/01/2025</t>
        </is>
      </c>
      <c r="P76" s="610" t="inlineStr">
        <is>
          <t>01/08/2025</t>
        </is>
      </c>
      <c r="Q76" s="610" t="inlineStr">
        <is>
          <t>N/A</t>
        </is>
      </c>
      <c r="R76" s="610" t="inlineStr">
        <is>
          <t>N/A</t>
        </is>
      </c>
      <c r="S76" s="610" t="inlineStr">
        <is>
          <t>N/A</t>
        </is>
      </c>
      <c r="T76" s="610">
        <f>IF(P76="","In force",IF(P76="N/A","In force",IF(TODAY()&lt;DATE(VALUE(RIGHT(P76,4)),VALUE(MID(P76,4,2)),VALUE(LEFT(P76,2))),"Scheduled",IF(Q76="","In force",IF(Q76="N/A","In force",IF(TODAY()&lt;DATE(VALUE(RIGHT(Q76,4)),VALUE(MID(Q76,4,2)),VALUE(LEFT(Q76,2))),"In force","Ended"))))))</f>
        <v/>
      </c>
      <c r="U76" s="610" t="inlineStr">
        <is>
          <t>State Administration for Market Regulation; Standardization Administration of China</t>
        </is>
      </c>
      <c r="V76" s="610" t="inlineStr">
        <is>
          <t>Gas-steam combined cycle power generation units</t>
        </is>
      </c>
      <c r="W76" s="610" t="inlineStr">
        <is>
          <t>New; Existing</t>
        </is>
      </c>
      <c r="X76" s="610"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Y76" s="610" t="inlineStr">
        <is>
          <t>N/A</t>
        </is>
      </c>
      <c r="Z76" s="610" t="inlineStr">
        <is>
          <t>N/A</t>
        </is>
      </c>
      <c r="AA76" s="610" t="inlineStr">
        <is>
          <t>Firms</t>
        </is>
      </c>
      <c r="AB76" s="610" t="inlineStr">
        <is>
          <t>Firms operating gas-steam combined cycle power generation units within China.</t>
        </is>
      </c>
      <c r="AC76" s="610" t="inlineStr">
        <is>
          <t>Production</t>
        </is>
      </c>
      <c r="AD76" s="610" t="inlineStr">
        <is>
          <t>Operation of gas-steam combined cycle power generation units. Existing units must meet Grade 3 (minimum) intensity limits; new, expansion and renovation units must meet Grade 2 (access) limits.</t>
        </is>
      </c>
      <c r="AE76" s="610" t="inlineStr">
        <is>
          <t>Grade 3</t>
        </is>
      </c>
      <c r="AF76" s="610" t="inlineStr">
        <is>
          <t>Energy intensity limit grade</t>
        </is>
      </c>
      <c r="AG76" s="610"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H76" s="610"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I76" s="610" t="inlineStr">
        <is>
          <t>N/A</t>
        </is>
      </c>
      <c r="AJ76" s="610" t="inlineStr">
        <is>
          <t>N/A</t>
        </is>
      </c>
      <c r="AK76" s="610" t="inlineStr">
        <is>
          <t>Supervisory inspections by government agencies; enterprise energy consumption data reporting</t>
        </is>
      </c>
      <c r="AL76" s="610"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M76" s="610" t="inlineStr">
        <is>
          <t>Compliance order; Fines; Differentiated electricity pricing; Phase-out and closure</t>
        </is>
      </c>
      <c r="AN76" s="610"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O76" s="610" t="inlineStr">
        <is>
          <t>Other incentives or support</t>
        </is>
      </c>
      <c r="AP76" s="610"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Q76" s="610" t="inlineStr">
        <is>
          <t>N/A</t>
        </is>
      </c>
      <c r="AR76" s="610" t="inlineStr">
        <is>
          <t>N/A</t>
        </is>
      </c>
      <c r="AS76" s="610" t="inlineStr">
        <is>
          <t>D35</t>
        </is>
      </c>
      <c r="AT76" s="610" t="inlineStr">
        <is>
          <t>CO2</t>
        </is>
      </c>
      <c r="AU76" s="610" t="inlineStr">
        <is>
          <t>Positive</t>
        </is>
      </c>
      <c r="AV76" s="610" t="inlineStr">
        <is>
          <t>Energy conservation; Pollution control</t>
        </is>
      </c>
      <c r="AW76" s="610" t="inlineStr">
        <is>
          <t>GB 45247-2025 Norm of Energy Consumption per Unit Production of Gas-Steam Combined Cycle Power Generation Units</t>
        </is>
      </c>
      <c r="AX76" s="610" t="inlineStr">
        <is>
          <t>https://openstd.samr.gov.cn/bzgk/std/newGbInfo?hcno=3627D46BC09E598FDFBD4C3870A45CA4</t>
        </is>
      </c>
      <c r="AY76" s="610" t="inlineStr">
        <is>
          <t>N/A</t>
        </is>
      </c>
      <c r="AZ76" s="610" t="inlineStr"/>
    </row>
    <row r="77">
      <c r="A77" s="610" t="inlineStr">
        <is>
          <t>CHNPRFEILI12S000</t>
        </is>
      </c>
      <c r="B77" s="610" t="inlineStr">
        <is>
          <t>Instrument</t>
        </is>
      </c>
      <c r="C77" s="610" t="inlineStr">
        <is>
          <t>Performance standard</t>
        </is>
      </c>
      <c r="D77" s="610" t="inlineStr">
        <is>
          <t>Energy intensity limit for industrial production</t>
        </is>
      </c>
      <c r="E77" s="610" t="inlineStr">
        <is>
          <t>Industry</t>
        </is>
      </c>
      <c r="F77" s="610" t="inlineStr">
        <is>
          <t>Wood processing</t>
        </is>
      </c>
      <c r="G77" s="610" t="inlineStr">
        <is>
          <t>人造板类主要产品单位产品能源消耗限额</t>
        </is>
      </c>
      <c r="H77" s="610" t="inlineStr">
        <is>
          <t>Norm of Energy Consumption per Unit Production of Main Wood-Based Panel Products</t>
        </is>
      </c>
      <c r="I77" s="610" t="inlineStr">
        <is>
          <t>N/A</t>
        </is>
      </c>
      <c r="J77" s="610"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610" t="inlineStr">
        <is>
          <t>Energy efficiency</t>
        </is>
      </c>
      <c r="L77" s="610" t="inlineStr">
        <is>
          <t>Direct</t>
        </is>
      </c>
      <c r="M77" s="610" t="inlineStr">
        <is>
          <t>national</t>
        </is>
      </c>
      <c r="N77" s="610" t="inlineStr">
        <is>
          <t>N/A</t>
        </is>
      </c>
      <c r="O77" s="610" t="inlineStr">
        <is>
          <t>24/01/2025</t>
        </is>
      </c>
      <c r="P77" s="610" t="inlineStr">
        <is>
          <t>01/02/2026</t>
        </is>
      </c>
      <c r="Q77" s="610" t="inlineStr">
        <is>
          <t>N/A</t>
        </is>
      </c>
      <c r="R77" s="610" t="inlineStr">
        <is>
          <t>N/A</t>
        </is>
      </c>
      <c r="S77" s="610" t="inlineStr">
        <is>
          <t>N/A</t>
        </is>
      </c>
      <c r="T77" s="610">
        <f>IF(P77="","In force",IF(P77="N/A","In force",IF(TODAY()&lt;DATE(VALUE(RIGHT(P77,4)),VALUE(MID(P77,4,2)),VALUE(LEFT(P77,2))),"Scheduled",IF(Q77="","In force",IF(Q77="N/A","In force",IF(TODAY()&lt;DATE(VALUE(RIGHT(Q77,4)),VALUE(MID(Q77,4,2)),VALUE(LEFT(Q77,2))),"In force","Ended"))))))</f>
        <v/>
      </c>
      <c r="U77" s="610" t="inlineStr">
        <is>
          <t>State Administration for Market Regulation; Standardization Administration of China</t>
        </is>
      </c>
      <c r="V77" s="610" t="inlineStr">
        <is>
          <t>Wood-based panel production facilities</t>
        </is>
      </c>
      <c r="W77" s="610" t="inlineStr">
        <is>
          <t>New; Existing</t>
        </is>
      </c>
      <c r="X77" s="610"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Y77" s="610" t="inlineStr">
        <is>
          <t>N/A</t>
        </is>
      </c>
      <c r="Z77" s="610" t="inlineStr">
        <is>
          <t>N/A</t>
        </is>
      </c>
      <c r="AA77" s="610" t="inlineStr">
        <is>
          <t>Firms</t>
        </is>
      </c>
      <c r="AB77" s="610" t="inlineStr">
        <is>
          <t>Firms operating wood-based panel production facilities within China.</t>
        </is>
      </c>
      <c r="AC77" s="610" t="inlineStr">
        <is>
          <t>Production</t>
        </is>
      </c>
      <c r="AD77" s="610" t="inlineStr">
        <is>
          <t>Operation of wood-based panel production facilities. Existing firms must meet Grade 3 (minimum) intensity limits; new, expansion and renovation firms must meet Grade 2 (access) limits.</t>
        </is>
      </c>
      <c r="AE77" s="610" t="inlineStr">
        <is>
          <t>Grade 3</t>
        </is>
      </c>
      <c r="AF77" s="610" t="inlineStr">
        <is>
          <t>Energy intensity limit grade</t>
        </is>
      </c>
      <c r="AG7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H77" s="610"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I77" s="610" t="inlineStr">
        <is>
          <t>N/A</t>
        </is>
      </c>
      <c r="AJ77" s="610" t="inlineStr">
        <is>
          <t>N/A</t>
        </is>
      </c>
      <c r="AK77" s="610" t="inlineStr">
        <is>
          <t>Supervisory inspections by government agencies; enterprise energy consumption data reporting</t>
        </is>
      </c>
      <c r="AL77" s="610"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M77" s="610" t="inlineStr">
        <is>
          <t>Compliance order; Fines; Differentiated electricity pricing; Phase-out and closure</t>
        </is>
      </c>
      <c r="AN77" s="610"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7" s="610" t="inlineStr">
        <is>
          <t>Other incentives or support</t>
        </is>
      </c>
      <c r="AP77" s="610"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Q77" s="610" t="inlineStr">
        <is>
          <t>N/A</t>
        </is>
      </c>
      <c r="AR77" s="610" t="inlineStr">
        <is>
          <t>N/A</t>
        </is>
      </c>
      <c r="AS77" s="610" t="inlineStr">
        <is>
          <t>C16</t>
        </is>
      </c>
      <c r="AT77" s="610" t="inlineStr">
        <is>
          <t>CO2</t>
        </is>
      </c>
      <c r="AU77" s="610" t="inlineStr">
        <is>
          <t>Positive</t>
        </is>
      </c>
      <c r="AV77" s="610" t="inlineStr">
        <is>
          <t>Energy conservation</t>
        </is>
      </c>
      <c r="AW77" s="610" t="inlineStr">
        <is>
          <t>GB 45246-2025 Norm of Energy Consumption per Unit Production of Main Wood-Based Panel Products</t>
        </is>
      </c>
      <c r="AX77" s="610" t="inlineStr">
        <is>
          <t>https://openstd.samr.gov.cn/bzgk/std/newGbInfo?hcno=414C651F4237CDBA21C70AB30480A56E</t>
        </is>
      </c>
      <c r="AY77" s="610" t="inlineStr">
        <is>
          <t>N/A</t>
        </is>
      </c>
      <c r="AZ77" s="610" t="inlineStr"/>
    </row>
    <row r="78">
      <c r="A78" s="610" t="inlineStr">
        <is>
          <t>CHNPRFEILI13S000</t>
        </is>
      </c>
      <c r="B78" s="610" t="inlineStr">
        <is>
          <t>Instrument</t>
        </is>
      </c>
      <c r="C78" s="610" t="inlineStr">
        <is>
          <t>Performance standard</t>
        </is>
      </c>
      <c r="D78" s="610" t="inlineStr">
        <is>
          <t>Energy intensity limit for industrial production</t>
        </is>
      </c>
      <c r="E78" s="610" t="inlineStr">
        <is>
          <t>Industry</t>
        </is>
      </c>
      <c r="F78" s="610" t="inlineStr">
        <is>
          <t>Chemicals</t>
        </is>
      </c>
      <c r="G78" s="610" t="inlineStr">
        <is>
          <t>工业硫酸、稀硝酸和冰醋酸单位产品能源消耗限额</t>
        </is>
      </c>
      <c r="H78" s="610" t="inlineStr">
        <is>
          <t>Norm of Energy Consumption per Unit Production of Industrial Sulfuric Acid, Dilute Nitric Acid and Glacial Acetic Acid</t>
        </is>
      </c>
      <c r="I78" s="610" t="inlineStr">
        <is>
          <t>N/A</t>
        </is>
      </c>
      <c r="J78" s="610"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610" t="inlineStr">
        <is>
          <t>Energy efficiency</t>
        </is>
      </c>
      <c r="L78" s="610" t="inlineStr">
        <is>
          <t>Direct</t>
        </is>
      </c>
      <c r="M78" s="610" t="inlineStr">
        <is>
          <t>national</t>
        </is>
      </c>
      <c r="N78" s="610" t="inlineStr">
        <is>
          <t>N/A</t>
        </is>
      </c>
      <c r="O78" s="610" t="inlineStr">
        <is>
          <t>27/09/2012</t>
        </is>
      </c>
      <c r="P78" s="610" t="inlineStr">
        <is>
          <t>01/10/2013</t>
        </is>
      </c>
      <c r="Q78" s="610" t="inlineStr">
        <is>
          <t>N/A</t>
        </is>
      </c>
      <c r="R78" s="610" t="inlineStr">
        <is>
          <t>28/05/2024</t>
        </is>
      </c>
      <c r="S78" s="610"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T78" s="610">
        <f>IF(P78="","In force",IF(P78="N/A","In force",IF(TODAY()&lt;DATE(VALUE(RIGHT(P78,4)),VALUE(MID(P78,4,2)),VALUE(LEFT(P78,2))),"Scheduled",IF(Q78="","In force",IF(Q78="N/A","In force",IF(TODAY()&lt;DATE(VALUE(RIGHT(Q78,4)),VALUE(MID(Q78,4,2)),VALUE(LEFT(Q78,2))),"In force","Ended"))))))</f>
        <v/>
      </c>
      <c r="U78" s="610" t="inlineStr">
        <is>
          <t>State Administration for Market Regulation; Standardization Administration of China</t>
        </is>
      </c>
      <c r="V78" s="610" t="inlineStr">
        <is>
          <t>Sulfuric acid, dilute nitric acid and glacial acetic acid production facilities</t>
        </is>
      </c>
      <c r="W78" s="610" t="inlineStr">
        <is>
          <t>New; Existing</t>
        </is>
      </c>
      <c r="X78" s="610"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Y78" s="610" t="inlineStr">
        <is>
          <t>N/A</t>
        </is>
      </c>
      <c r="Z78" s="610" t="inlineStr">
        <is>
          <t>N/A</t>
        </is>
      </c>
      <c r="AA78" s="610" t="inlineStr">
        <is>
          <t>Firms</t>
        </is>
      </c>
      <c r="AB78" s="610" t="inlineStr">
        <is>
          <t>Firms operating industrial sulfuric acid, dilute nitric acid or glacial acetic acid production facilities within China.</t>
        </is>
      </c>
      <c r="AC78" s="610" t="inlineStr">
        <is>
          <t>Production</t>
        </is>
      </c>
      <c r="AD78" s="610" t="inlineStr">
        <is>
          <t>Operation of sulfuric acid, dilute nitric acid and glacial acetic acid production facilities. Existing firms must meet Grade 3 (minimum) intensity limits; new, expansion and renovation firms must meet Grade 2 (access) limits.</t>
        </is>
      </c>
      <c r="AE78" s="610" t="inlineStr">
        <is>
          <t>Grade 3</t>
        </is>
      </c>
      <c r="AF78" s="610" t="inlineStr">
        <is>
          <t>Energy intensity limit grade</t>
        </is>
      </c>
      <c r="AG7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H78" s="610"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78" s="610" t="inlineStr">
        <is>
          <t>N/A</t>
        </is>
      </c>
      <c r="AJ78" s="610" t="inlineStr">
        <is>
          <t>N/A</t>
        </is>
      </c>
      <c r="AK78" s="610" t="inlineStr">
        <is>
          <t>Inspections or audits conducted by government authorities or third parties; Energy consumption data reporting by firms</t>
        </is>
      </c>
      <c r="AL78" s="610"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M78" s="610" t="inlineStr">
        <is>
          <t>Compliance order; Fines; Differentiated electricity pricing; Phase-out and closure</t>
        </is>
      </c>
      <c r="AN78" s="610"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8" s="610"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P78" s="610"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Q78" s="610" t="inlineStr">
        <is>
          <t>N/A</t>
        </is>
      </c>
      <c r="AR78" s="610" t="inlineStr">
        <is>
          <t>N/A</t>
        </is>
      </c>
      <c r="AS78" s="610" t="inlineStr">
        <is>
          <t>C20</t>
        </is>
      </c>
      <c r="AT78" s="610" t="inlineStr">
        <is>
          <t>CO2</t>
        </is>
      </c>
      <c r="AU78" s="610" t="inlineStr">
        <is>
          <t>Positive</t>
        </is>
      </c>
      <c r="AV78" s="610" t="inlineStr">
        <is>
          <t>Energy conservation</t>
        </is>
      </c>
      <c r="AW78" s="610" t="inlineStr">
        <is>
          <t>GB 29141-2024 Norm of Energy Consumption per Unit Production of Industrial Sulfuric Acid, Dilute Nitric Acid and Glacial Acetic Acid</t>
        </is>
      </c>
      <c r="AX78" s="610" t="inlineStr">
        <is>
          <t>https://openstd.samr.gov.cn/bzgk/std/newGbInfo?hcno=8836ECA91BD3B22A28570D35D8B21D41</t>
        </is>
      </c>
      <c r="AY78" s="610" t="inlineStr">
        <is>
          <t>GB 29141-2012 (superseded): https://openstd.samr.gov.cn/bzgk/std/nd?no=2162</t>
        </is>
      </c>
      <c r="AZ78" s="610" t="inlineStr"/>
    </row>
    <row r="79">
      <c r="A79" s="610" t="inlineStr">
        <is>
          <t>CHNPRFEILI14S000</t>
        </is>
      </c>
      <c r="B79" s="610" t="inlineStr">
        <is>
          <t>Instrument</t>
        </is>
      </c>
      <c r="C79" s="610" t="inlineStr">
        <is>
          <t>Performance standard</t>
        </is>
      </c>
      <c r="D79" s="610" t="inlineStr">
        <is>
          <t>Energy intensity limit for industrial production</t>
        </is>
      </c>
      <c r="E79" s="610" t="inlineStr">
        <is>
          <t>Industry</t>
        </is>
      </c>
      <c r="F79" s="610" t="inlineStr">
        <is>
          <t>Chemicals</t>
        </is>
      </c>
      <c r="G79" s="610" t="inlineStr">
        <is>
          <t>烧碱、聚氯乙烯树脂和甲烷氯化物单位产品能源消耗限额</t>
        </is>
      </c>
      <c r="H79" s="610" t="inlineStr">
        <is>
          <t>Norm of Energy Consumption per Unit Production of Caustic Soda, PVC Resin and Chlorinated Methanes</t>
        </is>
      </c>
      <c r="I79" s="610" t="inlineStr">
        <is>
          <t>N/A</t>
        </is>
      </c>
      <c r="J79" s="610"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610" t="inlineStr">
        <is>
          <t>Energy efficiency</t>
        </is>
      </c>
      <c r="L79" s="610" t="inlineStr">
        <is>
          <t>Direct</t>
        </is>
      </c>
      <c r="M79" s="610" t="inlineStr">
        <is>
          <t>national</t>
        </is>
      </c>
      <c r="N79" s="610" t="inlineStr">
        <is>
          <t>N/A</t>
        </is>
      </c>
      <c r="O79" s="610" t="inlineStr">
        <is>
          <t>03/12/2007</t>
        </is>
      </c>
      <c r="P79" s="610" t="inlineStr">
        <is>
          <t>01/06/2008</t>
        </is>
      </c>
      <c r="Q79" s="610" t="inlineStr">
        <is>
          <t>N/A</t>
        </is>
      </c>
      <c r="R79" s="610" t="inlineStr">
        <is>
          <t>29/04/2024</t>
        </is>
      </c>
      <c r="S79" s="610"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T79" s="610">
        <f>IF(P79="","In force",IF(P79="N/A","In force",IF(TODAY()&lt;DATE(VALUE(RIGHT(P79,4)),VALUE(MID(P79,4,2)),VALUE(LEFT(P79,2))),"Scheduled",IF(Q79="","In force",IF(Q79="N/A","In force",IF(TODAY()&lt;DATE(VALUE(RIGHT(Q79,4)),VALUE(MID(Q79,4,2)),VALUE(LEFT(Q79,2))),"In force","Ended"))))))</f>
        <v/>
      </c>
      <c r="U79" s="610" t="inlineStr">
        <is>
          <t>State Administration for Market Regulation; Standardization Administration of China</t>
        </is>
      </c>
      <c r="V79" s="610" t="inlineStr">
        <is>
          <t>Caustic soda, PVC resin and chlorinated methanes production facilities</t>
        </is>
      </c>
      <c r="W79" s="610" t="inlineStr">
        <is>
          <t>New; Existing</t>
        </is>
      </c>
      <c r="X79" s="610"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Y79" s="610" t="inlineStr">
        <is>
          <t>N/A</t>
        </is>
      </c>
      <c r="Z79" s="610" t="inlineStr">
        <is>
          <t>N/A</t>
        </is>
      </c>
      <c r="AA79" s="610" t="inlineStr">
        <is>
          <t>Firms</t>
        </is>
      </c>
      <c r="AB79" s="610" t="inlineStr">
        <is>
          <t>Firms operating caustic soda, PVC resin or chlorinated methanes production facilities within China.</t>
        </is>
      </c>
      <c r="AC79" s="610" t="inlineStr">
        <is>
          <t>Production</t>
        </is>
      </c>
      <c r="AD79" s="610" t="inlineStr">
        <is>
          <t>Operation of caustic soda, PVC resin and chlorinated methanes production facilities. Existing firms must meet Grade 3 (minimum) intensity limits; new, expansion and renovation firms must meet Grade 2 (access) limits.</t>
        </is>
      </c>
      <c r="AE79" s="610" t="inlineStr">
        <is>
          <t>Grade 3</t>
        </is>
      </c>
      <c r="AF79" s="610" t="inlineStr">
        <is>
          <t>Energy intensity limit grade</t>
        </is>
      </c>
      <c r="AG7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H79" s="610"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79" s="610" t="inlineStr">
        <is>
          <t>N/A</t>
        </is>
      </c>
      <c r="AJ79" s="610" t="inlineStr">
        <is>
          <t>N/A</t>
        </is>
      </c>
      <c r="AK79" s="610" t="inlineStr">
        <is>
          <t>Inspections or audits conducted by government authorities or third parties; Energy consumption data reporting by firms</t>
        </is>
      </c>
      <c r="AL79" s="610"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M79" s="610" t="inlineStr">
        <is>
          <t>Compliance order; Fines; Differentiated electricity pricing; Phase-out and closure</t>
        </is>
      </c>
      <c r="AN79" s="610"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9" s="610"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P79" s="610"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Q79" s="610" t="inlineStr">
        <is>
          <t>N/A</t>
        </is>
      </c>
      <c r="AR79" s="610" t="inlineStr">
        <is>
          <t>N/A</t>
        </is>
      </c>
      <c r="AS79" s="610" t="inlineStr">
        <is>
          <t>C20</t>
        </is>
      </c>
      <c r="AT79" s="610" t="inlineStr">
        <is>
          <t>CO2</t>
        </is>
      </c>
      <c r="AU79" s="610" t="inlineStr">
        <is>
          <t>Positive</t>
        </is>
      </c>
      <c r="AV79" s="610" t="inlineStr">
        <is>
          <t>Energy conservation</t>
        </is>
      </c>
      <c r="AW79" s="610" t="inlineStr">
        <is>
          <t>GB 21257-2024 Norm of Energy Consumption per Unit Production of Caustic Soda, PVC Resin and Chlorinated Methanes</t>
        </is>
      </c>
      <c r="AX79" s="610" t="inlineStr">
        <is>
          <t>https://openstd.samr.gov.cn/bzgk/std/newGbInfo?hcno=E49F11C43C31BD89386C871B3D75F054</t>
        </is>
      </c>
      <c r="AY79" s="610" t="inlineStr">
        <is>
          <t>GB 21257-2014 (superseded): https://openstd.samr.gov.cn/bzgk/std/nd?no=2142</t>
        </is>
      </c>
      <c r="AZ79" s="610" t="inlineStr"/>
    </row>
    <row r="80">
      <c r="A80" s="610" t="inlineStr">
        <is>
          <t>CHNPRFEILI15S000</t>
        </is>
      </c>
      <c r="B80" s="610" t="inlineStr">
        <is>
          <t>Instrument</t>
        </is>
      </c>
      <c r="C80" s="610" t="inlineStr">
        <is>
          <t>Performance standard</t>
        </is>
      </c>
      <c r="D80" s="610" t="inlineStr">
        <is>
          <t>Energy intensity limit for industrial production</t>
        </is>
      </c>
      <c r="E80" s="610" t="inlineStr">
        <is>
          <t>Industry</t>
        </is>
      </c>
      <c r="F80" s="610" t="inlineStr">
        <is>
          <t>Chemicals</t>
        </is>
      </c>
      <c r="G80" s="610" t="inlineStr">
        <is>
          <t>钛白粉和氧化铁颜料单位产品能源消耗限额</t>
        </is>
      </c>
      <c r="H80" s="610" t="inlineStr">
        <is>
          <t>Norm of Energy Consumption per Unit Production of Titanium Dioxide and Iron Oxide Pigments</t>
        </is>
      </c>
      <c r="I80" s="610" t="inlineStr">
        <is>
          <t>N/A</t>
        </is>
      </c>
      <c r="J80" s="610"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610" t="inlineStr">
        <is>
          <t>Energy efficiency</t>
        </is>
      </c>
      <c r="L80" s="610" t="inlineStr">
        <is>
          <t>Direct</t>
        </is>
      </c>
      <c r="M80" s="610" t="inlineStr">
        <is>
          <t>national</t>
        </is>
      </c>
      <c r="N80" s="610" t="inlineStr">
        <is>
          <t>N/A</t>
        </is>
      </c>
      <c r="O80" s="610" t="inlineStr">
        <is>
          <t>11/09/2015</t>
        </is>
      </c>
      <c r="P80" s="610" t="inlineStr">
        <is>
          <t>01/10/2016</t>
        </is>
      </c>
      <c r="Q80" s="610" t="inlineStr">
        <is>
          <t>N/A</t>
        </is>
      </c>
      <c r="R80" s="610" t="inlineStr">
        <is>
          <t>29/04/2024</t>
        </is>
      </c>
      <c r="S80" s="610" t="inlineStr">
        <is>
          <t>On 29 April 2024, GB 32051-2024 was published, replacing GB 32051-2015, adding iron oxide pigment energy intensity limit requirements, and updating energy intensity limits for titanium dioxide across all grades.</t>
        </is>
      </c>
      <c r="T80" s="610">
        <f>IF(P80="","In force",IF(P80="N/A","In force",IF(TODAY()&lt;DATE(VALUE(RIGHT(P80,4)),VALUE(MID(P80,4,2)),VALUE(LEFT(P80,2))),"Scheduled",IF(Q80="","In force",IF(Q80="N/A","In force",IF(TODAY()&lt;DATE(VALUE(RIGHT(Q80,4)),VALUE(MID(Q80,4,2)),VALUE(LEFT(Q80,2))),"In force","Ended"))))))</f>
        <v/>
      </c>
      <c r="U80" s="610" t="inlineStr">
        <is>
          <t>State Administration for Market Regulation; Standardization Administration of China</t>
        </is>
      </c>
      <c r="V80" s="610" t="inlineStr">
        <is>
          <t>Titanium dioxide and iron oxide pigment production facilities</t>
        </is>
      </c>
      <c r="W80" s="610" t="inlineStr">
        <is>
          <t>New; Existing</t>
        </is>
      </c>
      <c r="X80" s="610"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Y80" s="610" t="inlineStr">
        <is>
          <t>N/A</t>
        </is>
      </c>
      <c r="Z80" s="610" t="inlineStr">
        <is>
          <t>N/A</t>
        </is>
      </c>
      <c r="AA80" s="610" t="inlineStr">
        <is>
          <t>Firms</t>
        </is>
      </c>
      <c r="AB80" s="610" t="inlineStr">
        <is>
          <t>Firms operating titanium dioxide or iron oxide pigment production facilities within China.</t>
        </is>
      </c>
      <c r="AC80" s="610" t="inlineStr">
        <is>
          <t>Production</t>
        </is>
      </c>
      <c r="AD80" s="610" t="inlineStr">
        <is>
          <t>Operation of titanium dioxide and iron oxide pigment production facilities. Existing firms must meet Grade 3 (minimum) intensity limits; new, expansion and renovation firms must meet Grade 2 (access) limits.</t>
        </is>
      </c>
      <c r="AE80" s="610" t="inlineStr">
        <is>
          <t>Grade 3</t>
        </is>
      </c>
      <c r="AF80" s="610" t="inlineStr">
        <is>
          <t>Energy intensity limit grade</t>
        </is>
      </c>
      <c r="AG8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H80" s="610"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0" s="610" t="inlineStr">
        <is>
          <t>N/A</t>
        </is>
      </c>
      <c r="AJ80" s="610" t="inlineStr">
        <is>
          <t>N/A</t>
        </is>
      </c>
      <c r="AK80" s="610" t="inlineStr">
        <is>
          <t>Inspections or audits conducted by government authorities or third parties; Energy consumption data reporting by firms</t>
        </is>
      </c>
      <c r="AL80" s="610"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M80" s="610" t="inlineStr">
        <is>
          <t>Compliance order; Fines; Differentiated electricity pricing; Phase-out and closure</t>
        </is>
      </c>
      <c r="AN80" s="610"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0" s="610"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P80" s="610"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Q80" s="610" t="inlineStr">
        <is>
          <t>N/A</t>
        </is>
      </c>
      <c r="AR80" s="610" t="inlineStr">
        <is>
          <t>N/A</t>
        </is>
      </c>
      <c r="AS80" s="610" t="inlineStr">
        <is>
          <t>C20</t>
        </is>
      </c>
      <c r="AT80" s="610" t="inlineStr">
        <is>
          <t>CO2</t>
        </is>
      </c>
      <c r="AU80" s="610" t="inlineStr">
        <is>
          <t>Positive</t>
        </is>
      </c>
      <c r="AV80" s="610" t="inlineStr">
        <is>
          <t>Energy conservation</t>
        </is>
      </c>
      <c r="AW80" s="610" t="inlineStr">
        <is>
          <t>GB 32051-2024 Norm of Energy Consumption per Unit Production of Titanium Dioxide and Iron Oxide Pigments</t>
        </is>
      </c>
      <c r="AX80" s="610" t="inlineStr">
        <is>
          <t>https://openstd.samr.gov.cn/bzgk/std/newGbInfo?hcno=DAC18F2C6C2B3B9C47F34CC093434B82</t>
        </is>
      </c>
      <c r="AY80" s="610" t="inlineStr">
        <is>
          <t>GB 32051-2015 (superseded): https://openstd.samr.gov.cn/bzgk/std/nd?no=2142</t>
        </is>
      </c>
      <c r="AZ80" s="610" t="inlineStr"/>
    </row>
    <row r="81">
      <c r="A81" s="610" t="inlineStr">
        <is>
          <t>CHNPRFEILI16S000</t>
        </is>
      </c>
      <c r="B81" s="610" t="inlineStr">
        <is>
          <t>Instrument</t>
        </is>
      </c>
      <c r="C81" s="610" t="inlineStr">
        <is>
          <t>Performance standard</t>
        </is>
      </c>
      <c r="D81" s="610" t="inlineStr">
        <is>
          <t>Energy intensity limit for industrial production</t>
        </is>
      </c>
      <c r="E81" s="610" t="inlineStr">
        <is>
          <t>Energy; Industry</t>
        </is>
      </c>
      <c r="F81" s="610" t="inlineStr">
        <is>
          <t>Coal chemicals</t>
        </is>
      </c>
      <c r="G81" s="610" t="inlineStr">
        <is>
          <t>煤制烯烃、煤制天然气和煤制油单位产品能源消耗限额</t>
        </is>
      </c>
      <c r="H81" s="610" t="inlineStr">
        <is>
          <t>Norm of Energy Consumption per Unit Production of Coal-to-Olefins, Coal-to-Synthetic Natural Gas and Coal-to-Liquids</t>
        </is>
      </c>
      <c r="I81" s="610" t="inlineStr">
        <is>
          <t>N/A</t>
        </is>
      </c>
      <c r="J81" s="610"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610" t="inlineStr">
        <is>
          <t>Energy efficiency</t>
        </is>
      </c>
      <c r="L81" s="610" t="inlineStr">
        <is>
          <t>Direct</t>
        </is>
      </c>
      <c r="M81" s="610" t="inlineStr">
        <is>
          <t>national</t>
        </is>
      </c>
      <c r="N81" s="610" t="inlineStr">
        <is>
          <t>N/A</t>
        </is>
      </c>
      <c r="O81" s="610" t="inlineStr">
        <is>
          <t>31/12/2013</t>
        </is>
      </c>
      <c r="P81" s="610" t="inlineStr">
        <is>
          <t>01/12/2014</t>
        </is>
      </c>
      <c r="Q81" s="610" t="inlineStr">
        <is>
          <t>N/A</t>
        </is>
      </c>
      <c r="R81" s="610" t="inlineStr">
        <is>
          <t>29/04/2024</t>
        </is>
      </c>
      <c r="S81" s="610"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T81" s="610">
        <f>IF(P81="","In force",IF(P81="N/A","In force",IF(TODAY()&lt;DATE(VALUE(RIGHT(P81,4)),VALUE(MID(P81,4,2)),VALUE(LEFT(P81,2))),"Scheduled",IF(Q81="","In force",IF(Q81="N/A","In force",IF(TODAY()&lt;DATE(VALUE(RIGHT(Q81,4)),VALUE(MID(Q81,4,2)),VALUE(LEFT(Q81,2))),"In force","Ended"))))))</f>
        <v/>
      </c>
      <c r="U81" s="610" t="inlineStr">
        <is>
          <t>State Administration for Market Regulation; Standardization Administration of China</t>
        </is>
      </c>
      <c r="V81" s="610" t="inlineStr">
        <is>
          <t>Coal-to-olefins, coal-to-synthetic natural gas and coal-to-liquids production facilities</t>
        </is>
      </c>
      <c r="W81" s="610" t="inlineStr">
        <is>
          <t>New; Existing</t>
        </is>
      </c>
      <c r="X81" s="610"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Y81" s="610" t="inlineStr">
        <is>
          <t>N/A</t>
        </is>
      </c>
      <c r="Z81" s="610" t="inlineStr">
        <is>
          <t>N/A</t>
        </is>
      </c>
      <c r="AA81" s="610" t="inlineStr">
        <is>
          <t>Firms</t>
        </is>
      </c>
      <c r="AB81" s="610" t="inlineStr">
        <is>
          <t>Firms operating coal-to-olefins, coal-to-synthetic natural gas or coal-to-liquids production facilities within China.</t>
        </is>
      </c>
      <c r="AC81" s="610" t="inlineStr">
        <is>
          <t>Production</t>
        </is>
      </c>
      <c r="AD81" s="610" t="inlineStr">
        <is>
          <t>Operation of coal-to-olefins, coal-to-synthetic natural gas and coal-to-liquids production facilities. Existing firms must meet Grade 3 (minimum) intensity limits; new, expansion and renovation firms must meet Grade 2 (access) limits.</t>
        </is>
      </c>
      <c r="AE81" s="610" t="inlineStr">
        <is>
          <t>Grade 3</t>
        </is>
      </c>
      <c r="AF81" s="610" t="inlineStr">
        <is>
          <t>Energy intensity limit grade</t>
        </is>
      </c>
      <c r="AG8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H81" s="610"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1" s="610" t="inlineStr">
        <is>
          <t>N/A</t>
        </is>
      </c>
      <c r="AJ81" s="610" t="inlineStr">
        <is>
          <t>N/A</t>
        </is>
      </c>
      <c r="AK81" s="610" t="inlineStr">
        <is>
          <t>Inspections or audits conducted by government authorities or third parties; Energy consumption data reporting by firms</t>
        </is>
      </c>
      <c r="AL81" s="610"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M81" s="610" t="inlineStr">
        <is>
          <t>Compliance order; Fines; Differentiated electricity pricing; Phase-out and closure</t>
        </is>
      </c>
      <c r="AN81" s="610"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1" s="610"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P81" s="610"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1" s="610" t="inlineStr">
        <is>
          <t>N/A</t>
        </is>
      </c>
      <c r="AR81" s="610" t="inlineStr">
        <is>
          <t>N/A</t>
        </is>
      </c>
      <c r="AS81" s="610" t="inlineStr">
        <is>
          <t>C20</t>
        </is>
      </c>
      <c r="AT81" s="610" t="inlineStr">
        <is>
          <t>CO2</t>
        </is>
      </c>
      <c r="AU81" s="610" t="inlineStr">
        <is>
          <t>Positive</t>
        </is>
      </c>
      <c r="AV81" s="610" t="inlineStr">
        <is>
          <t>Energy conservation; Pollution control</t>
        </is>
      </c>
      <c r="AW81" s="610" t="inlineStr">
        <is>
          <t>GB 30180-2024 Norm of Energy Consumption per Unit Production of Coal-to-Olefins, Coal-to-Synthetic Natural Gas and Coal-to-Liquids</t>
        </is>
      </c>
      <c r="AX81" s="610" t="inlineStr">
        <is>
          <t>https://openstd.samr.gov.cn/bzgk/std/newGbInfo?hcno=6142C24B8C115E93984C89692BCBB70F</t>
        </is>
      </c>
      <c r="AY81" s="610" t="inlineStr">
        <is>
          <t>GB 30178-2013 (superseded, coal direct liquefaction-to-liquids); GB 30179-2013 (superseded, coal-to-synthetic natural gas); GB 30180-2013 (superseded, coal-to-olefins): https://openstd.samr.gov.cn/bzgk/std/nd?no=2142</t>
        </is>
      </c>
      <c r="AZ81" s="610" t="inlineStr"/>
    </row>
    <row r="82">
      <c r="A82" s="610" t="inlineStr">
        <is>
          <t>CHNPRFEILI17S000</t>
        </is>
      </c>
      <c r="B82" s="610" t="inlineStr">
        <is>
          <t>Instrument</t>
        </is>
      </c>
      <c r="C82" s="610" t="inlineStr">
        <is>
          <t>Performance standard</t>
        </is>
      </c>
      <c r="D82" s="610" t="inlineStr">
        <is>
          <t>Energy intensity limit for industrial production</t>
        </is>
      </c>
      <c r="E82" s="610" t="inlineStr">
        <is>
          <t>Industry</t>
        </is>
      </c>
      <c r="F82" s="610" t="inlineStr">
        <is>
          <t>Gold mining and smelting</t>
        </is>
      </c>
      <c r="G82" s="610" t="inlineStr">
        <is>
          <t>金矿开采、选冶和金精炼单位产品能源消耗限额</t>
        </is>
      </c>
      <c r="H82" s="610" t="inlineStr">
        <is>
          <t>Norm of Energy Consumption per Unit Production for Gold Mining, Mineral Processing, Metallurgy and Refining of Gold</t>
        </is>
      </c>
      <c r="I82" s="610" t="inlineStr">
        <is>
          <t>N/A</t>
        </is>
      </c>
      <c r="J82" s="610"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610" t="inlineStr">
        <is>
          <t>Energy efficiency</t>
        </is>
      </c>
      <c r="L82" s="610" t="inlineStr">
        <is>
          <t>Direct</t>
        </is>
      </c>
      <c r="M82" s="610" t="inlineStr">
        <is>
          <t>national</t>
        </is>
      </c>
      <c r="N82" s="610" t="inlineStr">
        <is>
          <t>N/A</t>
        </is>
      </c>
      <c r="O82" s="610" t="inlineStr">
        <is>
          <t>11/09/2015</t>
        </is>
      </c>
      <c r="P82" s="610" t="inlineStr">
        <is>
          <t>01/10/2016</t>
        </is>
      </c>
      <c r="Q82" s="610" t="inlineStr">
        <is>
          <t>N/A</t>
        </is>
      </c>
      <c r="R82" s="610" t="inlineStr">
        <is>
          <t>29/04/2024</t>
        </is>
      </c>
      <c r="S82" s="610"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T82" s="610">
        <f>IF(P82="","In force",IF(P82="N/A","In force",IF(TODAY()&lt;DATE(VALUE(RIGHT(P82,4)),VALUE(MID(P82,4,2)),VALUE(LEFT(P82,2))),"Scheduled",IF(Q82="","In force",IF(Q82="N/A","In force",IF(TODAY()&lt;DATE(VALUE(RIGHT(Q82,4)),VALUE(MID(Q82,4,2)),VALUE(LEFT(Q82,2))),"In force","Ended"))))))</f>
        <v/>
      </c>
      <c r="U82" s="610" t="inlineStr">
        <is>
          <t>State Administration for Market Regulation; Standardization Administration of China</t>
        </is>
      </c>
      <c r="V82" s="610" t="inlineStr">
        <is>
          <t>Gold mining, mineral processing, metallurgy and gold refining production systems</t>
        </is>
      </c>
      <c r="W82" s="610" t="inlineStr">
        <is>
          <t>New; Existing</t>
        </is>
      </c>
      <c r="X82" s="610"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Y82" s="610" t="inlineStr">
        <is>
          <t>N/A</t>
        </is>
      </c>
      <c r="Z82" s="610" t="inlineStr">
        <is>
          <t>N/A</t>
        </is>
      </c>
      <c r="AA82" s="610" t="inlineStr">
        <is>
          <t>Firms</t>
        </is>
      </c>
      <c r="AB82" s="610" t="inlineStr">
        <is>
          <t>Firms operating gold mining, mineral processing, metallurgy or gold refining production systems within China.</t>
        </is>
      </c>
      <c r="AC82" s="610" t="inlineStr">
        <is>
          <t>Production</t>
        </is>
      </c>
      <c r="AD82" s="610" t="inlineStr">
        <is>
          <t>Operation of gold mining, mineral processing, metallurgy and gold refining production systems. Existing firms must meet Grade 3 (minimum) intensity limits; new, expansion and renovation firms must meet Grade 2 (access) limits.</t>
        </is>
      </c>
      <c r="AE82" s="610" t="inlineStr">
        <is>
          <t>Grade 3</t>
        </is>
      </c>
      <c r="AF82" s="610" t="inlineStr">
        <is>
          <t>Energy intensity limit grade</t>
        </is>
      </c>
      <c r="AG8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H82" s="610"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I82" s="610" t="inlineStr">
        <is>
          <t>N/A</t>
        </is>
      </c>
      <c r="AJ82" s="610" t="inlineStr">
        <is>
          <t>N/A</t>
        </is>
      </c>
      <c r="AK82" s="610" t="inlineStr">
        <is>
          <t>Inspections or audits conducted by government authorities or third parties; Energy consumption data reporting by firms</t>
        </is>
      </c>
      <c r="AL82" s="610"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M82" s="610" t="inlineStr">
        <is>
          <t>Compliance order; Fines; Differentiated electricity pricing; Phase-out and closure</t>
        </is>
      </c>
      <c r="AN82" s="610"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2" s="610"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P82" s="610"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Q82" s="610" t="inlineStr">
        <is>
          <t>N/A</t>
        </is>
      </c>
      <c r="AR82" s="610" t="inlineStr">
        <is>
          <t>N/A</t>
        </is>
      </c>
      <c r="AS82" s="610" t="inlineStr">
        <is>
          <t>B07</t>
        </is>
      </c>
      <c r="AT82" s="610" t="inlineStr">
        <is>
          <t>CO2</t>
        </is>
      </c>
      <c r="AU82" s="610" t="inlineStr">
        <is>
          <t>Positive</t>
        </is>
      </c>
      <c r="AV82" s="610" t="inlineStr">
        <is>
          <t>Energy conservation</t>
        </is>
      </c>
      <c r="AW82" s="610" t="inlineStr">
        <is>
          <t>GB 32032-2024 Norm of Energy Consumption per Unit Production for Gold Mining, Mineral Processing, Metallurgy and Refining of Gold</t>
        </is>
      </c>
      <c r="AX82" s="610" t="inlineStr">
        <is>
          <t>https://openstd.samr.gov.cn/bzgk/std/newGbInfo?hcno=B268E46CD43CCE0EF203B95F3993D6FC</t>
        </is>
      </c>
      <c r="AY82" s="610" t="inlineStr">
        <is>
          <t>GB 32032-2015 (superseded); GB 32033-2015 (superseded); GB 32034-2015 (superseded): https://openstd.samr.gov.cn/bzgk/std/nd?no=2142</t>
        </is>
      </c>
      <c r="AZ82" s="610" t="inlineStr"/>
    </row>
    <row r="83">
      <c r="A83" s="610" t="inlineStr">
        <is>
          <t>CHNPRFEILI18S000</t>
        </is>
      </c>
      <c r="B83" s="610" t="inlineStr">
        <is>
          <t>Instrument</t>
        </is>
      </c>
      <c r="C83" s="610" t="inlineStr">
        <is>
          <t>Performance standard</t>
        </is>
      </c>
      <c r="D83" s="610" t="inlineStr">
        <is>
          <t>Energy intensity limit for industrial production</t>
        </is>
      </c>
      <c r="E83" s="610" t="inlineStr">
        <is>
          <t>Industry</t>
        </is>
      </c>
      <c r="F83" s="610" t="inlineStr">
        <is>
          <t>Chemicals</t>
        </is>
      </c>
      <c r="G83" s="610" t="inlineStr">
        <is>
          <t>黄磷单位产品能源消耗限额</t>
        </is>
      </c>
      <c r="H83" s="610" t="inlineStr">
        <is>
          <t>Norm of Energy Consumption per Unit Production of Yellow Phosphorus</t>
        </is>
      </c>
      <c r="I83" s="610" t="inlineStr">
        <is>
          <t>N/A</t>
        </is>
      </c>
      <c r="J83" s="610"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610" t="inlineStr">
        <is>
          <t>Energy efficiency</t>
        </is>
      </c>
      <c r="L83" s="610" t="inlineStr">
        <is>
          <t>Direct</t>
        </is>
      </c>
      <c r="M83" s="610" t="inlineStr">
        <is>
          <t>national</t>
        </is>
      </c>
      <c r="N83" s="610" t="inlineStr">
        <is>
          <t>N/A</t>
        </is>
      </c>
      <c r="O83" s="610" t="inlineStr">
        <is>
          <t>09/01/2008</t>
        </is>
      </c>
      <c r="P83" s="610" t="inlineStr">
        <is>
          <t>01/07/2008</t>
        </is>
      </c>
      <c r="Q83" s="610" t="inlineStr">
        <is>
          <t>N/A</t>
        </is>
      </c>
      <c r="R83" s="610" t="inlineStr">
        <is>
          <t>29/04/2024</t>
        </is>
      </c>
      <c r="S83" s="610" t="inlineStr">
        <is>
          <t>On 29 April 2024, GB 21345-2024 was published, replacing GB 21345-2015, updating energy intensity limits across all grades, and further reducing comprehensive energy consumption per unit product and electric furnace power consumption limits.</t>
        </is>
      </c>
      <c r="T83" s="610">
        <f>IF(P83="","In force",IF(P83="N/A","In force",IF(TODAY()&lt;DATE(VALUE(RIGHT(P83,4)),VALUE(MID(P83,4,2)),VALUE(LEFT(P83,2))),"Scheduled",IF(Q83="","In force",IF(Q83="N/A","In force",IF(TODAY()&lt;DATE(VALUE(RIGHT(Q83,4)),VALUE(MID(Q83,4,2)),VALUE(LEFT(Q83,2))),"In force","Ended"))))))</f>
        <v/>
      </c>
      <c r="U83" s="610" t="inlineStr">
        <is>
          <t>State Administration for Market Regulation; Standardization Administration of China</t>
        </is>
      </c>
      <c r="V83" s="610" t="inlineStr">
        <is>
          <t>Yellow phosphorus production facilities</t>
        </is>
      </c>
      <c r="W83" s="610" t="inlineStr">
        <is>
          <t>New; Existing</t>
        </is>
      </c>
      <c r="X83" s="610" t="inlineStr">
        <is>
          <t>Electric furnace process yellow phosphorus production facilities using phosphate rock as raw material, including raw material handling, electric furnace reduction, phosphorus vapour condensation and other main process units and auxiliary production systems.</t>
        </is>
      </c>
      <c r="Y83" s="610" t="inlineStr">
        <is>
          <t>N/A</t>
        </is>
      </c>
      <c r="Z83" s="610" t="inlineStr">
        <is>
          <t>N/A</t>
        </is>
      </c>
      <c r="AA83" s="610" t="inlineStr">
        <is>
          <t>Firms</t>
        </is>
      </c>
      <c r="AB83" s="610" t="inlineStr">
        <is>
          <t>Firms operating electric furnace process yellow phosphorus production facilities within China.</t>
        </is>
      </c>
      <c r="AC83" s="610" t="inlineStr">
        <is>
          <t>Production</t>
        </is>
      </c>
      <c r="AD83" s="610" t="inlineStr">
        <is>
          <t>Operation of yellow phosphorus production facilities. Existing firms must meet Grade 3 (minimum) intensity limits; new, expansion and renovation firms must meet Grade 2 (access) limits.</t>
        </is>
      </c>
      <c r="AE83" s="610" t="inlineStr">
        <is>
          <t>Grade 3</t>
        </is>
      </c>
      <c r="AF83" s="610" t="inlineStr">
        <is>
          <t>Energy intensity limit grade</t>
        </is>
      </c>
      <c r="AG8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H83" s="610"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I83" s="610" t="inlineStr">
        <is>
          <t>N/A</t>
        </is>
      </c>
      <c r="AJ83" s="610" t="inlineStr">
        <is>
          <t>N/A</t>
        </is>
      </c>
      <c r="AK83" s="610" t="inlineStr">
        <is>
          <t>Inspections or audits conducted by government authorities or third parties; Energy consumption data reporting by firms</t>
        </is>
      </c>
      <c r="AL83" s="610" t="inlineStr">
        <is>
          <t>Market regulatory authorities conduct supervision inspections on yellow phosphorus producers' compliance with energy intensity limit standards; firms must submit annual energy consumption data and undergo energy conservation supervision.</t>
        </is>
      </c>
      <c r="AM83" s="610" t="inlineStr">
        <is>
          <t>Compliance order; Fines; Differentiated electricity pricing; Phase-out and closure</t>
        </is>
      </c>
      <c r="AN83" s="610"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3" s="610"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P83" s="610"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Q83" s="610" t="inlineStr">
        <is>
          <t>N/A</t>
        </is>
      </c>
      <c r="AR83" s="610" t="inlineStr">
        <is>
          <t>N/A</t>
        </is>
      </c>
      <c r="AS83" s="610" t="inlineStr">
        <is>
          <t>C20</t>
        </is>
      </c>
      <c r="AT83" s="610" t="inlineStr">
        <is>
          <t>CO2</t>
        </is>
      </c>
      <c r="AU83" s="610" t="inlineStr">
        <is>
          <t>Positive</t>
        </is>
      </c>
      <c r="AV83" s="610" t="inlineStr">
        <is>
          <t>Energy conservation</t>
        </is>
      </c>
      <c r="AW83" s="610" t="inlineStr">
        <is>
          <t>GB 21345-2024 Norm of Energy Consumption per Unit Production of Yellow Phosphorus</t>
        </is>
      </c>
      <c r="AX83" s="610" t="inlineStr">
        <is>
          <t>https://openstd.samr.gov.cn/bzgk/std/newGbInfo?hcno=C3476FF3135DC1131ED69638176BDB8B</t>
        </is>
      </c>
      <c r="AY83" s="610" t="inlineStr">
        <is>
          <t>GB 21345-2015 (superseded): https://openstd.samr.gov.cn/bzgk/std/nd?no=2142</t>
        </is>
      </c>
      <c r="AZ83" s="610" t="inlineStr"/>
    </row>
    <row r="84">
      <c r="A84" s="610" t="inlineStr">
        <is>
          <t>CHNPRFEILI19S000</t>
        </is>
      </c>
      <c r="B84" s="610" t="inlineStr">
        <is>
          <t>Instrument</t>
        </is>
      </c>
      <c r="C84" s="610" t="inlineStr">
        <is>
          <t>Performance standard</t>
        </is>
      </c>
      <c r="D84" s="610" t="inlineStr">
        <is>
          <t>Energy intensity limit for industrial production</t>
        </is>
      </c>
      <c r="E84" s="610" t="inlineStr">
        <is>
          <t>Industry</t>
        </is>
      </c>
      <c r="F84" s="610" t="inlineStr">
        <is>
          <t>Rubber processing; Chemicals</t>
        </is>
      </c>
      <c r="G84" s="610" t="inlineStr">
        <is>
          <t>轮胎和炭黑单位产品能源消耗限额</t>
        </is>
      </c>
      <c r="H84" s="610" t="inlineStr">
        <is>
          <t>Norm of Energy Consumption per Unit Production of Tyres and Carbon Black</t>
        </is>
      </c>
      <c r="I84" s="610" t="inlineStr">
        <is>
          <t>N/A</t>
        </is>
      </c>
      <c r="J84" s="610"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610" t="inlineStr">
        <is>
          <t>Energy efficiency</t>
        </is>
      </c>
      <c r="L84" s="610" t="inlineStr">
        <is>
          <t>Direct</t>
        </is>
      </c>
      <c r="M84" s="610" t="inlineStr">
        <is>
          <t>national</t>
        </is>
      </c>
      <c r="N84" s="610" t="inlineStr">
        <is>
          <t>N/A</t>
        </is>
      </c>
      <c r="O84" s="610" t="inlineStr">
        <is>
          <t>31/12/2012</t>
        </is>
      </c>
      <c r="P84" s="610" t="inlineStr">
        <is>
          <t>01/10/2013</t>
        </is>
      </c>
      <c r="Q84" s="610" t="inlineStr">
        <is>
          <t>N/A</t>
        </is>
      </c>
      <c r="R84" s="610" t="inlineStr">
        <is>
          <t>29/04/2024</t>
        </is>
      </c>
      <c r="S84" s="610"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T84" s="610">
        <f>IF(P84="","In force",IF(P84="N/A","In force",IF(TODAY()&lt;DATE(VALUE(RIGHT(P84,4)),VALUE(MID(P84,4,2)),VALUE(LEFT(P84,2))),"Scheduled",IF(Q84="","In force",IF(Q84="N/A","In force",IF(TODAY()&lt;DATE(VALUE(RIGHT(Q84,4)),VALUE(MID(Q84,4,2)),VALUE(LEFT(Q84,2))),"In force","Ended"))))))</f>
        <v/>
      </c>
      <c r="U84" s="610" t="inlineStr">
        <is>
          <t>State Administration for Market Regulation; Standardization Administration of China</t>
        </is>
      </c>
      <c r="V84" s="610" t="inlineStr">
        <is>
          <t>Tyre and carbon black production facilities</t>
        </is>
      </c>
      <c r="W84" s="610" t="inlineStr">
        <is>
          <t>New; Existing</t>
        </is>
      </c>
      <c r="X84" s="610"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Y84" s="610" t="inlineStr">
        <is>
          <t>N/A</t>
        </is>
      </c>
      <c r="Z84" s="610" t="inlineStr">
        <is>
          <t>N/A</t>
        </is>
      </c>
      <c r="AA84" s="610" t="inlineStr">
        <is>
          <t>Firms</t>
        </is>
      </c>
      <c r="AB84" s="610" t="inlineStr">
        <is>
          <t>Firms operating tyre or carbon black production facilities within China.</t>
        </is>
      </c>
      <c r="AC84" s="610" t="inlineStr">
        <is>
          <t>Production</t>
        </is>
      </c>
      <c r="AD84" s="610" t="inlineStr">
        <is>
          <t>Operation of tyre and carbon black production facilities. Existing firms must meet Grade 3 (minimum) intensity limits; new, expansion and renovation firms must meet Grade 2 (access) limits.</t>
        </is>
      </c>
      <c r="AE84" s="610" t="inlineStr">
        <is>
          <t>Grade 3</t>
        </is>
      </c>
      <c r="AF84" s="610" t="inlineStr">
        <is>
          <t>Energy intensity limit grade</t>
        </is>
      </c>
      <c r="AG8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H84" s="610"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4" s="610" t="inlineStr">
        <is>
          <t>N/A</t>
        </is>
      </c>
      <c r="AJ84" s="610" t="inlineStr">
        <is>
          <t>N/A</t>
        </is>
      </c>
      <c r="AK84" s="610" t="inlineStr">
        <is>
          <t>Inspections or audits conducted by government authorities or third parties; Energy consumption data reporting by firms</t>
        </is>
      </c>
      <c r="AL84" s="610" t="inlineStr">
        <is>
          <t>Market regulatory authorities conduct supervision inspections on tyre and carbon black producers' compliance with energy intensity limit standards; firms must submit annual energy consumption data and undergo energy conservation supervision.</t>
        </is>
      </c>
      <c r="AM84" s="610" t="inlineStr">
        <is>
          <t>Compliance order; Fines; Differentiated electricity pricing; Phase-out and closure</t>
        </is>
      </c>
      <c r="AN84" s="610"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4" s="610"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P84" s="610"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Q84" s="610" t="inlineStr">
        <is>
          <t>N/A</t>
        </is>
      </c>
      <c r="AR84" s="610" t="inlineStr">
        <is>
          <t>N/A</t>
        </is>
      </c>
      <c r="AS84" s="610" t="inlineStr">
        <is>
          <t>C22</t>
        </is>
      </c>
      <c r="AT84" s="610" t="inlineStr">
        <is>
          <t>CO2</t>
        </is>
      </c>
      <c r="AU84" s="610" t="inlineStr">
        <is>
          <t>Positive</t>
        </is>
      </c>
      <c r="AV84" s="610" t="inlineStr">
        <is>
          <t>Energy conservation</t>
        </is>
      </c>
      <c r="AW84" s="610" t="inlineStr">
        <is>
          <t>GB 29449-2024 Norm of Energy Consumption per Unit Production of Tyres and Carbon Black</t>
        </is>
      </c>
      <c r="AX84" s="610" t="inlineStr">
        <is>
          <t>https://openstd.samr.gov.cn/bzgk/std/newGbInfo?hcno=C7F141BA9B677EA49B85D0C3DFF7B10C</t>
        </is>
      </c>
      <c r="AY84" s="610" t="inlineStr">
        <is>
          <t>GB 29449-2012 (superseded); GB 29440-2012 (superseded): https://openstd.samr.gov.cn/bzgk/std/nd?no=2142</t>
        </is>
      </c>
      <c r="AZ84" s="610" t="inlineStr"/>
    </row>
    <row r="85">
      <c r="A85" s="610" t="inlineStr">
        <is>
          <t>CHNPRFEILI20S000</t>
        </is>
      </c>
      <c r="B85" s="610" t="inlineStr">
        <is>
          <t>Instrument</t>
        </is>
      </c>
      <c r="C85" s="610" t="inlineStr">
        <is>
          <t>Performance standard</t>
        </is>
      </c>
      <c r="D85" s="610" t="inlineStr">
        <is>
          <t>Energy intensity limit for industrial production</t>
        </is>
      </c>
      <c r="E85" s="610" t="inlineStr">
        <is>
          <t>Industry</t>
        </is>
      </c>
      <c r="F85" s="610" t="inlineStr">
        <is>
          <t>Coal chemicals</t>
        </is>
      </c>
      <c r="G85" s="610" t="inlineStr">
        <is>
          <t>煤基活性炭和兰炭单位产品能源消耗限额</t>
        </is>
      </c>
      <c r="H85" s="610" t="inlineStr">
        <is>
          <t>Norm of Energy Consumption per Unit Production of Coal-Based Activated Carbon and Semi-Coke</t>
        </is>
      </c>
      <c r="I85" s="610" t="inlineStr">
        <is>
          <t>N/A</t>
        </is>
      </c>
      <c r="J85" s="610"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610" t="inlineStr">
        <is>
          <t>Energy efficiency</t>
        </is>
      </c>
      <c r="L85" s="610" t="inlineStr">
        <is>
          <t>Direct</t>
        </is>
      </c>
      <c r="M85" s="610" t="inlineStr">
        <is>
          <t>national</t>
        </is>
      </c>
      <c r="N85" s="610" t="inlineStr">
        <is>
          <t>N/A</t>
        </is>
      </c>
      <c r="O85" s="610" t="inlineStr">
        <is>
          <t>31/12/2013</t>
        </is>
      </c>
      <c r="P85" s="610" t="inlineStr">
        <is>
          <t>01/09/2014</t>
        </is>
      </c>
      <c r="Q85" s="610" t="inlineStr">
        <is>
          <t>N/A</t>
        </is>
      </c>
      <c r="R85" s="610" t="inlineStr">
        <is>
          <t>29/04/2024</t>
        </is>
      </c>
      <c r="S85" s="610" t="inlineStr">
        <is>
          <t>On 29 April 2024, GB 29995-2024 was published, replacing GB 29994-2013, GB 29995-2013 and GB 29996-2013, amending the scope of application and the statistical scope and calculation method for energy consumption, and adding energy intensity limit grades.</t>
        </is>
      </c>
      <c r="T85" s="610">
        <f>IF(P85="","In force",IF(P85="N/A","In force",IF(TODAY()&lt;DATE(VALUE(RIGHT(P85,4)),VALUE(MID(P85,4,2)),VALUE(LEFT(P85,2))),"Scheduled",IF(Q85="","In force",IF(Q85="N/A","In force",IF(TODAY()&lt;DATE(VALUE(RIGHT(Q85,4)),VALUE(MID(Q85,4,2)),VALUE(LEFT(Q85,2))),"In force","Ended"))))))</f>
        <v/>
      </c>
      <c r="U85" s="610" t="inlineStr">
        <is>
          <t>State Administration for Market Regulation; Standardization Administration of China</t>
        </is>
      </c>
      <c r="V85" s="610" t="inlineStr">
        <is>
          <t>Coal-based activated carbon and semi-coke production facilities</t>
        </is>
      </c>
      <c r="W85" s="610" t="inlineStr">
        <is>
          <t>New; Existing</t>
        </is>
      </c>
      <c r="X85" s="610"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Y85" s="610" t="inlineStr">
        <is>
          <t>N/A</t>
        </is>
      </c>
      <c r="Z85" s="610" t="inlineStr">
        <is>
          <t>N/A</t>
        </is>
      </c>
      <c r="AA85" s="610" t="inlineStr">
        <is>
          <t>Firms</t>
        </is>
      </c>
      <c r="AB85" s="610" t="inlineStr">
        <is>
          <t>Firms operating coal-based activated carbon or semi-coke production facilities within China.</t>
        </is>
      </c>
      <c r="AC85" s="610" t="inlineStr">
        <is>
          <t>Production</t>
        </is>
      </c>
      <c r="AD85" s="610" t="inlineStr">
        <is>
          <t>Operation of coal-based activated carbon and semi-coke production facilities. Existing firms must meet Grade 3 (minimum) intensity limits; new, expansion and renovation firms must meet Grade 2 (access) limits.</t>
        </is>
      </c>
      <c r="AE85" s="610" t="inlineStr">
        <is>
          <t>Grade 3</t>
        </is>
      </c>
      <c r="AF85" s="610" t="inlineStr">
        <is>
          <t>Energy intensity limit grade</t>
        </is>
      </c>
      <c r="AG8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H85" s="610"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5" s="610" t="inlineStr">
        <is>
          <t>N/A</t>
        </is>
      </c>
      <c r="AJ85" s="610" t="inlineStr">
        <is>
          <t>N/A</t>
        </is>
      </c>
      <c r="AK85" s="610" t="inlineStr">
        <is>
          <t>Inspections or audits conducted by government authorities or third parties; Energy consumption data reporting by firms</t>
        </is>
      </c>
      <c r="AL85" s="610"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M85" s="610" t="inlineStr">
        <is>
          <t>Compliance order; Fines; Differentiated electricity pricing; Phase-out and closure</t>
        </is>
      </c>
      <c r="AN85" s="610"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5" s="610"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P85" s="610"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5" s="610" t="inlineStr">
        <is>
          <t>N/A</t>
        </is>
      </c>
      <c r="AR85" s="610" t="inlineStr">
        <is>
          <t>N/A</t>
        </is>
      </c>
      <c r="AS85" s="610" t="inlineStr">
        <is>
          <t>C19</t>
        </is>
      </c>
      <c r="AT85" s="610" t="inlineStr">
        <is>
          <t>CO2</t>
        </is>
      </c>
      <c r="AU85" s="610" t="inlineStr">
        <is>
          <t>Positive</t>
        </is>
      </c>
      <c r="AV85" s="610" t="inlineStr">
        <is>
          <t>Energy conservation</t>
        </is>
      </c>
      <c r="AW85" s="610" t="inlineStr">
        <is>
          <t>GB 29995-2024 Norm of Energy Consumption per Unit Production of Coal-Based Activated Carbon and Semi-Coke</t>
        </is>
      </c>
      <c r="AX85" s="610" t="inlineStr">
        <is>
          <t>https://openstd.samr.gov.cn/bzgk/std/newGbInfo?hcno=5B85C53847B2E9A539178E125400CAA4</t>
        </is>
      </c>
      <c r="AY85" s="610" t="inlineStr">
        <is>
          <t>GB 29994-2013 (superseded); GB 29995-2013 (superseded); GB 29996-2013 (superseded): https://openstd.samr.gov.cn/bzgk/std/nd?no=2142</t>
        </is>
      </c>
      <c r="AZ85" s="610" t="inlineStr"/>
    </row>
    <row r="86">
      <c r="A86" s="610" t="inlineStr">
        <is>
          <t>CHNPRFEILI21S000</t>
        </is>
      </c>
      <c r="B86" s="610" t="inlineStr">
        <is>
          <t>Instrument</t>
        </is>
      </c>
      <c r="C86" s="610" t="inlineStr">
        <is>
          <t>Performance standard</t>
        </is>
      </c>
      <c r="D86" s="610" t="inlineStr">
        <is>
          <t>Energy intensity limit for industrial production</t>
        </is>
      </c>
      <c r="E86" s="610" t="inlineStr">
        <is>
          <t>Industry</t>
        </is>
      </c>
      <c r="F86" s="610" t="inlineStr">
        <is>
          <t>Chemicals</t>
        </is>
      </c>
      <c r="G86" s="610" t="inlineStr">
        <is>
          <t>甲苯二异氰酸酯和二苯基甲烷二异氰酸酯单位产品能源消耗限额</t>
        </is>
      </c>
      <c r="H86" s="610" t="inlineStr">
        <is>
          <t>Norm of Energy Consumption per Unit Production of Toluene Diisocyanate and Diphenylmethane Diisocyanate</t>
        </is>
      </c>
      <c r="I86" s="610" t="inlineStr">
        <is>
          <t>N/A</t>
        </is>
      </c>
      <c r="J86" s="610"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610" t="inlineStr">
        <is>
          <t>Energy efficiency</t>
        </is>
      </c>
      <c r="L86" s="610" t="inlineStr">
        <is>
          <t>Direct</t>
        </is>
      </c>
      <c r="M86" s="610" t="inlineStr">
        <is>
          <t>national</t>
        </is>
      </c>
      <c r="N86" s="610" t="inlineStr">
        <is>
          <t>N/A</t>
        </is>
      </c>
      <c r="O86" s="610" t="inlineStr">
        <is>
          <t>11/09/2015</t>
        </is>
      </c>
      <c r="P86" s="610" t="inlineStr">
        <is>
          <t>01/04/2016</t>
        </is>
      </c>
      <c r="Q86" s="610" t="inlineStr">
        <is>
          <t>N/A</t>
        </is>
      </c>
      <c r="R86" s="610" t="inlineStr">
        <is>
          <t>29/04/2024</t>
        </is>
      </c>
      <c r="S86" s="610"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T86" s="610">
        <f>IF(P86="","In force",IF(P86="N/A","In force",IF(TODAY()&lt;DATE(VALUE(RIGHT(P86,4)),VALUE(MID(P86,4,2)),VALUE(LEFT(P86,2))),"Scheduled",IF(Q86="","In force",IF(Q86="N/A","In force",IF(TODAY()&lt;DATE(VALUE(RIGHT(Q86,4)),VALUE(MID(Q86,4,2)),VALUE(LEFT(Q86,2))),"In force","Ended"))))))</f>
        <v/>
      </c>
      <c r="U86" s="610" t="inlineStr">
        <is>
          <t>State Administration for Market Regulation; Standardization Administration of China</t>
        </is>
      </c>
      <c r="V86" s="610" t="inlineStr">
        <is>
          <t>TDI and MDI production facilities</t>
        </is>
      </c>
      <c r="W86" s="610" t="inlineStr">
        <is>
          <t>New; Existing</t>
        </is>
      </c>
      <c r="X86" s="610"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Y86" s="610" t="inlineStr">
        <is>
          <t>N/A</t>
        </is>
      </c>
      <c r="Z86" s="610" t="inlineStr">
        <is>
          <t>N/A</t>
        </is>
      </c>
      <c r="AA86" s="610" t="inlineStr">
        <is>
          <t>Firms</t>
        </is>
      </c>
      <c r="AB86" s="610" t="inlineStr">
        <is>
          <t>Firms operating TDI or MDI production facilities within China.</t>
        </is>
      </c>
      <c r="AC86" s="610" t="inlineStr">
        <is>
          <t>Production</t>
        </is>
      </c>
      <c r="AD86" s="610" t="inlineStr">
        <is>
          <t>Operation of TDI and MDI production facilities. Existing firms must meet Grade 3 (minimum) intensity limits; new, expansion and renovation firms must meet Grade 2 (access) limits.</t>
        </is>
      </c>
      <c r="AE86" s="610" t="inlineStr">
        <is>
          <t>Grade 3</t>
        </is>
      </c>
      <c r="AF86" s="610" t="inlineStr">
        <is>
          <t>Energy intensity limit grade</t>
        </is>
      </c>
      <c r="AG8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H86" s="610"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6" s="610" t="inlineStr">
        <is>
          <t>N/A</t>
        </is>
      </c>
      <c r="AJ86" s="610" t="inlineStr">
        <is>
          <t>N/A</t>
        </is>
      </c>
      <c r="AK86" s="610" t="inlineStr">
        <is>
          <t>Inspections or audits conducted by government authorities or third parties; Energy consumption data reporting by firms</t>
        </is>
      </c>
      <c r="AL86" s="610" t="inlineStr">
        <is>
          <t>Market regulatory authorities conduct supervision inspections on TDI and MDI producers' compliance with energy intensity limit standards; firms must submit annual energy consumption data and undergo energy conservation supervision.</t>
        </is>
      </c>
      <c r="AM86" s="610" t="inlineStr">
        <is>
          <t>Compliance order; Fines; Differentiated electricity pricing; Phase-out and closure</t>
        </is>
      </c>
      <c r="AN86" s="610"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6" s="610"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P86" s="610"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Q86" s="610" t="inlineStr">
        <is>
          <t>N/A</t>
        </is>
      </c>
      <c r="AR86" s="610" t="inlineStr">
        <is>
          <t>N/A</t>
        </is>
      </c>
      <c r="AS86" s="610" t="inlineStr">
        <is>
          <t>C20</t>
        </is>
      </c>
      <c r="AT86" s="610" t="inlineStr">
        <is>
          <t>CO2</t>
        </is>
      </c>
      <c r="AU86" s="610" t="inlineStr">
        <is>
          <t>Positive</t>
        </is>
      </c>
      <c r="AV86" s="610" t="inlineStr">
        <is>
          <t>Energy conservation</t>
        </is>
      </c>
      <c r="AW86" s="610" t="inlineStr">
        <is>
          <t>GB 31830-2024 Norm of Energy Consumption per Unit Production of Toluene Diisocyanate and Diphenylmethane Diisocyanate</t>
        </is>
      </c>
      <c r="AX86" s="610" t="inlineStr">
        <is>
          <t>https://openstd.samr.gov.cn/bzgk/std/newGbInfo?hcno=4C885FEDCCAA79384C369B4CB7A3A1A4</t>
        </is>
      </c>
      <c r="AY86" s="610" t="inlineStr">
        <is>
          <t>GB 31828-2015 (superseded); GB 31830-2015 (superseded): https://openstd.samr.gov.cn/bzgk/std/nd?no=2142</t>
        </is>
      </c>
      <c r="AZ86" s="610" t="inlineStr"/>
    </row>
    <row r="87">
      <c r="A87" s="610" t="inlineStr">
        <is>
          <t>CHNPRFEILI22S000</t>
        </is>
      </c>
      <c r="B87" s="610" t="inlineStr">
        <is>
          <t>Instrument</t>
        </is>
      </c>
      <c r="C87" s="610" t="inlineStr">
        <is>
          <t>Performance standard</t>
        </is>
      </c>
      <c r="D87" s="610" t="inlineStr">
        <is>
          <t>Energy intensity limit for industrial production</t>
        </is>
      </c>
      <c r="E87" s="610" t="inlineStr">
        <is>
          <t>Industry</t>
        </is>
      </c>
      <c r="F87" s="610" t="inlineStr">
        <is>
          <t>Iron ore mining and dressing</t>
        </is>
      </c>
      <c r="G87" s="610" t="inlineStr">
        <is>
          <t>铁矿开采和选矿单位产品能源消耗限额</t>
        </is>
      </c>
      <c r="H87" s="610" t="inlineStr">
        <is>
          <t>Norm of Energy Consumption per Unit Production of Iron Ore Mining and Dressing</t>
        </is>
      </c>
      <c r="I87" s="610" t="inlineStr">
        <is>
          <t>N/A</t>
        </is>
      </c>
      <c r="J87" s="610"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610" t="inlineStr">
        <is>
          <t>Energy efficiency</t>
        </is>
      </c>
      <c r="L87" s="610" t="inlineStr">
        <is>
          <t>Direct</t>
        </is>
      </c>
      <c r="M87" s="610" t="inlineStr">
        <is>
          <t>national</t>
        </is>
      </c>
      <c r="N87" s="610" t="inlineStr">
        <is>
          <t>N/A</t>
        </is>
      </c>
      <c r="O87" s="610" t="inlineStr">
        <is>
          <t>31/12/2014</t>
        </is>
      </c>
      <c r="P87" s="610" t="inlineStr">
        <is>
          <t>01/01/2016</t>
        </is>
      </c>
      <c r="Q87" s="610" t="inlineStr">
        <is>
          <t>N/A</t>
        </is>
      </c>
      <c r="R87" s="610" t="inlineStr">
        <is>
          <t>29/04/2024</t>
        </is>
      </c>
      <c r="S87" s="610"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T87" s="610">
        <f>IF(P87="","In force",IF(P87="N/A","In force",IF(TODAY()&lt;DATE(VALUE(RIGHT(P87,4)),VALUE(MID(P87,4,2)),VALUE(LEFT(P87,2))),"Scheduled",IF(Q87="","In force",IF(Q87="N/A","In force",IF(TODAY()&lt;DATE(VALUE(RIGHT(Q87,4)),VALUE(MID(Q87,4,2)),VALUE(LEFT(Q87,2))),"In force","Ended"))))))</f>
        <v/>
      </c>
      <c r="U87" s="610" t="inlineStr">
        <is>
          <t>State Administration for Market Regulation; Standardization Administration of China</t>
        </is>
      </c>
      <c r="V87" s="610" t="inlineStr">
        <is>
          <t>Iron ore mining and dressing production systems</t>
        </is>
      </c>
      <c r="W87" s="610" t="inlineStr">
        <is>
          <t>New; Existing</t>
        </is>
      </c>
      <c r="X87" s="610" t="inlineStr">
        <is>
          <t>Iron ore open-pit mining systems, underground mining systems, and dressing systems (including crushing, grinding, magnetic separation/flotation and auxiliary production systems). Energy intensity limits are set by mining method (open-pit/underground) and ore type.</t>
        </is>
      </c>
      <c r="Y87" s="610" t="inlineStr">
        <is>
          <t>N/A</t>
        </is>
      </c>
      <c r="Z87" s="610" t="inlineStr">
        <is>
          <t>N/A</t>
        </is>
      </c>
      <c r="AA87" s="610" t="inlineStr">
        <is>
          <t>Firms</t>
        </is>
      </c>
      <c r="AB87" s="610" t="inlineStr">
        <is>
          <t>Firms operating iron ore mining or dressing production systems within China.</t>
        </is>
      </c>
      <c r="AC87" s="610" t="inlineStr">
        <is>
          <t>Production</t>
        </is>
      </c>
      <c r="AD87" s="610" t="inlineStr">
        <is>
          <t>Operation of iron ore mining and dressing production systems. Existing firms must meet Grade 3 (minimum) intensity limits; new, expansion and renovation firms must meet Grade 2 (access) limits.</t>
        </is>
      </c>
      <c r="AE87" s="610" t="inlineStr">
        <is>
          <t>Grade 3</t>
        </is>
      </c>
      <c r="AF87" s="610" t="inlineStr">
        <is>
          <t>Energy intensity limit grade</t>
        </is>
      </c>
      <c r="AG8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H87" s="610"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7" s="610" t="inlineStr">
        <is>
          <t>N/A</t>
        </is>
      </c>
      <c r="AJ87" s="610" t="inlineStr">
        <is>
          <t>N/A</t>
        </is>
      </c>
      <c r="AK87" s="610" t="inlineStr">
        <is>
          <t>Inspections or audits conducted by government authorities or third parties; Energy consumption data reporting by firms</t>
        </is>
      </c>
      <c r="AL87" s="610" t="inlineStr">
        <is>
          <t>Market regulatory authorities conduct supervision inspections on iron ore mining and dressing producers' compliance with energy intensity limit standards; firms must submit annual energy consumption data and undergo energy conservation supervision.</t>
        </is>
      </c>
      <c r="AM87" s="610" t="inlineStr">
        <is>
          <t>Compliance order; Fines; Differentiated electricity pricing; Phase-out and closure</t>
        </is>
      </c>
      <c r="AN87" s="610"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7" s="610"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P87" s="610"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Q87" s="610" t="inlineStr">
        <is>
          <t>N/A</t>
        </is>
      </c>
      <c r="AR87" s="610" t="inlineStr">
        <is>
          <t>N/A</t>
        </is>
      </c>
      <c r="AS87" s="610" t="inlineStr">
        <is>
          <t>B07</t>
        </is>
      </c>
      <c r="AT87" s="610" t="inlineStr">
        <is>
          <t>CO2</t>
        </is>
      </c>
      <c r="AU87" s="610" t="inlineStr">
        <is>
          <t>Positive</t>
        </is>
      </c>
      <c r="AV87" s="610" t="inlineStr">
        <is>
          <t>Energy conservation</t>
        </is>
      </c>
      <c r="AW87" s="610" t="inlineStr">
        <is>
          <t>GB 31335-2024 Norm of Energy Consumption per Unit Production of Iron Ore Mining and Dressing</t>
        </is>
      </c>
      <c r="AX87" s="610" t="inlineStr">
        <is>
          <t>https://openstd.samr.gov.cn/bzgk/std/newGbInfo?hcno=B985E2A3DA5542C77F6E914DA69908C4</t>
        </is>
      </c>
      <c r="AY87" s="610" t="inlineStr">
        <is>
          <t>GB 31335-2014 (superseded, iron ore open-pit mining); GB 31336-2014 (superseded, iron ore underground mining); GB 31337-2014 (superseded, iron ore dressing): https://openstd.samr.gov.cn/bzgk/std/nd?no=2142</t>
        </is>
      </c>
      <c r="AZ87" s="610" t="inlineStr"/>
    </row>
    <row r="88">
      <c r="A88" s="610" t="inlineStr">
        <is>
          <t>CHNPRFEILI23S000</t>
        </is>
      </c>
      <c r="B88" s="610" t="inlineStr">
        <is>
          <t>Instrument</t>
        </is>
      </c>
      <c r="C88" s="610" t="inlineStr">
        <is>
          <t>Performance standard</t>
        </is>
      </c>
      <c r="D88" s="610" t="inlineStr">
        <is>
          <t>Energy intensity limit for industrial production</t>
        </is>
      </c>
      <c r="E88" s="610" t="inlineStr">
        <is>
          <t>Industry</t>
        </is>
      </c>
      <c r="F88" s="610" t="inlineStr">
        <is>
          <t>Pulp and paper</t>
        </is>
      </c>
      <c r="G88" s="610" t="inlineStr">
        <is>
          <t>制浆造纸单位产品能源消耗限额</t>
        </is>
      </c>
      <c r="H88" s="610" t="inlineStr">
        <is>
          <t>Norm of Energy Consumption per Unit Production of Pulp and Paper</t>
        </is>
      </c>
      <c r="I88" s="610" t="inlineStr">
        <is>
          <t>N/A</t>
        </is>
      </c>
      <c r="J88" s="610"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610" t="inlineStr">
        <is>
          <t>Energy efficiency</t>
        </is>
      </c>
      <c r="L88" s="610" t="inlineStr">
        <is>
          <t>Direct</t>
        </is>
      </c>
      <c r="M88" s="610" t="inlineStr">
        <is>
          <t>national</t>
        </is>
      </c>
      <c r="N88" s="610" t="inlineStr">
        <is>
          <t>N/A</t>
        </is>
      </c>
      <c r="O88" s="610" t="inlineStr">
        <is>
          <t>30/06/2015</t>
        </is>
      </c>
      <c r="P88" s="610" t="inlineStr">
        <is>
          <t>01/07/2016</t>
        </is>
      </c>
      <c r="Q88" s="610" t="inlineStr">
        <is>
          <t>N/A</t>
        </is>
      </c>
      <c r="R88" s="610" t="inlineStr">
        <is>
          <t>29/04/2024</t>
        </is>
      </c>
      <c r="S88" s="610"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T88" s="610">
        <f>IF(P88="","In force",IF(P88="N/A","In force",IF(TODAY()&lt;DATE(VALUE(RIGHT(P88,4)),VALUE(MID(P88,4,2)),VALUE(LEFT(P88,2))),"Scheduled",IF(Q88="","In force",IF(Q88="N/A","In force",IF(TODAY()&lt;DATE(VALUE(RIGHT(Q88,4)),VALUE(MID(Q88,4,2)),VALUE(LEFT(Q88,2))),"In force","Ended"))))))</f>
        <v/>
      </c>
      <c r="U88" s="610" t="inlineStr">
        <is>
          <t>State Administration for Market Regulation; Standardization Administration of China</t>
        </is>
      </c>
      <c r="V88" s="610" t="inlineStr">
        <is>
          <t>Pulp and paper production facilities</t>
        </is>
      </c>
      <c r="W88" s="610" t="inlineStr">
        <is>
          <t>New; Existing</t>
        </is>
      </c>
      <c r="X88" s="610"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Y88" s="610" t="inlineStr">
        <is>
          <t>N/A</t>
        </is>
      </c>
      <c r="Z88" s="610" t="inlineStr">
        <is>
          <t>N/A</t>
        </is>
      </c>
      <c r="AA88" s="610" t="inlineStr">
        <is>
          <t>Firms</t>
        </is>
      </c>
      <c r="AB88" s="610" t="inlineStr">
        <is>
          <t>Firms operating pulp and paper production facilities within China.</t>
        </is>
      </c>
      <c r="AC88" s="610" t="inlineStr">
        <is>
          <t>Production</t>
        </is>
      </c>
      <c r="AD88" s="610" t="inlineStr">
        <is>
          <t>Operation of pulp and paper production facilities. Existing firms must meet Grade 3 (minimum) intensity limits; new, expansion and renovation firms must meet Grade 2 (access) limits.</t>
        </is>
      </c>
      <c r="AE88" s="610" t="inlineStr">
        <is>
          <t>Grade 3</t>
        </is>
      </c>
      <c r="AF88" s="610" t="inlineStr">
        <is>
          <t>Energy intensity limit grade</t>
        </is>
      </c>
      <c r="AG8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H88" s="610"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8" s="610" t="inlineStr">
        <is>
          <t>N/A</t>
        </is>
      </c>
      <c r="AJ88" s="610" t="inlineStr">
        <is>
          <t>N/A</t>
        </is>
      </c>
      <c r="AK88" s="610" t="inlineStr">
        <is>
          <t>Inspections or audits conducted by government authorities or third parties; Energy consumption data reporting by firms</t>
        </is>
      </c>
      <c r="AL88" s="610" t="inlineStr">
        <is>
          <t>Market regulatory authorities conduct supervision inspections on pulp and paper producers' compliance with energy intensity limit standards; firms must submit annual energy consumption data and undergo energy conservation supervision.</t>
        </is>
      </c>
      <c r="AM88" s="610" t="inlineStr">
        <is>
          <t>Compliance order; Fines; Differentiated electricity pricing; Phase-out and closure</t>
        </is>
      </c>
      <c r="AN88" s="610"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8" s="610"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P88" s="610"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Q88" s="610" t="inlineStr">
        <is>
          <t>N/A</t>
        </is>
      </c>
      <c r="AR88" s="610" t="inlineStr">
        <is>
          <t>N/A</t>
        </is>
      </c>
      <c r="AS88" s="610" t="inlineStr">
        <is>
          <t>C17</t>
        </is>
      </c>
      <c r="AT88" s="610" t="inlineStr">
        <is>
          <t>CO2</t>
        </is>
      </c>
      <c r="AU88" s="610" t="inlineStr">
        <is>
          <t>Positive</t>
        </is>
      </c>
      <c r="AV88" s="610" t="inlineStr">
        <is>
          <t>Energy conservation</t>
        </is>
      </c>
      <c r="AW88" s="610" t="inlineStr">
        <is>
          <t>GB 31825-2024 Norm of Energy Consumption per Unit Production of Pulp and Paper</t>
        </is>
      </c>
      <c r="AX88" s="610" t="inlineStr">
        <is>
          <t>https://openstd.samr.gov.cn/bzgk/std/newGbInfo?hcno=27B824B792BB0BC1CF30980AE3411F9B</t>
        </is>
      </c>
      <c r="AY88" s="610" t="inlineStr">
        <is>
          <t>GB 31825-2015 (superseded): https://openstd.samr.gov.cn/bzgk/std/nd?no=2142</t>
        </is>
      </c>
      <c r="AZ88" s="610" t="inlineStr"/>
    </row>
    <row r="89">
      <c r="A89" s="610" t="inlineStr">
        <is>
          <t>CHNPRFEILI24S000</t>
        </is>
      </c>
      <c r="B89" s="610" t="inlineStr">
        <is>
          <t>Instrument</t>
        </is>
      </c>
      <c r="C89" s="610" t="inlineStr">
        <is>
          <t>Performance standard</t>
        </is>
      </c>
      <c r="D89" s="610" t="inlineStr">
        <is>
          <t>Energy intensity limit for industrial production</t>
        </is>
      </c>
      <c r="E89" s="610" t="inlineStr">
        <is>
          <t>Industry</t>
        </is>
      </c>
      <c r="F89" s="610" t="inlineStr">
        <is>
          <t>Chemicals</t>
        </is>
      </c>
      <c r="G89" s="610" t="inlineStr">
        <is>
          <t>纯碱单位产品能源消耗限额</t>
        </is>
      </c>
      <c r="H89" s="610" t="inlineStr">
        <is>
          <t>Norm of Energy Consumption per Unit Production of Soda Ash</t>
        </is>
      </c>
      <c r="I89" s="610" t="inlineStr">
        <is>
          <t>N/A</t>
        </is>
      </c>
      <c r="J89" s="610"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610" t="inlineStr">
        <is>
          <t>Energy efficiency</t>
        </is>
      </c>
      <c r="L89" s="610" t="inlineStr">
        <is>
          <t>Direct</t>
        </is>
      </c>
      <c r="M89" s="610" t="inlineStr">
        <is>
          <t>national</t>
        </is>
      </c>
      <c r="N89" s="610" t="inlineStr">
        <is>
          <t>N/A</t>
        </is>
      </c>
      <c r="O89" s="610" t="inlineStr">
        <is>
          <t>31/12/2012</t>
        </is>
      </c>
      <c r="P89" s="610" t="inlineStr">
        <is>
          <t>01/10/2013</t>
        </is>
      </c>
      <c r="Q89" s="610" t="inlineStr">
        <is>
          <t>N/A</t>
        </is>
      </c>
      <c r="R89" s="610" t="inlineStr">
        <is>
          <t>29/04/2024</t>
        </is>
      </c>
      <c r="S89" s="610"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T89" s="610">
        <f>IF(P89="","In force",IF(P89="N/A","In force",IF(TODAY()&lt;DATE(VALUE(RIGHT(P89,4)),VALUE(MID(P89,4,2)),VALUE(LEFT(P89,2))),"Scheduled",IF(Q89="","In force",IF(Q89="N/A","In force",IF(TODAY()&lt;DATE(VALUE(RIGHT(Q89,4)),VALUE(MID(Q89,4,2)),VALUE(LEFT(Q89,2))),"In force","Ended"))))))</f>
        <v/>
      </c>
      <c r="U89" s="610" t="inlineStr">
        <is>
          <t>State Administration for Market Regulation; Standardization Administration of China</t>
        </is>
      </c>
      <c r="V89" s="610" t="inlineStr">
        <is>
          <t>Soda ash production facilities</t>
        </is>
      </c>
      <c r="W89" s="610" t="inlineStr">
        <is>
          <t>New; Existing</t>
        </is>
      </c>
      <c r="X89" s="610"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Y89" s="610" t="inlineStr">
        <is>
          <t>N/A</t>
        </is>
      </c>
      <c r="Z89" s="610" t="inlineStr">
        <is>
          <t>N/A</t>
        </is>
      </c>
      <c r="AA89" s="610" t="inlineStr">
        <is>
          <t>Firms</t>
        </is>
      </c>
      <c r="AB89" s="610" t="inlineStr">
        <is>
          <t>Firms operating soda ash production facilities within China.</t>
        </is>
      </c>
      <c r="AC89" s="610" t="inlineStr">
        <is>
          <t>Production</t>
        </is>
      </c>
      <c r="AD89" s="610" t="inlineStr">
        <is>
          <t>Operation of soda ash production facilities. Existing firms must meet Grade 3 (minimum) intensity limits; new, expansion and renovation firms must meet Grade 2 (access) limits.</t>
        </is>
      </c>
      <c r="AE89" s="610" t="inlineStr">
        <is>
          <t>Grade 3</t>
        </is>
      </c>
      <c r="AF89" s="610" t="inlineStr">
        <is>
          <t>Energy intensity limit grade</t>
        </is>
      </c>
      <c r="AG8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H89" s="610"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9" s="610" t="inlineStr">
        <is>
          <t>N/A</t>
        </is>
      </c>
      <c r="AJ89" s="610" t="inlineStr">
        <is>
          <t>N/A</t>
        </is>
      </c>
      <c r="AK89" s="610" t="inlineStr">
        <is>
          <t>Inspections or audits conducted by government authorities or third parties; Energy consumption data reporting by firms</t>
        </is>
      </c>
      <c r="AL89" s="610" t="inlineStr">
        <is>
          <t>Market regulatory authorities conduct supervision inspections on soda ash producers' compliance with energy intensity limit standards; firms must submit annual energy consumption data and undergo energy conservation supervision.</t>
        </is>
      </c>
      <c r="AM89" s="610" t="inlineStr">
        <is>
          <t>Compliance order; Fines; Differentiated electricity pricing; Phase-out and closure</t>
        </is>
      </c>
      <c r="AN89" s="610"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9" s="610"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P89" s="610"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Q89" s="610" t="inlineStr">
        <is>
          <t>N/A</t>
        </is>
      </c>
      <c r="AR89" s="610" t="inlineStr">
        <is>
          <t>N/A</t>
        </is>
      </c>
      <c r="AS89" s="610" t="inlineStr">
        <is>
          <t>C20</t>
        </is>
      </c>
      <c r="AT89" s="610" t="inlineStr">
        <is>
          <t>CO2</t>
        </is>
      </c>
      <c r="AU89" s="610" t="inlineStr">
        <is>
          <t>Positive</t>
        </is>
      </c>
      <c r="AV89" s="610" t="inlineStr">
        <is>
          <t>Energy conservation</t>
        </is>
      </c>
      <c r="AW89" s="610" t="inlineStr">
        <is>
          <t>GB 29140-2024 Norm of Energy Consumption per Unit Production of Soda Ash</t>
        </is>
      </c>
      <c r="AX89" s="610" t="inlineStr">
        <is>
          <t>https://openstd.samr.gov.cn/bzgk/std/newGbInfo?hcno=443C1068D42AF5D7B5F73076352B5068</t>
        </is>
      </c>
      <c r="AY89" s="610" t="inlineStr">
        <is>
          <t>GB 29140-2012 (superseded): https://openstd.samr.gov.cn/bzgk/std/nd?no=2142</t>
        </is>
      </c>
      <c r="AZ89" s="610" t="inlineStr"/>
    </row>
    <row r="90">
      <c r="A90" s="610" t="inlineStr">
        <is>
          <t>CHNPRFEILI25S000</t>
        </is>
      </c>
      <c r="B90" s="610" t="inlineStr">
        <is>
          <t>Instrument</t>
        </is>
      </c>
      <c r="C90" s="610" t="inlineStr">
        <is>
          <t>Performance standard</t>
        </is>
      </c>
      <c r="D90" s="610" t="inlineStr">
        <is>
          <t>Energy intensity limit for industrial production</t>
        </is>
      </c>
      <c r="E90" s="610" t="inlineStr">
        <is>
          <t>Industry</t>
        </is>
      </c>
      <c r="F90" s="610" t="inlineStr">
        <is>
          <t>Chemicals</t>
        </is>
      </c>
      <c r="G90" s="610" t="inlineStr">
        <is>
          <t>二甲基硅氧烷单位产品能源消耗限额</t>
        </is>
      </c>
      <c r="H90" s="610" t="inlineStr">
        <is>
          <t>Norm of Energy Consumption per Unit Production of Dimethyl Siloxane</t>
        </is>
      </c>
      <c r="I90" s="610" t="inlineStr">
        <is>
          <t>N/A</t>
        </is>
      </c>
      <c r="J90" s="610"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610" t="inlineStr">
        <is>
          <t>Energy efficiency</t>
        </is>
      </c>
      <c r="L90" s="610" t="inlineStr">
        <is>
          <t>Direct</t>
        </is>
      </c>
      <c r="M90" s="610" t="inlineStr">
        <is>
          <t>national</t>
        </is>
      </c>
      <c r="N90" s="610" t="inlineStr">
        <is>
          <t>N/A</t>
        </is>
      </c>
      <c r="O90" s="610" t="inlineStr">
        <is>
          <t>28/04/2014</t>
        </is>
      </c>
      <c r="P90" s="610" t="inlineStr">
        <is>
          <t>01/01/2015</t>
        </is>
      </c>
      <c r="Q90" s="610" t="inlineStr">
        <is>
          <t>N/A</t>
        </is>
      </c>
      <c r="R90" s="610" t="inlineStr">
        <is>
          <t>29/04/2024</t>
        </is>
      </c>
      <c r="S90" s="610"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T90" s="610">
        <f>IF(P90="","In force",IF(P90="N/A","In force",IF(TODAY()&lt;DATE(VALUE(RIGHT(P90,4)),VALUE(MID(P90,4,2)),VALUE(LEFT(P90,2))),"Scheduled",IF(Q90="","In force",IF(Q90="N/A","In force",IF(TODAY()&lt;DATE(VALUE(RIGHT(Q90,4)),VALUE(MID(Q90,4,2)),VALUE(LEFT(Q90,2))),"In force","Ended"))))))</f>
        <v/>
      </c>
      <c r="U90" s="610" t="inlineStr">
        <is>
          <t>State Administration for Market Regulation; Standardization Administration of China</t>
        </is>
      </c>
      <c r="V90" s="610" t="inlineStr">
        <is>
          <t>Dimethyl siloxane production facilities</t>
        </is>
      </c>
      <c r="W90" s="610" t="inlineStr">
        <is>
          <t>New; Existing</t>
        </is>
      </c>
      <c r="X90" s="610"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Y90" s="610" t="inlineStr">
        <is>
          <t>N/A</t>
        </is>
      </c>
      <c r="Z90" s="610" t="inlineStr">
        <is>
          <t>N/A</t>
        </is>
      </c>
      <c r="AA90" s="610" t="inlineStr">
        <is>
          <t>Firms</t>
        </is>
      </c>
      <c r="AB90" s="610" t="inlineStr">
        <is>
          <t>Firms operating dimethyl siloxane production facilities within China.</t>
        </is>
      </c>
      <c r="AC90" s="610" t="inlineStr">
        <is>
          <t>Production</t>
        </is>
      </c>
      <c r="AD90" s="610" t="inlineStr">
        <is>
          <t>Operation of dimethyl siloxane production facilities. Existing firms must meet Grade 3 (minimum) intensity limits; new, expansion and renovation firms must meet Grade 2 (access) limits.</t>
        </is>
      </c>
      <c r="AE90" s="610" t="inlineStr">
        <is>
          <t>Grade 3</t>
        </is>
      </c>
      <c r="AF90" s="610" t="inlineStr">
        <is>
          <t>Energy intensity limit grade</t>
        </is>
      </c>
      <c r="AG9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H90" s="610"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0" s="610" t="inlineStr">
        <is>
          <t>N/A</t>
        </is>
      </c>
      <c r="AJ90" s="610" t="inlineStr">
        <is>
          <t>N/A</t>
        </is>
      </c>
      <c r="AK90" s="610" t="inlineStr">
        <is>
          <t>Inspections or audits conducted by government authorities or third parties; Energy consumption data reporting by firms</t>
        </is>
      </c>
      <c r="AL90" s="610" t="inlineStr">
        <is>
          <t>Market regulatory authorities conduct supervision inspections on dimethyl siloxane producers' compliance with energy intensity limit standards; firms must submit annual energy consumption data and undergo energy conservation supervision.</t>
        </is>
      </c>
      <c r="AM90" s="610" t="inlineStr">
        <is>
          <t>Compliance order; Fines; Differentiated electricity pricing; Phase-out and closure</t>
        </is>
      </c>
      <c r="AN90" s="610"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0" s="610"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P90" s="610"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Q90" s="610" t="inlineStr">
        <is>
          <t>N/A</t>
        </is>
      </c>
      <c r="AR90" s="610" t="inlineStr">
        <is>
          <t>N/A</t>
        </is>
      </c>
      <c r="AS90" s="610" t="inlineStr">
        <is>
          <t>C20</t>
        </is>
      </c>
      <c r="AT90" s="610" t="inlineStr">
        <is>
          <t>CO2</t>
        </is>
      </c>
      <c r="AU90" s="610" t="inlineStr">
        <is>
          <t>Positive</t>
        </is>
      </c>
      <c r="AV90" s="610" t="inlineStr">
        <is>
          <t>Energy conservation</t>
        </is>
      </c>
      <c r="AW90" s="610" t="inlineStr">
        <is>
          <t>GB 30530-2024 Norm of Energy Consumption per Unit Production of Dimethyl Siloxane</t>
        </is>
      </c>
      <c r="AX90" s="610" t="inlineStr">
        <is>
          <t>https://openstd.samr.gov.cn/bzgk/std/newGbInfo?hcno=148219F6F63F168626D4CDDFD525F9D2</t>
        </is>
      </c>
      <c r="AY90" s="610" t="inlineStr">
        <is>
          <t>GB 30530-2014 (superseded, titled Norm of Energy Consumption per Unit Product of Dimethyl Cyclosiloxane): https://openstd.samr.gov.cn/bzgk/std/nd?no=2142</t>
        </is>
      </c>
      <c r="AZ90" s="610" t="inlineStr"/>
    </row>
    <row r="91">
      <c r="A91" s="610" t="inlineStr">
        <is>
          <t>CHNPRFEILI26S000</t>
        </is>
      </c>
      <c r="B91" s="610" t="inlineStr">
        <is>
          <t>Instrument</t>
        </is>
      </c>
      <c r="C91" s="610" t="inlineStr">
        <is>
          <t>Performance standard</t>
        </is>
      </c>
      <c r="D91" s="610" t="inlineStr">
        <is>
          <t>Energy intensity limit for industrial production</t>
        </is>
      </c>
      <c r="E91" s="610" t="inlineStr">
        <is>
          <t>Industry</t>
        </is>
      </c>
      <c r="F91" s="610" t="inlineStr">
        <is>
          <t>Petroleum refining; Chemicals</t>
        </is>
      </c>
      <c r="G91" s="610" t="inlineStr">
        <is>
          <t>炼化行业单位产品能源消耗限额</t>
        </is>
      </c>
      <c r="H91" s="610" t="inlineStr">
        <is>
          <t>Norm of Energy Consumption per Unit Production of Refining and Chemical Industry</t>
        </is>
      </c>
      <c r="I91" s="610" t="inlineStr">
        <is>
          <t>N/A</t>
        </is>
      </c>
      <c r="J91" s="610"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610" t="inlineStr">
        <is>
          <t>Energy efficiency</t>
        </is>
      </c>
      <c r="L91" s="610" t="inlineStr">
        <is>
          <t>Direct</t>
        </is>
      </c>
      <c r="M91" s="610" t="inlineStr">
        <is>
          <t>national</t>
        </is>
      </c>
      <c r="N91" s="610" t="inlineStr">
        <is>
          <t>N/A</t>
        </is>
      </c>
      <c r="O91" s="610" t="inlineStr">
        <is>
          <t>18/12/2013</t>
        </is>
      </c>
      <c r="P91" s="610" t="inlineStr">
        <is>
          <t>01/09/2014</t>
        </is>
      </c>
      <c r="Q91" s="610" t="inlineStr">
        <is>
          <t>N/A</t>
        </is>
      </c>
      <c r="R91" s="610" t="inlineStr">
        <is>
          <t>29/04/2024</t>
        </is>
      </c>
      <c r="S91" s="610"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T91" s="610">
        <f>IF(P91="","In force",IF(P91="N/A","In force",IF(TODAY()&lt;DATE(VALUE(RIGHT(P91,4)),VALUE(MID(P91,4,2)),VALUE(LEFT(P91,2))),"Scheduled",IF(Q91="","In force",IF(Q91="N/A","In force",IF(TODAY()&lt;DATE(VALUE(RIGHT(Q91,4)),VALUE(MID(Q91,4,2)),VALUE(LEFT(Q91,2))),"In force","Ended"))))))</f>
        <v/>
      </c>
      <c r="U91" s="610" t="inlineStr">
        <is>
          <t>State Administration for Market Regulation; Standardization Administration of China</t>
        </is>
      </c>
      <c r="V91" s="610" t="inlineStr">
        <is>
          <t>Petroleum refining and petrochemical production facilities</t>
        </is>
      </c>
      <c r="W91" s="610" t="inlineStr">
        <is>
          <t>New; Existing</t>
        </is>
      </c>
      <c r="X91" s="610"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Y91" s="610" t="inlineStr">
        <is>
          <t>N/A</t>
        </is>
      </c>
      <c r="Z91" s="610" t="inlineStr">
        <is>
          <t>N/A</t>
        </is>
      </c>
      <c r="AA91" s="610" t="inlineStr">
        <is>
          <t>Firms</t>
        </is>
      </c>
      <c r="AB91" s="610" t="inlineStr">
        <is>
          <t>Firms operating petroleum refining or petrochemical production facilities within China.</t>
        </is>
      </c>
      <c r="AC91" s="610" t="inlineStr">
        <is>
          <t>Production</t>
        </is>
      </c>
      <c r="AD91" s="610" t="inlineStr">
        <is>
          <t>Operation of petroleum refining and petrochemical production facilities. Existing firms must meet Grade 3 (minimum) intensity limits; new, expansion and renovation firms must meet Grade 2 (access) limits.</t>
        </is>
      </c>
      <c r="AE91" s="610" t="inlineStr">
        <is>
          <t>Grade 3</t>
        </is>
      </c>
      <c r="AF91" s="610" t="inlineStr">
        <is>
          <t>Energy intensity limit grade</t>
        </is>
      </c>
      <c r="AG9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H91" s="610"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1" s="610" t="inlineStr">
        <is>
          <t>N/A</t>
        </is>
      </c>
      <c r="AJ91" s="610" t="inlineStr">
        <is>
          <t>N/A</t>
        </is>
      </c>
      <c r="AK91" s="610" t="inlineStr">
        <is>
          <t>Inspections or audits conducted by government authorities or third parties; Energy consumption data reporting by firms</t>
        </is>
      </c>
      <c r="AL91" s="610"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M91" s="610" t="inlineStr">
        <is>
          <t>Compliance order; Fines; Differentiated electricity pricing; Phase-out and closure</t>
        </is>
      </c>
      <c r="AN91" s="610"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1" s="610"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1" s="610"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1" s="610" t="inlineStr">
        <is>
          <t>N/A</t>
        </is>
      </c>
      <c r="AR91" s="610" t="inlineStr">
        <is>
          <t>N/A</t>
        </is>
      </c>
      <c r="AS91" s="610" t="inlineStr">
        <is>
          <t>C19</t>
        </is>
      </c>
      <c r="AT91" s="610" t="inlineStr">
        <is>
          <t>CO2</t>
        </is>
      </c>
      <c r="AU91" s="610" t="inlineStr">
        <is>
          <t>Positive</t>
        </is>
      </c>
      <c r="AV91" s="610" t="inlineStr">
        <is>
          <t>Energy conservation; Pollution control</t>
        </is>
      </c>
      <c r="AW91" s="610" t="inlineStr">
        <is>
          <t>GB 30251-2024 Norm of Energy Consumption per Unit Production of Refining and Chemical Industry</t>
        </is>
      </c>
      <c r="AX91" s="610" t="inlineStr">
        <is>
          <t>https://openstd.samr.gov.cn/bzgk/std/newGbInfo?hcno=C435B949AC4E107A19887F687477642F</t>
        </is>
      </c>
      <c r="AY91" s="610" t="inlineStr">
        <is>
          <t>GB 30251-2013 (superseded, petroleum refining); GB 30250-2013 (superseded, ethylene); GB 31533-2015 (superseded, PTA); GB 31534-2015 (superseded, PX); GB 31826-2015 (superseded, polypropylene); GB 32053-2015 (superseded, styrene): https://openstd.samr.gov.cn/bzgk/std/nd?no=2142</t>
        </is>
      </c>
      <c r="AZ91" s="610" t="inlineStr"/>
    </row>
    <row r="92">
      <c r="A92" s="610" t="inlineStr">
        <is>
          <t>CHNPRFEILI27S000</t>
        </is>
      </c>
      <c r="B92" s="610" t="inlineStr">
        <is>
          <t>Instrument</t>
        </is>
      </c>
      <c r="C92" s="610" t="inlineStr">
        <is>
          <t>Performance standard</t>
        </is>
      </c>
      <c r="D92" s="610" t="inlineStr">
        <is>
          <t>Energy intensity limit for industrial production</t>
        </is>
      </c>
      <c r="E92" s="610" t="inlineStr">
        <is>
          <t>Industry</t>
        </is>
      </c>
      <c r="F92" s="610" t="inlineStr">
        <is>
          <t>Chemicals</t>
        </is>
      </c>
      <c r="G92" s="610" t="inlineStr">
        <is>
          <t>电石、乙酸乙烯酯、聚乙烯醇、1，4-丁二醇、双氰胺和单氰胺单位产品能源消耗限额</t>
        </is>
      </c>
      <c r="H92" s="610" t="inlineStr">
        <is>
          <t>Norm of Energy Consumption per Unit Production of Calcium Carbide, Vinyl Acetate, Polyvinyl Alcohol, 1,4-Butanediol, Dicyandiamide and Monocyanamide</t>
        </is>
      </c>
      <c r="I92" s="610" t="inlineStr">
        <is>
          <t>N/A</t>
        </is>
      </c>
      <c r="J92" s="610"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610" t="inlineStr">
        <is>
          <t>Energy efficiency</t>
        </is>
      </c>
      <c r="L92" s="610" t="inlineStr">
        <is>
          <t>Direct</t>
        </is>
      </c>
      <c r="M92" s="610" t="inlineStr">
        <is>
          <t>national</t>
        </is>
      </c>
      <c r="N92" s="610" t="inlineStr">
        <is>
          <t>N/A</t>
        </is>
      </c>
      <c r="O92" s="610" t="inlineStr">
        <is>
          <t>09/01/2008</t>
        </is>
      </c>
      <c r="P92" s="610" t="inlineStr">
        <is>
          <t>01/06/2008</t>
        </is>
      </c>
      <c r="Q92" s="610" t="inlineStr">
        <is>
          <t>N/A</t>
        </is>
      </c>
      <c r="R92" s="610" t="inlineStr">
        <is>
          <t>27/11/2023</t>
        </is>
      </c>
      <c r="S92" s="610"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T92" s="610">
        <f>IF(P92="","In force",IF(P92="N/A","In force",IF(TODAY()&lt;DATE(VALUE(RIGHT(P92,4)),VALUE(MID(P92,4,2)),VALUE(LEFT(P92,2))),"Scheduled",IF(Q92="","In force",IF(Q92="N/A","In force",IF(TODAY()&lt;DATE(VALUE(RIGHT(Q92,4)),VALUE(MID(Q92,4,2)),VALUE(LEFT(Q92,2))),"In force","Ended"))))))</f>
        <v/>
      </c>
      <c r="U92" s="610" t="inlineStr">
        <is>
          <t>State Administration for Market Regulation; Standardization Administration of China</t>
        </is>
      </c>
      <c r="V92" s="610" t="inlineStr">
        <is>
          <t>Calcium carbide, vinyl acetate, polyvinyl alcohol, BDO, dicyandiamide and monocyanamide production facilities</t>
        </is>
      </c>
      <c r="W92" s="610" t="inlineStr">
        <is>
          <t>New; Existing</t>
        </is>
      </c>
      <c r="X92" s="610"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Y92" s="610" t="inlineStr">
        <is>
          <t>N/A</t>
        </is>
      </c>
      <c r="Z92" s="610" t="inlineStr">
        <is>
          <t>N/A</t>
        </is>
      </c>
      <c r="AA92" s="610" t="inlineStr">
        <is>
          <t>Firms</t>
        </is>
      </c>
      <c r="AB92" s="610" t="inlineStr">
        <is>
          <t>Firms operating calcium carbide, vinyl acetate, polyvinyl alcohol, BDO, dicyandiamide or monocyanamide production facilities within China.</t>
        </is>
      </c>
      <c r="AC92" s="610" t="inlineStr">
        <is>
          <t>Production</t>
        </is>
      </c>
      <c r="AD92" s="610" t="inlineStr">
        <is>
          <t>Operation of calcium carbide, vinyl acetate, polyvinyl alcohol, BDO, dicyandiamide and monocyanamide production facilities. Existing firms must meet Grade 3 (minimum) intensity limits; new, expansion and renovation firms must meet Grade 2 (access) limits.</t>
        </is>
      </c>
      <c r="AE92" s="610" t="inlineStr">
        <is>
          <t>Grade 3</t>
        </is>
      </c>
      <c r="AF92" s="610" t="inlineStr">
        <is>
          <t>Energy intensity limit grade</t>
        </is>
      </c>
      <c r="AG9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H92" s="610"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2" s="610" t="inlineStr">
        <is>
          <t>N/A</t>
        </is>
      </c>
      <c r="AJ92" s="610" t="inlineStr">
        <is>
          <t>N/A</t>
        </is>
      </c>
      <c r="AK92" s="610" t="inlineStr">
        <is>
          <t>Inspections or audits conducted by government authorities or third parties; Energy consumption data reporting by firms</t>
        </is>
      </c>
      <c r="AL92" s="610"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M92" s="610" t="inlineStr">
        <is>
          <t>Compliance order; Fines; Differentiated electricity pricing; Phase-out and closure</t>
        </is>
      </c>
      <c r="AN92" s="610"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2" s="610"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P92" s="610"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Q92" s="610" t="inlineStr">
        <is>
          <t>N/A</t>
        </is>
      </c>
      <c r="AR92" s="610" t="inlineStr">
        <is>
          <t>N/A</t>
        </is>
      </c>
      <c r="AS92" s="610" t="inlineStr">
        <is>
          <t>C20</t>
        </is>
      </c>
      <c r="AT92" s="610" t="inlineStr">
        <is>
          <t>CO2</t>
        </is>
      </c>
      <c r="AU92" s="610" t="inlineStr">
        <is>
          <t>Positive</t>
        </is>
      </c>
      <c r="AV92" s="610" t="inlineStr">
        <is>
          <t>Energy conservation</t>
        </is>
      </c>
      <c r="AW92" s="610" t="inlineStr">
        <is>
          <t>GB 21343-2023 Norm of Energy Consumption per Unit Production of Calcium Carbide, Vinyl Acetate, Polyvinyl Alcohol, 1,4-Butanediol, Dicyandiamide and Monocyanamide</t>
        </is>
      </c>
      <c r="AX92" s="610" t="inlineStr">
        <is>
          <t>https://openstd.samr.gov.cn/bzgk/std/newGbInfo?hcno=FF563286A9D6FB07A9EF006AC64EA266</t>
        </is>
      </c>
      <c r="AY92" s="610" t="inlineStr">
        <is>
          <t>GB 21343-2015 (superseded, calcium carbide); GB 30528-2014 (superseded, polyvinyl alcohol); GB 30529-2014 (superseded, vinyl acetate); GB 31824-2015 (superseded, 1,4-butanediol): https://openstd.samr.gov.cn/bzgk/std/nd?no=2142</t>
        </is>
      </c>
      <c r="AZ92" s="610" t="inlineStr"/>
    </row>
    <row r="93">
      <c r="A93" s="610" t="inlineStr">
        <is>
          <t>CHNPRFEILI28S000</t>
        </is>
      </c>
      <c r="B93" s="610" t="inlineStr">
        <is>
          <t>Instrument</t>
        </is>
      </c>
      <c r="C93" s="610" t="inlineStr">
        <is>
          <t>Performance standard</t>
        </is>
      </c>
      <c r="D93" s="610" t="inlineStr">
        <is>
          <t>Energy intensity limit for industrial production</t>
        </is>
      </c>
      <c r="E93" s="610" t="inlineStr">
        <is>
          <t>Industry</t>
        </is>
      </c>
      <c r="F93" s="610" t="inlineStr">
        <is>
          <t>Fertilizer</t>
        </is>
      </c>
      <c r="G93" s="610" t="inlineStr">
        <is>
          <t>化肥行业单位产品能源消耗限额</t>
        </is>
      </c>
      <c r="H93" s="610" t="inlineStr">
        <is>
          <t>Norm of Energy Consumption per Unit Production of Fertilizer Industry</t>
        </is>
      </c>
      <c r="I93" s="610" t="inlineStr">
        <is>
          <t>N/A</t>
        </is>
      </c>
      <c r="J93" s="610"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610" t="inlineStr">
        <is>
          <t>Energy efficiency</t>
        </is>
      </c>
      <c r="L93" s="610" t="inlineStr">
        <is>
          <t>Direct</t>
        </is>
      </c>
      <c r="M93" s="610" t="inlineStr">
        <is>
          <t>national</t>
        </is>
      </c>
      <c r="N93" s="610" t="inlineStr">
        <is>
          <t>N/A</t>
        </is>
      </c>
      <c r="O93" s="610" t="inlineStr">
        <is>
          <t>09/01/2008</t>
        </is>
      </c>
      <c r="P93" s="610" t="inlineStr">
        <is>
          <t>01/06/2008</t>
        </is>
      </c>
      <c r="Q93" s="610" t="inlineStr">
        <is>
          <t>N/A</t>
        </is>
      </c>
      <c r="R93" s="610" t="inlineStr">
        <is>
          <t>27/11/2023</t>
        </is>
      </c>
      <c r="S93" s="610"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T93" s="610">
        <f>IF(P93="","In force",IF(P93="N/A","In force",IF(TODAY()&lt;DATE(VALUE(RIGHT(P93,4)),VALUE(MID(P93,4,2)),VALUE(LEFT(P93,2))),"Scheduled",IF(Q93="","In force",IF(Q93="N/A","In force",IF(TODAY()&lt;DATE(VALUE(RIGHT(Q93,4)),VALUE(MID(Q93,4,2)),VALUE(LEFT(Q93,2))),"In force","Ended"))))))</f>
        <v/>
      </c>
      <c r="U93" s="610" t="inlineStr">
        <is>
          <t>State Administration for Market Regulation; Standardization Administration of China</t>
        </is>
      </c>
      <c r="V93" s="610" t="inlineStr">
        <is>
          <t>Fertilizer production facilities</t>
        </is>
      </c>
      <c r="W93" s="610" t="inlineStr">
        <is>
          <t>New; Existing</t>
        </is>
      </c>
      <c r="X93" s="610"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Y93" s="610" t="inlineStr">
        <is>
          <t>N/A</t>
        </is>
      </c>
      <c r="Z93" s="610" t="inlineStr">
        <is>
          <t>N/A</t>
        </is>
      </c>
      <c r="AA93" s="610" t="inlineStr">
        <is>
          <t>Firms</t>
        </is>
      </c>
      <c r="AB93" s="610" t="inlineStr">
        <is>
          <t>Firms operating synthetic ammonia, urea, ammonium bicarbonate, monoammonium phosphate, diammonium phosphate or potassium sulphate production facilities within China.</t>
        </is>
      </c>
      <c r="AC93" s="610" t="inlineStr">
        <is>
          <t>Production</t>
        </is>
      </c>
      <c r="AD93" s="610" t="inlineStr">
        <is>
          <t>Operation of fertilizer production facilities. Existing firms must meet Grade 3 (minimum) intensity limits; new, expansion and renovation firms must meet Grade 2 (access) limits.</t>
        </is>
      </c>
      <c r="AE93" s="610" t="inlineStr">
        <is>
          <t>Grade 3</t>
        </is>
      </c>
      <c r="AF93" s="610" t="inlineStr">
        <is>
          <t>Energy intensity limit grade</t>
        </is>
      </c>
      <c r="AG9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H93" s="610"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3" s="610" t="inlineStr">
        <is>
          <t>N/A</t>
        </is>
      </c>
      <c r="AJ93" s="610" t="inlineStr">
        <is>
          <t>N/A</t>
        </is>
      </c>
      <c r="AK93" s="610" t="inlineStr">
        <is>
          <t>Inspections or audits conducted by government authorities or third parties; Energy consumption data reporting by firms</t>
        </is>
      </c>
      <c r="AL93" s="610" t="inlineStr">
        <is>
          <t>Market regulatory authorities conduct supervision inspections on fertilizer producers' compliance with energy intensity limit standards; firms must submit annual energy consumption data and undergo energy conservation supervision.</t>
        </is>
      </c>
      <c r="AM93" s="610" t="inlineStr">
        <is>
          <t>Compliance order; Fines; Differentiated electricity pricing; Phase-out and closure</t>
        </is>
      </c>
      <c r="AN93" s="610"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3" s="610"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P93" s="610"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Q93" s="610" t="inlineStr">
        <is>
          <t>N/A</t>
        </is>
      </c>
      <c r="AR93" s="610" t="inlineStr">
        <is>
          <t>N/A</t>
        </is>
      </c>
      <c r="AS93" s="610" t="inlineStr">
        <is>
          <t>C20</t>
        </is>
      </c>
      <c r="AT93" s="610" t="inlineStr">
        <is>
          <t>CO2</t>
        </is>
      </c>
      <c r="AU93" s="610" t="inlineStr">
        <is>
          <t>Positive</t>
        </is>
      </c>
      <c r="AV93" s="610" t="inlineStr">
        <is>
          <t>Energy conservation</t>
        </is>
      </c>
      <c r="AW93" s="610" t="inlineStr">
        <is>
          <t>GB 21344-2023 Norm of Energy Consumption per Unit Production of Fertilizer Industry</t>
        </is>
      </c>
      <c r="AX93" s="610" t="inlineStr">
        <is>
          <t>https://openstd.samr.gov.cn/bzgk/std/newGbInfo?hcno=4379F13AECC2F445EFDB629CDEB4A870</t>
        </is>
      </c>
      <c r="AY93" s="610"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c r="AZ93" s="610" t="inlineStr"/>
    </row>
    <row r="94">
      <c r="A94" s="610" t="inlineStr">
        <is>
          <t>CHNPRFEILI29S000</t>
        </is>
      </c>
      <c r="B94" s="610" t="inlineStr">
        <is>
          <t>Instrument</t>
        </is>
      </c>
      <c r="C94" s="610" t="inlineStr">
        <is>
          <t>Performance standard</t>
        </is>
      </c>
      <c r="D94" s="610" t="inlineStr">
        <is>
          <t>Energy intensity limit for industrial production</t>
        </is>
      </c>
      <c r="E94" s="610" t="inlineStr">
        <is>
          <t>Industry</t>
        </is>
      </c>
      <c r="F94" s="610" t="inlineStr">
        <is>
          <t>Tungsten and molybdenum mining, beneficiation and roasting</t>
        </is>
      </c>
      <c r="G94" s="610" t="inlineStr">
        <is>
          <t>钨精矿、钼精矿和焙烧钼精矿单位产品能源消耗限额</t>
        </is>
      </c>
      <c r="H94" s="610" t="inlineStr">
        <is>
          <t>Norm of Energy Consumption per Unit Production of Tungsten Concentrate, Molybdenum Concentrate and Roasted Molybdenum Concentrate</t>
        </is>
      </c>
      <c r="I94" s="610" t="inlineStr">
        <is>
          <t>N/A</t>
        </is>
      </c>
      <c r="J94" s="610"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610" t="inlineStr">
        <is>
          <t>Energy efficiency</t>
        </is>
      </c>
      <c r="L94" s="610" t="inlineStr">
        <is>
          <t>Direct</t>
        </is>
      </c>
      <c r="M94" s="610" t="inlineStr">
        <is>
          <t>national</t>
        </is>
      </c>
      <c r="N94" s="610" t="inlineStr">
        <is>
          <t>N/A</t>
        </is>
      </c>
      <c r="O94" s="610" t="inlineStr">
        <is>
          <t>31/12/2012</t>
        </is>
      </c>
      <c r="P94" s="610" t="inlineStr">
        <is>
          <t>01/10/2013</t>
        </is>
      </c>
      <c r="Q94" s="610" t="inlineStr">
        <is>
          <t>N/A</t>
        </is>
      </c>
      <c r="R94" s="610" t="inlineStr">
        <is>
          <t>27/11/2023</t>
        </is>
      </c>
      <c r="S94" s="610"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T94" s="610">
        <f>IF(P94="","In force",IF(P94="N/A","In force",IF(TODAY()&lt;DATE(VALUE(RIGHT(P94,4)),VALUE(MID(P94,4,2)),VALUE(LEFT(P94,2))),"Scheduled",IF(Q94="","In force",IF(Q94="N/A","In force",IF(TODAY()&lt;DATE(VALUE(RIGHT(Q94,4)),VALUE(MID(Q94,4,2)),VALUE(LEFT(Q94,2))),"In force","Ended"))))))</f>
        <v/>
      </c>
      <c r="U94" s="610" t="inlineStr">
        <is>
          <t>State Administration for Market Regulation; Standardization Administration of China</t>
        </is>
      </c>
      <c r="V94" s="610" t="inlineStr">
        <is>
          <t>Tungsten concentrate, molybdenum concentrate and roasted molybdenum concentrate production systems</t>
        </is>
      </c>
      <c r="W94" s="610" t="inlineStr">
        <is>
          <t>New; Existing</t>
        </is>
      </c>
      <c r="X94" s="610"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Y94" s="610" t="inlineStr">
        <is>
          <t>N/A</t>
        </is>
      </c>
      <c r="Z94" s="610" t="inlineStr">
        <is>
          <t>N/A</t>
        </is>
      </c>
      <c r="AA94" s="610" t="inlineStr">
        <is>
          <t>Firms</t>
        </is>
      </c>
      <c r="AB94" s="610" t="inlineStr">
        <is>
          <t>Firms operating tungsten concentrate, molybdenum concentrate or roasted molybdenum concentrate production systems within China.</t>
        </is>
      </c>
      <c r="AC94" s="610" t="inlineStr">
        <is>
          <t>Production</t>
        </is>
      </c>
      <c r="AD94" s="610" t="inlineStr">
        <is>
          <t>Operation of tungsten concentrate, molybdenum concentrate and roasted molybdenum concentrate production systems. Existing firms must meet Grade 3 (minimum) intensity limits; new, expansion and renovation firms must meet Grade 2 (access) limits.</t>
        </is>
      </c>
      <c r="AE94" s="610" t="inlineStr">
        <is>
          <t>Grade 3</t>
        </is>
      </c>
      <c r="AF94" s="610" t="inlineStr">
        <is>
          <t>Energy intensity limit grade</t>
        </is>
      </c>
      <c r="AG9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H94" s="610"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4" s="610" t="inlineStr">
        <is>
          <t>N/A</t>
        </is>
      </c>
      <c r="AJ94" s="610" t="inlineStr">
        <is>
          <t>N/A</t>
        </is>
      </c>
      <c r="AK94" s="610" t="inlineStr">
        <is>
          <t>Inspections or audits conducted by government authorities or third parties; Energy consumption data reporting by firms</t>
        </is>
      </c>
      <c r="AL94" s="610"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M94" s="610" t="inlineStr">
        <is>
          <t>Compliance order; Fines; Differentiated electricity pricing; Phase-out and closure</t>
        </is>
      </c>
      <c r="AN94" s="610"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4" s="610"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P94" s="610"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Q94" s="610" t="inlineStr">
        <is>
          <t>N/A</t>
        </is>
      </c>
      <c r="AR94" s="610" t="inlineStr">
        <is>
          <t>N/A</t>
        </is>
      </c>
      <c r="AS94" s="610" t="inlineStr">
        <is>
          <t>B07</t>
        </is>
      </c>
      <c r="AT94" s="610" t="inlineStr">
        <is>
          <t>CO2</t>
        </is>
      </c>
      <c r="AU94" s="610" t="inlineStr">
        <is>
          <t>Positive</t>
        </is>
      </c>
      <c r="AV94" s="610" t="inlineStr">
        <is>
          <t>Energy conservation</t>
        </is>
      </c>
      <c r="AW94" s="610" t="inlineStr">
        <is>
          <t>GB 29145-2023 Norm of Energy Consumption per Unit Production of Tungsten Concentrate, Molybdenum Concentrate and Roasted Molybdenum Concentrate</t>
        </is>
      </c>
      <c r="AX94" s="610" t="inlineStr">
        <is>
          <t>https://openstd.samr.gov.cn/bzgk/std/newGbInfo?hcno=6E5465CA9B2F34918233AA436A58B246</t>
        </is>
      </c>
      <c r="AY94" s="610" t="inlineStr">
        <is>
          <t>GB 29145-2012 (superseded, roasted molybdenum concentrate); GB 29146-2012 (superseded, molybdenum concentrate); GB 31340-2014 (superseded, tungsten concentrate): https://openstd.samr.gov.cn/bzgk/std/nd?no=2142</t>
        </is>
      </c>
      <c r="AZ94" s="610" t="inlineStr"/>
    </row>
    <row r="95">
      <c r="A95" s="610" t="inlineStr">
        <is>
          <t>CHNPRFEILI30S000</t>
        </is>
      </c>
      <c r="B95" s="610" t="inlineStr">
        <is>
          <t>Instrument</t>
        </is>
      </c>
      <c r="C95" s="610" t="inlineStr">
        <is>
          <t>Performance standard</t>
        </is>
      </c>
      <c r="D95" s="610" t="inlineStr">
        <is>
          <t>Energy intensity limit for industrial production</t>
        </is>
      </c>
      <c r="E95" s="610" t="inlineStr">
        <is>
          <t>Industry</t>
        </is>
      </c>
      <c r="F95" s="610" t="inlineStr">
        <is>
          <t>Chemicals</t>
        </is>
      </c>
      <c r="G95" s="610" t="inlineStr">
        <is>
          <t>甲醇、乙二醇和二甲醚单位产品能源消耗限额</t>
        </is>
      </c>
      <c r="H95" s="610" t="inlineStr">
        <is>
          <t>Norm of Energy Consumption per Unit Production of Methanol, Ethylene Glycol and Dimethyl Ether</t>
        </is>
      </c>
      <c r="I95" s="610" t="inlineStr">
        <is>
          <t>N/A</t>
        </is>
      </c>
      <c r="J95" s="610"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610" t="inlineStr">
        <is>
          <t>Energy efficiency</t>
        </is>
      </c>
      <c r="L95" s="610" t="inlineStr">
        <is>
          <t>Direct</t>
        </is>
      </c>
      <c r="M95" s="610" t="inlineStr">
        <is>
          <t>national</t>
        </is>
      </c>
      <c r="N95" s="610" t="inlineStr">
        <is>
          <t>N/A</t>
        </is>
      </c>
      <c r="O95" s="610" t="inlineStr">
        <is>
          <t>31/12/2012</t>
        </is>
      </c>
      <c r="P95" s="610" t="inlineStr">
        <is>
          <t>01/10/2013</t>
        </is>
      </c>
      <c r="Q95" s="610" t="inlineStr">
        <is>
          <t>N/A</t>
        </is>
      </c>
      <c r="R95" s="610" t="inlineStr">
        <is>
          <t>27/11/2023</t>
        </is>
      </c>
      <c r="S95" s="610"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T95" s="610">
        <f>IF(P95="","In force",IF(P95="N/A","In force",IF(TODAY()&lt;DATE(VALUE(RIGHT(P95,4)),VALUE(MID(P95,4,2)),VALUE(LEFT(P95,2))),"Scheduled",IF(Q95="","In force",IF(Q95="N/A","In force",IF(TODAY()&lt;DATE(VALUE(RIGHT(Q95,4)),VALUE(MID(Q95,4,2)),VALUE(LEFT(Q95,2))),"In force","Ended"))))))</f>
        <v/>
      </c>
      <c r="U95" s="610" t="inlineStr">
        <is>
          <t>State Administration for Market Regulation; Standardization Administration of China</t>
        </is>
      </c>
      <c r="V95" s="610" t="inlineStr">
        <is>
          <t>Methanol, ethylene glycol and dimethyl ether production facilities</t>
        </is>
      </c>
      <c r="W95" s="610" t="inlineStr">
        <is>
          <t>New; Existing</t>
        </is>
      </c>
      <c r="X95" s="610"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Y95" s="610" t="inlineStr">
        <is>
          <t>N/A</t>
        </is>
      </c>
      <c r="Z95" s="610" t="inlineStr">
        <is>
          <t>N/A</t>
        </is>
      </c>
      <c r="AA95" s="610" t="inlineStr">
        <is>
          <t>Firms</t>
        </is>
      </c>
      <c r="AB95" s="610" t="inlineStr">
        <is>
          <t>Firms operating methanol, ethylene glycol or dimethyl ether production facilities within China.</t>
        </is>
      </c>
      <c r="AC95" s="610" t="inlineStr">
        <is>
          <t>Production</t>
        </is>
      </c>
      <c r="AD95" s="610" t="inlineStr">
        <is>
          <t>Operation of methanol, ethylene glycol and dimethyl ether production facilities. Existing firms must meet Grade 3 (minimum) intensity limits; new, expansion and renovation firms must meet Grade 2 (access) limits.</t>
        </is>
      </c>
      <c r="AE95" s="610" t="inlineStr">
        <is>
          <t>Grade 3</t>
        </is>
      </c>
      <c r="AF95" s="610" t="inlineStr">
        <is>
          <t>Energy intensity limit grade</t>
        </is>
      </c>
      <c r="AG9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H95" s="610"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5" s="610" t="inlineStr">
        <is>
          <t>N/A</t>
        </is>
      </c>
      <c r="AJ95" s="610" t="inlineStr">
        <is>
          <t>N/A</t>
        </is>
      </c>
      <c r="AK95" s="610" t="inlineStr">
        <is>
          <t>Inspections or audits conducted by government authorities or third parties; Energy consumption data reporting by firms</t>
        </is>
      </c>
      <c r="AL95" s="610"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M95" s="610" t="inlineStr">
        <is>
          <t>Compliance order; Fines; Differentiated electricity pricing; Phase-out and closure</t>
        </is>
      </c>
      <c r="AN95" s="610"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5" s="610"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P95" s="610"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Q95" s="610" t="inlineStr">
        <is>
          <t>N/A</t>
        </is>
      </c>
      <c r="AR95" s="610" t="inlineStr">
        <is>
          <t>N/A</t>
        </is>
      </c>
      <c r="AS95" s="610" t="inlineStr">
        <is>
          <t>C20</t>
        </is>
      </c>
      <c r="AT95" s="610" t="inlineStr">
        <is>
          <t>CO2</t>
        </is>
      </c>
      <c r="AU95" s="610" t="inlineStr">
        <is>
          <t>Positive</t>
        </is>
      </c>
      <c r="AV95" s="610" t="inlineStr">
        <is>
          <t>Energy conservation</t>
        </is>
      </c>
      <c r="AW95" s="610" t="inlineStr">
        <is>
          <t>GB 29436-2023 Norm of Energy Consumption per Unit Production of Methanol, Ethylene Glycol and Dimethyl Ether</t>
        </is>
      </c>
      <c r="AX95" s="610" t="inlineStr">
        <is>
          <t>https://openstd.samr.gov.cn/bzgk/std/newGbInfo?hcno=B75FB04331D597D255E830175CAF6D15</t>
        </is>
      </c>
      <c r="AY95" s="610"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c r="AZ95" s="610" t="inlineStr"/>
    </row>
    <row r="96">
      <c r="A96" s="610" t="inlineStr">
        <is>
          <t>CHNPRFEILI31S000</t>
        </is>
      </c>
      <c r="B96" s="610" t="inlineStr">
        <is>
          <t>Instrument</t>
        </is>
      </c>
      <c r="C96" s="610" t="inlineStr">
        <is>
          <t>Performance standard</t>
        </is>
      </c>
      <c r="D96" s="610" t="inlineStr">
        <is>
          <t>Energy intensity limit for industrial production</t>
        </is>
      </c>
      <c r="E96" s="610" t="inlineStr">
        <is>
          <t>Industry</t>
        </is>
      </c>
      <c r="F96" s="610" t="inlineStr">
        <is>
          <t>Building ceramics; Sanitary ceramics</t>
        </is>
      </c>
      <c r="G96" s="610" t="inlineStr">
        <is>
          <t>建筑卫生陶瓷和耐磨氧化铝球单位产品能源消耗限额</t>
        </is>
      </c>
      <c r="H96" s="610" t="inlineStr">
        <is>
          <t>Norm of Energy Consumption per Unit Production of Architecture and Sanitary Ceramics and Alumina Grinding Ball</t>
        </is>
      </c>
      <c r="I96" s="610" t="inlineStr">
        <is>
          <t>N/A</t>
        </is>
      </c>
      <c r="J96" s="610"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610" t="inlineStr">
        <is>
          <t>Energy efficiency</t>
        </is>
      </c>
      <c r="L96" s="610" t="inlineStr">
        <is>
          <t>Direct</t>
        </is>
      </c>
      <c r="M96" s="610" t="inlineStr">
        <is>
          <t>national</t>
        </is>
      </c>
      <c r="N96" s="610" t="inlineStr">
        <is>
          <t>N/A</t>
        </is>
      </c>
      <c r="O96" s="610" t="inlineStr">
        <is>
          <t>03/12/2007</t>
        </is>
      </c>
      <c r="P96" s="610" t="inlineStr">
        <is>
          <t>01/06/2008</t>
        </is>
      </c>
      <c r="Q96" s="610" t="inlineStr">
        <is>
          <t>N/A</t>
        </is>
      </c>
      <c r="R96" s="610" t="inlineStr">
        <is>
          <t>27/11/2023</t>
        </is>
      </c>
      <c r="S96" s="610"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T96" s="610">
        <f>IF(P96="","In force",IF(P96="N/A","In force",IF(TODAY()&lt;DATE(VALUE(RIGHT(P96,4)),VALUE(MID(P96,4,2)),VALUE(LEFT(P96,2))),"Scheduled",IF(Q96="","In force",IF(Q96="N/A","In force",IF(TODAY()&lt;DATE(VALUE(RIGHT(Q96,4)),VALUE(MID(Q96,4,2)),VALUE(LEFT(Q96,2))),"In force","Ended"))))))</f>
        <v/>
      </c>
      <c r="U96" s="610" t="inlineStr">
        <is>
          <t>State Administration for Market Regulation; Standardization Administration of China</t>
        </is>
      </c>
      <c r="V96" s="610" t="inlineStr">
        <is>
          <t>Architecture and sanitary ceramics and alumina grinding ball production facilities</t>
        </is>
      </c>
      <c r="W96" s="610" t="inlineStr">
        <is>
          <t>New; Existing</t>
        </is>
      </c>
      <c r="X96" s="610"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Y96" s="610" t="inlineStr">
        <is>
          <t>N/A</t>
        </is>
      </c>
      <c r="Z96" s="610" t="inlineStr">
        <is>
          <t>N/A</t>
        </is>
      </c>
      <c r="AA96" s="610" t="inlineStr">
        <is>
          <t>Firms</t>
        </is>
      </c>
      <c r="AB96" s="610" t="inlineStr">
        <is>
          <t>Firms operating architecture and sanitary ceramics or alumina grinding ball production facilities within China.</t>
        </is>
      </c>
      <c r="AC96" s="610" t="inlineStr">
        <is>
          <t>Production</t>
        </is>
      </c>
      <c r="AD96" s="610" t="inlineStr">
        <is>
          <t>Operation of architecture and sanitary ceramics and alumina grinding ball production facilities. Existing firms must meet Grade 3 (minimum) intensity limits; new, expansion and renovation firms must meet Grade 2 (access) limits.</t>
        </is>
      </c>
      <c r="AE96" s="610" t="inlineStr">
        <is>
          <t>Grade 3</t>
        </is>
      </c>
      <c r="AF96" s="610" t="inlineStr">
        <is>
          <t>Energy intensity limit grade</t>
        </is>
      </c>
      <c r="AG9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H96" s="610"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6" s="610" t="inlineStr">
        <is>
          <t>N/A</t>
        </is>
      </c>
      <c r="AJ96" s="610" t="inlineStr">
        <is>
          <t>N/A</t>
        </is>
      </c>
      <c r="AK96" s="610" t="inlineStr">
        <is>
          <t>Inspections or audits conducted by government authorities or third parties; Energy consumption data reporting by firms</t>
        </is>
      </c>
      <c r="AL96" s="610"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M96" s="610" t="inlineStr">
        <is>
          <t>Compliance order; Fines; Differentiated electricity pricing; Phase-out and closure</t>
        </is>
      </c>
      <c r="AN96" s="610"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6" s="610"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P96" s="610"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Q96" s="610" t="inlineStr">
        <is>
          <t>N/A</t>
        </is>
      </c>
      <c r="AR96" s="610" t="inlineStr">
        <is>
          <t>N/A</t>
        </is>
      </c>
      <c r="AS96" s="610" t="inlineStr">
        <is>
          <t>C23</t>
        </is>
      </c>
      <c r="AT96" s="610" t="inlineStr">
        <is>
          <t>CO2</t>
        </is>
      </c>
      <c r="AU96" s="610" t="inlineStr">
        <is>
          <t>Positive</t>
        </is>
      </c>
      <c r="AV96" s="610" t="inlineStr">
        <is>
          <t>Energy conservation</t>
        </is>
      </c>
      <c r="AW96" s="610" t="inlineStr">
        <is>
          <t>GB 21252-2023 Norm of Energy Consumption per Unit Production of Architecture and Sanitary Ceramics and Alumina Grinding Ball</t>
        </is>
      </c>
      <c r="AX96" s="610" t="inlineStr">
        <is>
          <t>https://openstd.samr.gov.cn/bzgk/std/newGbInfo?hcno=9EC54F539227FD3DFEF723D8C2289457</t>
        </is>
      </c>
      <c r="AY96" s="610" t="inlineStr">
        <is>
          <t>GB 21252-2013 (superseded, architecture and sanitary ceramics); GB 30181-2013 (superseded, alumina grinding ball): https://openstd.samr.gov.cn/bzgk/std/nd?no=2142</t>
        </is>
      </c>
      <c r="AZ96" s="610" t="inlineStr"/>
    </row>
    <row r="97">
      <c r="A97" s="610" t="inlineStr">
        <is>
          <t>CHNPRFEILI32S000</t>
        </is>
      </c>
      <c r="B97" s="610" t="inlineStr">
        <is>
          <t>Instrument</t>
        </is>
      </c>
      <c r="C97" s="610" t="inlineStr">
        <is>
          <t>Performance standard</t>
        </is>
      </c>
      <c r="D97" s="610" t="inlineStr">
        <is>
          <t>Energy intensity limit for industrial production</t>
        </is>
      </c>
      <c r="E97" s="610" t="inlineStr">
        <is>
          <t>Industry</t>
        </is>
      </c>
      <c r="F97" s="610" t="inlineStr">
        <is>
          <t>Industrial silicon smelting; Magnesium smelting</t>
        </is>
      </c>
      <c r="G97" s="610" t="inlineStr">
        <is>
          <t>工业硅和镁单位产品能源消耗限额</t>
        </is>
      </c>
      <c r="H97" s="610" t="inlineStr">
        <is>
          <t>Norm of Energy Consumption per Unit Production of Industrial Silicon and Magnesium</t>
        </is>
      </c>
      <c r="I97" s="610" t="inlineStr">
        <is>
          <t>N/A</t>
        </is>
      </c>
      <c r="J97" s="610"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610" t="inlineStr">
        <is>
          <t>Energy efficiency</t>
        </is>
      </c>
      <c r="L97" s="610" t="inlineStr">
        <is>
          <t>Direct</t>
        </is>
      </c>
      <c r="M97" s="610" t="inlineStr">
        <is>
          <t>national</t>
        </is>
      </c>
      <c r="N97" s="610" t="inlineStr">
        <is>
          <t>N/A</t>
        </is>
      </c>
      <c r="O97" s="610" t="inlineStr">
        <is>
          <t>09/01/2008</t>
        </is>
      </c>
      <c r="P97" s="610" t="inlineStr">
        <is>
          <t>01/06/2008</t>
        </is>
      </c>
      <c r="Q97" s="610" t="inlineStr">
        <is>
          <t>N/A</t>
        </is>
      </c>
      <c r="R97" s="610" t="inlineStr">
        <is>
          <t>08/09/2023</t>
        </is>
      </c>
      <c r="S97" s="610"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T97" s="610">
        <f>IF(P97="","In force",IF(P97="N/A","In force",IF(TODAY()&lt;DATE(VALUE(RIGHT(P97,4)),VALUE(MID(P97,4,2)),VALUE(LEFT(P97,2))),"Scheduled",IF(Q97="","In force",IF(Q97="N/A","In force",IF(TODAY()&lt;DATE(VALUE(RIGHT(Q97,4)),VALUE(MID(Q97,4,2)),VALUE(LEFT(Q97,2))),"In force","Ended"))))))</f>
        <v/>
      </c>
      <c r="U97" s="610" t="inlineStr">
        <is>
          <t>State Administration for Market Regulation; Standardization Administration of China</t>
        </is>
      </c>
      <c r="V97" s="610" t="inlineStr">
        <is>
          <t>Industrial silicon and magnesium smelting production facilities</t>
        </is>
      </c>
      <c r="W97" s="610" t="inlineStr">
        <is>
          <t>New; Existing</t>
        </is>
      </c>
      <c r="X97" s="610"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Y97" s="610" t="inlineStr">
        <is>
          <t>N/A</t>
        </is>
      </c>
      <c r="Z97" s="610" t="inlineStr">
        <is>
          <t>N/A</t>
        </is>
      </c>
      <c r="AA97" s="610" t="inlineStr">
        <is>
          <t>Firms</t>
        </is>
      </c>
      <c r="AB97" s="610" t="inlineStr">
        <is>
          <t>Firms operating industrial silicon or magnesium smelting production facilities within China.</t>
        </is>
      </c>
      <c r="AC97" s="610" t="inlineStr">
        <is>
          <t>Production</t>
        </is>
      </c>
      <c r="AD97" s="610" t="inlineStr">
        <is>
          <t>Operation of industrial silicon and magnesium smelting production facilities. Existing firms must meet Grade 3 (minimum) intensity limits; new, expansion and renovation firms must meet Grade 2 (access) limits.</t>
        </is>
      </c>
      <c r="AE97" s="610" t="inlineStr">
        <is>
          <t>Grade 3</t>
        </is>
      </c>
      <c r="AF97" s="610" t="inlineStr">
        <is>
          <t>Energy intensity limit grade</t>
        </is>
      </c>
      <c r="AG9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H97" s="610"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7" s="610" t="inlineStr">
        <is>
          <t>N/A</t>
        </is>
      </c>
      <c r="AJ97" s="610" t="inlineStr">
        <is>
          <t>N/A</t>
        </is>
      </c>
      <c r="AK97" s="610" t="inlineStr">
        <is>
          <t>Inspections or audits conducted by government authorities or third parties; Energy consumption data reporting by firms</t>
        </is>
      </c>
      <c r="AL97" s="610"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M97" s="610" t="inlineStr">
        <is>
          <t>Compliance order; Fines; Differentiated electricity pricing; Phase-out and closure</t>
        </is>
      </c>
      <c r="AN97" s="610"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7" s="610"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7" s="610"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7" s="610" t="inlineStr">
        <is>
          <t>N/A</t>
        </is>
      </c>
      <c r="AR97" s="610" t="inlineStr">
        <is>
          <t>N/A</t>
        </is>
      </c>
      <c r="AS97" s="610" t="inlineStr">
        <is>
          <t>C24</t>
        </is>
      </c>
      <c r="AT97" s="610" t="inlineStr">
        <is>
          <t>CO2</t>
        </is>
      </c>
      <c r="AU97" s="610" t="inlineStr">
        <is>
          <t>Positive</t>
        </is>
      </c>
      <c r="AV97" s="610" t="inlineStr">
        <is>
          <t>Energy conservation</t>
        </is>
      </c>
      <c r="AW97" s="610" t="inlineStr">
        <is>
          <t>GB 21347-2023 Norm of Energy Consumption per Unit Production of Industrial Silicon and Magnesium</t>
        </is>
      </c>
      <c r="AX97" s="610" t="inlineStr">
        <is>
          <t>https://openstd.samr.gov.cn/bzgk/std/newGbInfo?hcno=C754221E7C2AC90D25D239A7A77AF56A</t>
        </is>
      </c>
      <c r="AY97" s="610" t="inlineStr">
        <is>
          <t>GB 21347-2012 (superseded, magnesium smelting); GB 31338-2014 (superseded, industrial silicon): https://openstd.samr.gov.cn/bzgk/std/nd?no=2142</t>
        </is>
      </c>
      <c r="AZ97" s="610" t="inlineStr"/>
    </row>
    <row r="98">
      <c r="A98" s="610" t="inlineStr">
        <is>
          <t>CHNPRFEILI33S000</t>
        </is>
      </c>
      <c r="B98" s="610" t="inlineStr">
        <is>
          <t>Instrument</t>
        </is>
      </c>
      <c r="C98" s="610" t="inlineStr">
        <is>
          <t>Performance standard</t>
        </is>
      </c>
      <c r="D98" s="610" t="inlineStr">
        <is>
          <t>Energy intensity limit for industrial production</t>
        </is>
      </c>
      <c r="E98" s="610" t="inlineStr">
        <is>
          <t>Industry</t>
        </is>
      </c>
      <c r="F98" s="610" t="inlineStr">
        <is>
          <t>Non-ferrous metal smelting</t>
        </is>
      </c>
      <c r="G98" s="610" t="inlineStr">
        <is>
          <t>有色重金属冶炼企业单位产品能源消耗限额</t>
        </is>
      </c>
      <c r="H98" s="610" t="inlineStr">
        <is>
          <t>Norm of Energy Consumption per Unit Production of Non-Ferrous Heavy Metals Metallurgical Enterprises</t>
        </is>
      </c>
      <c r="I98" s="610" t="inlineStr">
        <is>
          <t>N/A</t>
        </is>
      </c>
      <c r="J98" s="610"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610" t="inlineStr">
        <is>
          <t>Energy efficiency</t>
        </is>
      </c>
      <c r="L98" s="610" t="inlineStr">
        <is>
          <t>Direct</t>
        </is>
      </c>
      <c r="M98" s="610" t="inlineStr">
        <is>
          <t>national</t>
        </is>
      </c>
      <c r="N98" s="610" t="inlineStr">
        <is>
          <t>N/A</t>
        </is>
      </c>
      <c r="O98" s="610" t="inlineStr">
        <is>
          <t>26/09/2010</t>
        </is>
      </c>
      <c r="P98" s="610" t="inlineStr">
        <is>
          <t>01/03/2012</t>
        </is>
      </c>
      <c r="Q98" s="610" t="inlineStr">
        <is>
          <t>N/A</t>
        </is>
      </c>
      <c r="R98" s="610" t="inlineStr">
        <is>
          <t>23/05/2023</t>
        </is>
      </c>
      <c r="S98" s="610"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T98" s="610">
        <f>IF(P98="","In force",IF(P98="N/A","In force",IF(TODAY()&lt;DATE(VALUE(RIGHT(P98,4)),VALUE(MID(P98,4,2)),VALUE(LEFT(P98,2))),"Scheduled",IF(Q98="","In force",IF(Q98="N/A","In force",IF(TODAY()&lt;DATE(VALUE(RIGHT(Q98,4)),VALUE(MID(Q98,4,2)),VALUE(LEFT(Q98,2))),"In force","Ended"))))))</f>
        <v/>
      </c>
      <c r="U98" s="610" t="inlineStr">
        <is>
          <t>State Administration for Market Regulation; Standardization Administration of China</t>
        </is>
      </c>
      <c r="V98" s="610" t="inlineStr">
        <is>
          <t>Non-ferrous heavy metal smelting production systems</t>
        </is>
      </c>
      <c r="W98" s="610" t="inlineStr">
        <is>
          <t>New; Existing</t>
        </is>
      </c>
      <c r="X98" s="610"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Y98" s="610" t="inlineStr">
        <is>
          <t>N/A</t>
        </is>
      </c>
      <c r="Z98" s="610" t="inlineStr">
        <is>
          <t>N/A</t>
        </is>
      </c>
      <c r="AA98" s="610" t="inlineStr">
        <is>
          <t>Firms</t>
        </is>
      </c>
      <c r="AB98" s="610" t="inlineStr">
        <is>
          <t>Firms operating copper, zinc, lead, nickel, tin, antimony, secondary lead, cobalt or bismuth smelting production systems within China.</t>
        </is>
      </c>
      <c r="AC98" s="610" t="inlineStr">
        <is>
          <t>Production</t>
        </is>
      </c>
      <c r="AD98" s="610" t="inlineStr">
        <is>
          <t>Operation of non-ferrous heavy metal smelting production systems. Existing firms must meet Grade 3 (minimum) intensity limits; new, expansion and renovation firms must meet Grade 2 (access) limits.</t>
        </is>
      </c>
      <c r="AE98" s="610" t="inlineStr">
        <is>
          <t>Grade 3</t>
        </is>
      </c>
      <c r="AF98" s="610" t="inlineStr">
        <is>
          <t>Energy intensity limit grade</t>
        </is>
      </c>
      <c r="AG9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H98" s="610"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8" s="610" t="inlineStr">
        <is>
          <t>N/A</t>
        </is>
      </c>
      <c r="AJ98" s="610" t="inlineStr">
        <is>
          <t>N/A</t>
        </is>
      </c>
      <c r="AK98" s="610" t="inlineStr">
        <is>
          <t>Inspections or audits conducted by government authorities or third parties; Energy consumption data reporting by firms</t>
        </is>
      </c>
      <c r="AL98" s="610" t="inlineStr">
        <is>
          <t>Market regulatory authorities conduct supervision inspections on non-ferrous heavy metal smelting producers' compliance with energy intensity limit standards; firms must submit annual energy consumption data and undergo energy conservation supervision.</t>
        </is>
      </c>
      <c r="AM98" s="610" t="inlineStr">
        <is>
          <t>Compliance order; Fines; Differentiated electricity pricing; Phase-out and closure</t>
        </is>
      </c>
      <c r="AN98" s="610"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8" s="610"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8" s="610"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8" s="610" t="inlineStr">
        <is>
          <t>N/A</t>
        </is>
      </c>
      <c r="AR98" s="610" t="inlineStr">
        <is>
          <t>N/A</t>
        </is>
      </c>
      <c r="AS98" s="610" t="inlineStr">
        <is>
          <t>C24</t>
        </is>
      </c>
      <c r="AT98" s="610" t="inlineStr">
        <is>
          <t>CO2</t>
        </is>
      </c>
      <c r="AU98" s="610" t="inlineStr">
        <is>
          <t>Positive</t>
        </is>
      </c>
      <c r="AV98" s="610" t="inlineStr">
        <is>
          <t>Energy conservation</t>
        </is>
      </c>
      <c r="AW98" s="610" t="inlineStr">
        <is>
          <t>GB 25323-2023 Norm of Energy Consumption per Unit Production of Non-Ferrous Heavy Metals Metallurgical Enterprises</t>
        </is>
      </c>
      <c r="AX98" s="610" t="inlineStr">
        <is>
          <t>https://openstd.samr.gov.cn/bzgk/std/newGbInfo?hcno=1AC5838391EDB47380A692125F5A7EC4</t>
        </is>
      </c>
      <c r="AY98" s="610"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c r="AZ98" s="610" t="inlineStr"/>
    </row>
    <row r="99">
      <c r="A99" s="610" t="inlineStr">
        <is>
          <t>CHNPRFEILI34S000</t>
        </is>
      </c>
      <c r="B99" s="610" t="inlineStr">
        <is>
          <t>Instrument</t>
        </is>
      </c>
      <c r="C99" s="610" t="inlineStr">
        <is>
          <t>Performance standard</t>
        </is>
      </c>
      <c r="D99" s="610" t="inlineStr">
        <is>
          <t>Energy intensity limit for industrial production</t>
        </is>
      </c>
      <c r="E99" s="610" t="inlineStr">
        <is>
          <t>Industry</t>
        </is>
      </c>
      <c r="F99" s="610" t="inlineStr">
        <is>
          <t>Aluminium processing</t>
        </is>
      </c>
      <c r="G99" s="610" t="inlineStr">
        <is>
          <t>变形铝及铝合金单位产品能源消耗限额</t>
        </is>
      </c>
      <c r="H99" s="610" t="inlineStr">
        <is>
          <t>Norm of Energy Consumption per Unit Production of Wrought Aluminium and Aluminium Alloys</t>
        </is>
      </c>
      <c r="I99" s="610" t="inlineStr">
        <is>
          <t>N/A</t>
        </is>
      </c>
      <c r="J99" s="610"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610" t="inlineStr">
        <is>
          <t>Energy efficiency</t>
        </is>
      </c>
      <c r="L99" s="610" t="inlineStr">
        <is>
          <t>Direct</t>
        </is>
      </c>
      <c r="M99" s="610" t="inlineStr">
        <is>
          <t>national</t>
        </is>
      </c>
      <c r="N99" s="610" t="inlineStr">
        <is>
          <t>N/A</t>
        </is>
      </c>
      <c r="O99" s="610" t="inlineStr">
        <is>
          <t>09/01/2008</t>
        </is>
      </c>
      <c r="P99" s="610" t="inlineStr">
        <is>
          <t>01/06/2008</t>
        </is>
      </c>
      <c r="Q99" s="610" t="inlineStr">
        <is>
          <t>N/A</t>
        </is>
      </c>
      <c r="R99" s="610" t="inlineStr">
        <is>
          <t>23/05/2023</t>
        </is>
      </c>
      <c r="S99" s="610"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T99" s="610">
        <f>IF(P99="","In force",IF(P99="N/A","In force",IF(TODAY()&lt;DATE(VALUE(RIGHT(P99,4)),VALUE(MID(P99,4,2)),VALUE(LEFT(P99,2))),"Scheduled",IF(Q99="","In force",IF(Q99="N/A","In force",IF(TODAY()&lt;DATE(VALUE(RIGHT(Q99,4)),VALUE(MID(Q99,4,2)),VALUE(LEFT(Q99,2))),"In force","Ended"))))))</f>
        <v/>
      </c>
      <c r="U99" s="610" t="inlineStr">
        <is>
          <t>State Administration for Market Regulation; Standardization Administration of China</t>
        </is>
      </c>
      <c r="V99" s="610" t="inlineStr">
        <is>
          <t>Wrought aluminium and aluminium alloy processing production lines</t>
        </is>
      </c>
      <c r="W99" s="610" t="inlineStr">
        <is>
          <t>New; Existing</t>
        </is>
      </c>
      <c r="X99" s="610"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Y99" s="610" t="inlineStr">
        <is>
          <t>N/A</t>
        </is>
      </c>
      <c r="Z99" s="610" t="inlineStr">
        <is>
          <t>N/A</t>
        </is>
      </c>
      <c r="AA99" s="610" t="inlineStr">
        <is>
          <t>Firms</t>
        </is>
      </c>
      <c r="AB99" s="610" t="inlineStr">
        <is>
          <t>Firms operating wrought aluminium and aluminium alloy processing production lines within China.</t>
        </is>
      </c>
      <c r="AC99" s="610" t="inlineStr">
        <is>
          <t>Production</t>
        </is>
      </c>
      <c r="AD99" s="610" t="inlineStr">
        <is>
          <t>Operation of wrought aluminium and aluminium alloy processing production lines. Existing firms must meet Grade 3 (minimum) intensity limits; new, expansion and renovation firms must meet Grade 2 (access) limits.</t>
        </is>
      </c>
      <c r="AE99" s="610" t="inlineStr">
        <is>
          <t>Grade 3</t>
        </is>
      </c>
      <c r="AF99" s="610" t="inlineStr">
        <is>
          <t>Energy intensity limit grade</t>
        </is>
      </c>
      <c r="AG9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H99" s="610"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9" s="610" t="inlineStr">
        <is>
          <t>N/A</t>
        </is>
      </c>
      <c r="AJ99" s="610" t="inlineStr">
        <is>
          <t>N/A</t>
        </is>
      </c>
      <c r="AK99" s="610" t="inlineStr">
        <is>
          <t>Inspections or audits conducted by government authorities or third parties; Energy consumption data reporting by firms</t>
        </is>
      </c>
      <c r="AL99" s="610"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M99" s="610" t="inlineStr">
        <is>
          <t>Compliance order; Fines; Differentiated electricity pricing; Phase-out and closure</t>
        </is>
      </c>
      <c r="AN99" s="610"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9" s="610"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P99" s="610"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Q99" s="610" t="inlineStr">
        <is>
          <t>N/A</t>
        </is>
      </c>
      <c r="AR99" s="610" t="inlineStr">
        <is>
          <t>N/A</t>
        </is>
      </c>
      <c r="AS99" s="610" t="inlineStr">
        <is>
          <t>C24</t>
        </is>
      </c>
      <c r="AT99" s="610" t="inlineStr">
        <is>
          <t>CO2</t>
        </is>
      </c>
      <c r="AU99" s="610" t="inlineStr">
        <is>
          <t>Positive</t>
        </is>
      </c>
      <c r="AV99" s="610" t="inlineStr">
        <is>
          <t>Energy conservation</t>
        </is>
      </c>
      <c r="AW99" s="610" t="inlineStr">
        <is>
          <t>GB 21351-2023 Norm of Energy Consumption per Unit Production of Wrought Aluminium and Aluminium Alloys</t>
        </is>
      </c>
      <c r="AX99" s="610" t="inlineStr">
        <is>
          <t>https://openstd.samr.gov.cn/bzgk/std/newGbInfo?hcno=BC1B167DC00C3975E4A9C90CC9F16EA6</t>
        </is>
      </c>
      <c r="AY99" s="610" t="inlineStr">
        <is>
          <t>GB 21351-2014 (superseded, extruded profiles, rods and tubes); GB 25326-2010 (superseded, tubes and rods); GB 26756-2011 (superseded, wires); GB 31339-2014 (superseded, wire cables and conductors): https://openstd.samr.gov.cn/bzgk/std/nd?no=2142</t>
        </is>
      </c>
      <c r="AZ99" s="610" t="inlineStr"/>
    </row>
    <row r="100">
      <c r="A100" s="610" t="inlineStr">
        <is>
          <t>CHNPRFEILI35S000</t>
        </is>
      </c>
      <c r="B100" s="610" t="inlineStr">
        <is>
          <t>Instrument</t>
        </is>
      </c>
      <c r="C100" s="610" t="inlineStr">
        <is>
          <t>Performance standard</t>
        </is>
      </c>
      <c r="D100" s="610" t="inlineStr">
        <is>
          <t>Energy intensity limit for industrial production</t>
        </is>
      </c>
      <c r="E100" s="610" t="inlineStr">
        <is>
          <t>Industry</t>
        </is>
      </c>
      <c r="F100" s="610" t="inlineStr">
        <is>
          <t>Copper processing</t>
        </is>
      </c>
      <c r="G100" s="610" t="inlineStr">
        <is>
          <t>铜及铜合金加工材单位产品能源消耗限额</t>
        </is>
      </c>
      <c r="H100" s="610" t="inlineStr">
        <is>
          <t>Norm of Energy Consumption per Unit Production of Wrought Copper and Copper Alloy</t>
        </is>
      </c>
      <c r="I100" s="610" t="inlineStr">
        <is>
          <t>N/A</t>
        </is>
      </c>
      <c r="J100" s="610"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610" t="inlineStr">
        <is>
          <t>Energy efficiency</t>
        </is>
      </c>
      <c r="L100" s="610" t="inlineStr">
        <is>
          <t>Direct</t>
        </is>
      </c>
      <c r="M100" s="610" t="inlineStr">
        <is>
          <t>national</t>
        </is>
      </c>
      <c r="N100" s="610" t="inlineStr">
        <is>
          <t>N/A</t>
        </is>
      </c>
      <c r="O100" s="610" t="inlineStr">
        <is>
          <t>31/12/2012</t>
        </is>
      </c>
      <c r="P100" s="610" t="inlineStr">
        <is>
          <t>01/10/2013</t>
        </is>
      </c>
      <c r="Q100" s="610" t="inlineStr">
        <is>
          <t>N/A</t>
        </is>
      </c>
      <c r="R100" s="610" t="inlineStr">
        <is>
          <t>23/05/2023</t>
        </is>
      </c>
      <c r="S100" s="610"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T100" s="610">
        <f>IF(P100="","In force",IF(P100="N/A","In force",IF(TODAY()&lt;DATE(VALUE(RIGHT(P100,4)),VALUE(MID(P100,4,2)),VALUE(LEFT(P100,2))),"Scheduled",IF(Q100="","In force",IF(Q100="N/A","In force",IF(TODAY()&lt;DATE(VALUE(RIGHT(Q100,4)),VALUE(MID(Q100,4,2)),VALUE(LEFT(Q100,2))),"In force","Ended"))))))</f>
        <v/>
      </c>
      <c r="U100" s="610" t="inlineStr">
        <is>
          <t>State Administration for Market Regulation; Standardization Administration of China</t>
        </is>
      </c>
      <c r="V100" s="610" t="inlineStr">
        <is>
          <t>Copper and copper alloy processing production lines</t>
        </is>
      </c>
      <c r="W100" s="610" t="inlineStr">
        <is>
          <t>New; Existing</t>
        </is>
      </c>
      <c r="X100" s="610"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Y100" s="610" t="inlineStr">
        <is>
          <t>N/A</t>
        </is>
      </c>
      <c r="Z100" s="610" t="inlineStr">
        <is>
          <t>N/A</t>
        </is>
      </c>
      <c r="AA100" s="610" t="inlineStr">
        <is>
          <t>Firms</t>
        </is>
      </c>
      <c r="AB100" s="610" t="inlineStr">
        <is>
          <t>Firms operating copper and copper alloy processing production lines within China.</t>
        </is>
      </c>
      <c r="AC100" s="610" t="inlineStr">
        <is>
          <t>Production</t>
        </is>
      </c>
      <c r="AD100" s="610" t="inlineStr">
        <is>
          <t>Operation of copper and copper alloy processing production lines. Existing firms must meet Grade 3 (minimum) intensity limits; new, expansion and renovation firms must meet Grade 2 (access) limits.</t>
        </is>
      </c>
      <c r="AE100" s="610" t="inlineStr">
        <is>
          <t>Grade 3</t>
        </is>
      </c>
      <c r="AF100" s="610" t="inlineStr">
        <is>
          <t>Energy intensity limit grade</t>
        </is>
      </c>
      <c r="AG10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H100" s="610"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0" s="610" t="inlineStr">
        <is>
          <t>N/A</t>
        </is>
      </c>
      <c r="AJ100" s="610" t="inlineStr">
        <is>
          <t>N/A</t>
        </is>
      </c>
      <c r="AK100" s="610" t="inlineStr">
        <is>
          <t>Inspections or audits conducted by government authorities or third parties; Energy consumption data reporting by firms</t>
        </is>
      </c>
      <c r="AL100" s="610" t="inlineStr">
        <is>
          <t>Market regulatory authorities conduct supervision inspections on copper and copper alloy processing producers' compliance with energy intensity limit standards; firms must submit annual energy consumption data and undergo energy conservation supervision.</t>
        </is>
      </c>
      <c r="AM100" s="610" t="inlineStr">
        <is>
          <t>Compliance order; Fines; Differentiated electricity pricing; Phase-out and closure</t>
        </is>
      </c>
      <c r="AN100" s="610"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0" s="610"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P100" s="610"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Q100" s="610" t="inlineStr">
        <is>
          <t>N/A</t>
        </is>
      </c>
      <c r="AR100" s="610" t="inlineStr">
        <is>
          <t>N/A</t>
        </is>
      </c>
      <c r="AS100" s="610" t="inlineStr">
        <is>
          <t>C24</t>
        </is>
      </c>
      <c r="AT100" s="610" t="inlineStr">
        <is>
          <t>CO2</t>
        </is>
      </c>
      <c r="AU100" s="610" t="inlineStr">
        <is>
          <t>Positive</t>
        </is>
      </c>
      <c r="AV100" s="610" t="inlineStr">
        <is>
          <t>Energy conservation</t>
        </is>
      </c>
      <c r="AW100" s="610" t="inlineStr">
        <is>
          <t>GB 21350-2023 Norm of Energy Consumption per Unit Production of Wrought Copper and Copper Alloy</t>
        </is>
      </c>
      <c r="AX100" s="610" t="inlineStr">
        <is>
          <t>https://openstd.samr.gov.cn/bzgk/std/newGbInfo?hcno=00D05C80DC378CB8ADE9C481234EDD8D</t>
        </is>
      </c>
      <c r="AY100" s="610" t="inlineStr">
        <is>
          <t>GB 21350-2013 (superseded, tubes); GB 29137-2012 (superseded, wires); GB 29442-2012 (superseded, plates, strips and foils); GB 29443-2012 (superseded, rods); GB 32046-2015 (superseded, electrical copper wire rod): https://openstd.samr.gov.cn/bzgk/std/nd?no=2142</t>
        </is>
      </c>
      <c r="AZ100" s="610" t="inlineStr"/>
    </row>
    <row r="101">
      <c r="A101" s="610" t="inlineStr">
        <is>
          <t>CHNPRFEILI36S000</t>
        </is>
      </c>
      <c r="B101" s="610" t="inlineStr">
        <is>
          <t>Instrument</t>
        </is>
      </c>
      <c r="C101" s="610" t="inlineStr">
        <is>
          <t>Performance standard</t>
        </is>
      </c>
      <c r="D101" s="610" t="inlineStr">
        <is>
          <t>Energy intensity limit for industrial production</t>
        </is>
      </c>
      <c r="E101" s="610" t="inlineStr">
        <is>
          <t>Industry</t>
        </is>
      </c>
      <c r="F101" s="610" t="inlineStr">
        <is>
          <t>Silicon materials; Germanium materials</t>
        </is>
      </c>
      <c r="G101" s="610" t="inlineStr">
        <is>
          <t>多晶硅和锗单位产品能源消耗限额</t>
        </is>
      </c>
      <c r="H101" s="610" t="inlineStr">
        <is>
          <t>Norm of Energy Consumption per Unit Production of Polysilicon and Germanium</t>
        </is>
      </c>
      <c r="I101" s="610" t="inlineStr">
        <is>
          <t>N/A</t>
        </is>
      </c>
      <c r="J101" s="610"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610" t="inlineStr">
        <is>
          <t>Energy efficiency</t>
        </is>
      </c>
      <c r="L101" s="610" t="inlineStr">
        <is>
          <t>Direct</t>
        </is>
      </c>
      <c r="M101" s="610" t="inlineStr">
        <is>
          <t>national</t>
        </is>
      </c>
      <c r="N101" s="610" t="inlineStr">
        <is>
          <t>N/A</t>
        </is>
      </c>
      <c r="O101" s="610" t="inlineStr">
        <is>
          <t>31/12/2012</t>
        </is>
      </c>
      <c r="P101" s="610" t="inlineStr">
        <is>
          <t>01/10/2013</t>
        </is>
      </c>
      <c r="Q101" s="610" t="inlineStr">
        <is>
          <t>N/A</t>
        </is>
      </c>
      <c r="R101" s="610" t="inlineStr">
        <is>
          <t>29/12/2022</t>
        </is>
      </c>
      <c r="S101" s="610"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T101" s="610">
        <f>IF(P101="","In force",IF(P101="N/A","In force",IF(TODAY()&lt;DATE(VALUE(RIGHT(P101,4)),VALUE(MID(P101,4,2)),VALUE(LEFT(P101,2))),"Scheduled",IF(Q101="","In force",IF(Q101="N/A","In force",IF(TODAY()&lt;DATE(VALUE(RIGHT(Q101,4)),VALUE(MID(Q101,4,2)),VALUE(LEFT(Q101,2))),"In force","Ended"))))))</f>
        <v/>
      </c>
      <c r="U101" s="610" t="inlineStr">
        <is>
          <t>State Administration for Market Regulation; Standardization Administration of China</t>
        </is>
      </c>
      <c r="V101" s="610" t="inlineStr">
        <is>
          <t>Polysilicon and germanium production facilities</t>
        </is>
      </c>
      <c r="W101" s="610" t="inlineStr">
        <is>
          <t>New; Existing</t>
        </is>
      </c>
      <c r="X101" s="610"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Y101" s="610" t="inlineStr">
        <is>
          <t>N/A</t>
        </is>
      </c>
      <c r="Z101" s="610" t="inlineStr">
        <is>
          <t>N/A</t>
        </is>
      </c>
      <c r="AA101" s="610" t="inlineStr">
        <is>
          <t>Firms</t>
        </is>
      </c>
      <c r="AB101" s="610" t="inlineStr">
        <is>
          <t>Firms operating polysilicon or germanium production facilities within China.</t>
        </is>
      </c>
      <c r="AC101" s="610" t="inlineStr">
        <is>
          <t>Production</t>
        </is>
      </c>
      <c r="AD101" s="610" t="inlineStr">
        <is>
          <t>Operation of polysilicon and germanium production facilities. Existing firms must meet Grade 3 (minimum) intensity limits; new, expansion and renovation firms must meet Grade 2 (access) limits.</t>
        </is>
      </c>
      <c r="AE101" s="610" t="inlineStr">
        <is>
          <t>Grade 3</t>
        </is>
      </c>
      <c r="AF101" s="610" t="inlineStr">
        <is>
          <t>Energy intensity limit grade</t>
        </is>
      </c>
      <c r="AG10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H101" s="610"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1" s="610" t="inlineStr">
        <is>
          <t>N/A</t>
        </is>
      </c>
      <c r="AJ101" s="610" t="inlineStr">
        <is>
          <t>N/A</t>
        </is>
      </c>
      <c r="AK101" s="610" t="inlineStr">
        <is>
          <t>Inspections or audits conducted by government authorities or third parties; Energy consumption data reporting by firms</t>
        </is>
      </c>
      <c r="AL101" s="610" t="inlineStr">
        <is>
          <t>Market regulatory authorities conduct supervision inspections on polysilicon and germanium producers' compliance with energy intensity limit standards; firms must submit annual energy consumption data and undergo energy conservation supervision.</t>
        </is>
      </c>
      <c r="AM101" s="610" t="inlineStr">
        <is>
          <t>Compliance order; Fines; Differentiated electricity pricing; Phase-out and closure</t>
        </is>
      </c>
      <c r="AN101" s="610"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1" s="610"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P101" s="610"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Q101" s="610" t="inlineStr">
        <is>
          <t>N/A</t>
        </is>
      </c>
      <c r="AR101" s="610" t="inlineStr">
        <is>
          <t>N/A</t>
        </is>
      </c>
      <c r="AS101" s="610" t="inlineStr">
        <is>
          <t>C24</t>
        </is>
      </c>
      <c r="AT101" s="610" t="inlineStr">
        <is>
          <t>CO2</t>
        </is>
      </c>
      <c r="AU101" s="610" t="inlineStr">
        <is>
          <t>Positive</t>
        </is>
      </c>
      <c r="AV101" s="610" t="inlineStr">
        <is>
          <t>Energy conservation</t>
        </is>
      </c>
      <c r="AW101" s="610" t="inlineStr">
        <is>
          <t>GB 29447-2022 Norm of Energy Consumption per Unit Production of Polysilicon and Germanium</t>
        </is>
      </c>
      <c r="AX101" s="610" t="inlineStr">
        <is>
          <t>https://openstd.samr.gov.cn/bzgk/std/newGbInfo?hcno=BD3DF1890BDBD4F84D3676D37F9884E6</t>
        </is>
      </c>
      <c r="AY101" s="610" t="inlineStr">
        <is>
          <t>GB 29447-2012 (superseded, polysilicon); GB 29413-2012 (superseded, germanium): https://openstd.samr.gov.cn/bzgk/std/nd?no=2142</t>
        </is>
      </c>
      <c r="AZ101" s="610" t="inlineStr"/>
    </row>
    <row r="102">
      <c r="A102" s="610" t="inlineStr">
        <is>
          <t>CHNPRFEILI37S000</t>
        </is>
      </c>
      <c r="B102" s="610" t="inlineStr">
        <is>
          <t>Instrument</t>
        </is>
      </c>
      <c r="C102" s="610" t="inlineStr">
        <is>
          <t>Performance standard</t>
        </is>
      </c>
      <c r="D102" s="610" t="inlineStr">
        <is>
          <t>Energy intensity limit for industrial production</t>
        </is>
      </c>
      <c r="E102" s="610" t="inlineStr">
        <is>
          <t>Industry</t>
        </is>
      </c>
      <c r="F102" s="610" t="inlineStr">
        <is>
          <t>Carbon products</t>
        </is>
      </c>
      <c r="G102" s="610" t="inlineStr">
        <is>
          <t>铝用炭素单位产品能源消耗限额</t>
        </is>
      </c>
      <c r="H102" s="610" t="inlineStr">
        <is>
          <t>Norm of Energy Consumption per Unit Production of Carbon Materials for Aluminium Production</t>
        </is>
      </c>
      <c r="I102" s="610" t="inlineStr">
        <is>
          <t>N/A</t>
        </is>
      </c>
      <c r="J102" s="610"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610" t="inlineStr">
        <is>
          <t>Energy efficiency</t>
        </is>
      </c>
      <c r="L102" s="610" t="inlineStr">
        <is>
          <t>Direct</t>
        </is>
      </c>
      <c r="M102" s="610" t="inlineStr">
        <is>
          <t>national</t>
        </is>
      </c>
      <c r="N102" s="610" t="inlineStr">
        <is>
          <t>N/A</t>
        </is>
      </c>
      <c r="O102" s="610" t="inlineStr">
        <is>
          <t>31/12/2014</t>
        </is>
      </c>
      <c r="P102" s="610" t="inlineStr">
        <is>
          <t>01/01/2016</t>
        </is>
      </c>
      <c r="Q102" s="610" t="inlineStr">
        <is>
          <t>N/A</t>
        </is>
      </c>
      <c r="R102" s="610" t="inlineStr">
        <is>
          <t>29/12/2022</t>
        </is>
      </c>
      <c r="S102" s="610"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T102" s="610">
        <f>IF(P102="","In force",IF(P102="N/A","In force",IF(TODAY()&lt;DATE(VALUE(RIGHT(P102,4)),VALUE(MID(P102,4,2)),VALUE(LEFT(P102,2))),"Scheduled",IF(Q102="","In force",IF(Q102="N/A","In force",IF(TODAY()&lt;DATE(VALUE(RIGHT(Q102,4)),VALUE(MID(Q102,4,2)),VALUE(LEFT(Q102,2))),"In force","Ended"))))))</f>
        <v/>
      </c>
      <c r="U102" s="610" t="inlineStr">
        <is>
          <t>State Administration for Market Regulation; Standardization Administration of China</t>
        </is>
      </c>
      <c r="V102" s="610" t="inlineStr">
        <is>
          <t>Carbon material production facilities for aluminium production</t>
        </is>
      </c>
      <c r="W102" s="610" t="inlineStr">
        <is>
          <t>New; Existing</t>
        </is>
      </c>
      <c r="X102" s="610"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Y102" s="610" t="inlineStr">
        <is>
          <t>N/A</t>
        </is>
      </c>
      <c r="Z102" s="610" t="inlineStr">
        <is>
          <t>N/A</t>
        </is>
      </c>
      <c r="AA102" s="610" t="inlineStr">
        <is>
          <t>Firms</t>
        </is>
      </c>
      <c r="AB102" s="610" t="inlineStr">
        <is>
          <t>Firms operating carbon material production facilities for aluminium production within China.</t>
        </is>
      </c>
      <c r="AC102" s="610" t="inlineStr">
        <is>
          <t>Production</t>
        </is>
      </c>
      <c r="AD102" s="610" t="inlineStr">
        <is>
          <t>Operation of carbon material production facilities for aluminium production. Existing firms must meet Grade 3 (minimum) intensity limits; new, expansion and renovation firms must meet Grade 2 (access) limits.</t>
        </is>
      </c>
      <c r="AE102" s="610" t="inlineStr">
        <is>
          <t>Grade 3</t>
        </is>
      </c>
      <c r="AF102" s="610" t="inlineStr">
        <is>
          <t>Energy intensity limit grade</t>
        </is>
      </c>
      <c r="AG10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H102" s="610"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2" s="610" t="inlineStr">
        <is>
          <t>N/A</t>
        </is>
      </c>
      <c r="AJ102" s="610" t="inlineStr">
        <is>
          <t>N/A</t>
        </is>
      </c>
      <c r="AK102" s="610" t="inlineStr">
        <is>
          <t>Inspections or audits conducted by government authorities or third parties; Energy consumption data reporting by firms</t>
        </is>
      </c>
      <c r="AL102" s="610"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M102" s="610" t="inlineStr">
        <is>
          <t>Compliance order; Fines; Differentiated electricity pricing; Phase-out and closure</t>
        </is>
      </c>
      <c r="AN102" s="610"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2" s="610"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P102" s="610"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Q102" s="610" t="inlineStr">
        <is>
          <t>N/A</t>
        </is>
      </c>
      <c r="AR102" s="610" t="inlineStr">
        <is>
          <t>N/A</t>
        </is>
      </c>
      <c r="AS102" s="610" t="inlineStr">
        <is>
          <t>C23</t>
        </is>
      </c>
      <c r="AT102" s="610" t="inlineStr">
        <is>
          <t>CO2</t>
        </is>
      </c>
      <c r="AU102" s="610" t="inlineStr">
        <is>
          <t>Positive</t>
        </is>
      </c>
      <c r="AV102" s="610" t="inlineStr">
        <is>
          <t>Energy conservation</t>
        </is>
      </c>
      <c r="AW102" s="610" t="inlineStr">
        <is>
          <t>GB 25324-2022 Norm of Energy Consumption per Unit Production of Carbon Materials for Aluminium Production</t>
        </is>
      </c>
      <c r="AX102" s="610" t="inlineStr">
        <is>
          <t>https://openstd.samr.gov.cn/bzgk/std/newGbInfo?hcno=FF0F16A51CFC03A1BAEEC48DCAB49C15</t>
        </is>
      </c>
      <c r="AY102" s="610" t="inlineStr">
        <is>
          <t>GB 25324-2014 (superseded, prebaked anodes); GB 25325-2014 (superseded, cathode carbon): https://openstd.samr.gov.cn/bzgk/std/nd?no=2142</t>
        </is>
      </c>
      <c r="AZ102" s="610" t="inlineStr"/>
    </row>
    <row r="103">
      <c r="A103" s="610" t="inlineStr">
        <is>
          <t>CHNPRFEILI38S000</t>
        </is>
      </c>
      <c r="B103" s="610" t="inlineStr">
        <is>
          <t>Instrument</t>
        </is>
      </c>
      <c r="C103" s="610" t="inlineStr">
        <is>
          <t>Performance standard</t>
        </is>
      </c>
      <c r="D103" s="610" t="inlineStr">
        <is>
          <t>Energy intensity limit for industrial production</t>
        </is>
      </c>
      <c r="E103" s="610" t="inlineStr">
        <is>
          <t>Industry</t>
        </is>
      </c>
      <c r="F103" s="610" t="inlineStr">
        <is>
          <t>Ferroalloy smelting</t>
        </is>
      </c>
      <c r="G103" s="610" t="inlineStr">
        <is>
          <t>铁合金单位产品能源消耗限额</t>
        </is>
      </c>
      <c r="H103" s="610" t="inlineStr">
        <is>
          <t>Norm of Energy Consumption per Unit Production of Ferroalloys</t>
        </is>
      </c>
      <c r="I103" s="610" t="inlineStr">
        <is>
          <t>N/A</t>
        </is>
      </c>
      <c r="J103" s="610"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610" t="inlineStr">
        <is>
          <t>Energy efficiency</t>
        </is>
      </c>
      <c r="L103" s="610" t="inlineStr">
        <is>
          <t>Direct</t>
        </is>
      </c>
      <c r="M103" s="610" t="inlineStr">
        <is>
          <t>national</t>
        </is>
      </c>
      <c r="N103" s="610" t="inlineStr">
        <is>
          <t>N/A</t>
        </is>
      </c>
      <c r="O103" s="610" t="inlineStr">
        <is>
          <t>09/01/2008</t>
        </is>
      </c>
      <c r="P103" s="610" t="inlineStr">
        <is>
          <t>01/06/2008</t>
        </is>
      </c>
      <c r="Q103" s="610" t="inlineStr">
        <is>
          <t>N/A</t>
        </is>
      </c>
      <c r="R103" s="610" t="inlineStr">
        <is>
          <t>29/12/2022</t>
        </is>
      </c>
      <c r="S103" s="610"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T103" s="610">
        <f>IF(P103="","In force",IF(P103="N/A","In force",IF(TODAY()&lt;DATE(VALUE(RIGHT(P103,4)),VALUE(MID(P103,4,2)),VALUE(LEFT(P103,2))),"Scheduled",IF(Q103="","In force",IF(Q103="N/A","In force",IF(TODAY()&lt;DATE(VALUE(RIGHT(Q103,4)),VALUE(MID(Q103,4,2)),VALUE(LEFT(Q103,2))),"In force","Ended"))))))</f>
        <v/>
      </c>
      <c r="U103" s="610" t="inlineStr">
        <is>
          <t>State Administration for Market Regulation; Standardization Administration of China</t>
        </is>
      </c>
      <c r="V103" s="610" t="inlineStr">
        <is>
          <t>Ferroalloy smelting production facilities</t>
        </is>
      </c>
      <c r="W103" s="610" t="inlineStr">
        <is>
          <t>New; Existing</t>
        </is>
      </c>
      <c r="X103" s="610"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Y103" s="610" t="inlineStr">
        <is>
          <t>N/A</t>
        </is>
      </c>
      <c r="Z103" s="610" t="inlineStr">
        <is>
          <t>N/A</t>
        </is>
      </c>
      <c r="AA103" s="610" t="inlineStr">
        <is>
          <t>Firms</t>
        </is>
      </c>
      <c r="AB103" s="610" t="inlineStr">
        <is>
          <t>Firms operating ferroalloy smelting production facilities within China.</t>
        </is>
      </c>
      <c r="AC103" s="610" t="inlineStr">
        <is>
          <t>Production</t>
        </is>
      </c>
      <c r="AD103" s="610" t="inlineStr">
        <is>
          <t>Operation of ferroalloy smelting production facilities. Existing firms must meet Grade 3 (minimum) intensity limits; new, expansion and renovation firms must meet Grade 2 (access) limits.</t>
        </is>
      </c>
      <c r="AE103" s="610" t="inlineStr">
        <is>
          <t>Grade 3</t>
        </is>
      </c>
      <c r="AF103" s="610" t="inlineStr">
        <is>
          <t>Energy intensity limit grade</t>
        </is>
      </c>
      <c r="AG10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H103" s="610"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3" s="610" t="inlineStr">
        <is>
          <t>N/A</t>
        </is>
      </c>
      <c r="AJ103" s="610" t="inlineStr">
        <is>
          <t>N/A</t>
        </is>
      </c>
      <c r="AK103" s="610" t="inlineStr">
        <is>
          <t>Inspections or audits conducted by government authorities or third parties; Energy consumption data reporting by firms</t>
        </is>
      </c>
      <c r="AL103" s="610" t="inlineStr">
        <is>
          <t>Market regulatory authorities conduct supervision inspections on ferroalloy producers' compliance with energy intensity limit standards; firms must submit annual energy consumption data and undergo energy conservation supervision.</t>
        </is>
      </c>
      <c r="AM103" s="610" t="inlineStr">
        <is>
          <t>Compliance order; Fines; Differentiated electricity pricing; Phase-out and closure</t>
        </is>
      </c>
      <c r="AN103" s="610"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3" s="610"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103" s="610"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3" s="610" t="inlineStr">
        <is>
          <t>N/A</t>
        </is>
      </c>
      <c r="AR103" s="610" t="inlineStr">
        <is>
          <t>N/A</t>
        </is>
      </c>
      <c r="AS103" s="610" t="inlineStr">
        <is>
          <t>C24</t>
        </is>
      </c>
      <c r="AT103" s="610" t="inlineStr">
        <is>
          <t>CO2</t>
        </is>
      </c>
      <c r="AU103" s="610" t="inlineStr">
        <is>
          <t>Positive</t>
        </is>
      </c>
      <c r="AV103" s="610" t="inlineStr">
        <is>
          <t>Energy conservation</t>
        </is>
      </c>
      <c r="AW103" s="610" t="inlineStr">
        <is>
          <t>GB 21341-2022 Norm of Energy Consumption per Unit Production of Ferroalloys</t>
        </is>
      </c>
      <c r="AX103" s="610" t="inlineStr">
        <is>
          <t>https://openstd.samr.gov.cn/bzgk/std/newGbInfo?hcno=D9F02652C6E387DAC1B8E38456F479C8</t>
        </is>
      </c>
      <c r="AY103" s="610" t="inlineStr">
        <is>
          <t>GB 21341-2017 (superseded): https://openstd.samr.gov.cn/bzgk/std/nd?no=2142</t>
        </is>
      </c>
      <c r="AZ103" s="610" t="inlineStr"/>
    </row>
    <row r="104">
      <c r="A104" s="610" t="inlineStr">
        <is>
          <t>CHNPRFEILI39S000</t>
        </is>
      </c>
      <c r="B104" s="610" t="inlineStr">
        <is>
          <t>Instrument</t>
        </is>
      </c>
      <c r="C104" s="610" t="inlineStr">
        <is>
          <t>Performance standard</t>
        </is>
      </c>
      <c r="D104" s="610" t="inlineStr">
        <is>
          <t>Energy intensity limit for industrial production</t>
        </is>
      </c>
      <c r="E104" s="610" t="inlineStr">
        <is>
          <t>Industry</t>
        </is>
      </c>
      <c r="F104" s="610" t="inlineStr">
        <is>
          <t>Titanium smelting; Titanium processing</t>
        </is>
      </c>
      <c r="G104" s="610" t="inlineStr">
        <is>
          <t>海绵钛和钛锭单位产品能源消耗限额</t>
        </is>
      </c>
      <c r="H104" s="610" t="inlineStr">
        <is>
          <t>Norm of Energy Consumption per Unit Production of Titanium Sponge and Titanium Ingot</t>
        </is>
      </c>
      <c r="I104" s="610" t="inlineStr">
        <is>
          <t>N/A</t>
        </is>
      </c>
      <c r="J104" s="610"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610" t="inlineStr">
        <is>
          <t>Energy efficiency</t>
        </is>
      </c>
      <c r="L104" s="610" t="inlineStr">
        <is>
          <t>Direct</t>
        </is>
      </c>
      <c r="M104" s="610" t="inlineStr">
        <is>
          <t>national</t>
        </is>
      </c>
      <c r="N104" s="610" t="inlineStr">
        <is>
          <t>N/A</t>
        </is>
      </c>
      <c r="O104" s="610" t="inlineStr">
        <is>
          <t>31/12/2012</t>
        </is>
      </c>
      <c r="P104" s="610" t="inlineStr">
        <is>
          <t>01/10/2013</t>
        </is>
      </c>
      <c r="Q104" s="610" t="inlineStr">
        <is>
          <t>N/A</t>
        </is>
      </c>
      <c r="R104" s="610" t="inlineStr">
        <is>
          <t>29/12/2022</t>
        </is>
      </c>
      <c r="S104" s="610"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T104" s="610">
        <f>IF(P104="","In force",IF(P104="N/A","In force",IF(TODAY()&lt;DATE(VALUE(RIGHT(P104,4)),VALUE(MID(P104,4,2)),VALUE(LEFT(P104,2))),"Scheduled",IF(Q104="","In force",IF(Q104="N/A","In force",IF(TODAY()&lt;DATE(VALUE(RIGHT(Q104,4)),VALUE(MID(Q104,4,2)),VALUE(LEFT(Q104,2))),"In force","Ended"))))))</f>
        <v/>
      </c>
      <c r="U104" s="610" t="inlineStr">
        <is>
          <t>State Administration for Market Regulation; Standardization Administration of China</t>
        </is>
      </c>
      <c r="V104" s="610" t="inlineStr">
        <is>
          <t>Titanium sponge and titanium ingot production facilities</t>
        </is>
      </c>
      <c r="W104" s="610" t="inlineStr">
        <is>
          <t>New; Existing</t>
        </is>
      </c>
      <c r="X104" s="610"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Y104" s="610" t="inlineStr">
        <is>
          <t>N/A</t>
        </is>
      </c>
      <c r="Z104" s="610" t="inlineStr">
        <is>
          <t>N/A</t>
        </is>
      </c>
      <c r="AA104" s="610" t="inlineStr">
        <is>
          <t>Firms</t>
        </is>
      </c>
      <c r="AB104" s="610" t="inlineStr">
        <is>
          <t>Firms operating titanium sponge or titanium ingot production facilities within China.</t>
        </is>
      </c>
      <c r="AC104" s="610" t="inlineStr">
        <is>
          <t>Production</t>
        </is>
      </c>
      <c r="AD104" s="610" t="inlineStr">
        <is>
          <t>Operation of titanium sponge and titanium ingot production facilities. Existing firms must meet Grade 3 (minimum) intensity limits; new, expansion and renovation firms must meet Grade 2 (access) limits.</t>
        </is>
      </c>
      <c r="AE104" s="610" t="inlineStr">
        <is>
          <t>Grade 3</t>
        </is>
      </c>
      <c r="AF104" s="610" t="inlineStr">
        <is>
          <t>Energy intensity limit grade</t>
        </is>
      </c>
      <c r="AG10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H104" s="610"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4" s="610" t="inlineStr">
        <is>
          <t>N/A</t>
        </is>
      </c>
      <c r="AJ104" s="610" t="inlineStr">
        <is>
          <t>N/A</t>
        </is>
      </c>
      <c r="AK104" s="610" t="inlineStr">
        <is>
          <t>Inspections or audits conducted by government authorities or third parties; Energy consumption data reporting by firms</t>
        </is>
      </c>
      <c r="AL104" s="610" t="inlineStr">
        <is>
          <t>Market regulatory authorities conduct supervision inspections on titanium sponge and titanium ingot producers' compliance with energy intensity limit standards; firms must submit annual energy consumption data and undergo energy conservation supervision.</t>
        </is>
      </c>
      <c r="AM104" s="610" t="inlineStr">
        <is>
          <t>Compliance order; Fines; Differentiated electricity pricing; Phase-out and closure</t>
        </is>
      </c>
      <c r="AN104" s="610"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4" s="610"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P104" s="610"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Q104" s="610" t="inlineStr">
        <is>
          <t>N/A</t>
        </is>
      </c>
      <c r="AR104" s="610" t="inlineStr">
        <is>
          <t>N/A</t>
        </is>
      </c>
      <c r="AS104" s="610" t="inlineStr">
        <is>
          <t>C24</t>
        </is>
      </c>
      <c r="AT104" s="610" t="inlineStr">
        <is>
          <t>CO2</t>
        </is>
      </c>
      <c r="AU104" s="610" t="inlineStr">
        <is>
          <t>Positive</t>
        </is>
      </c>
      <c r="AV104" s="610" t="inlineStr">
        <is>
          <t>Energy conservation</t>
        </is>
      </c>
      <c r="AW104" s="610" t="inlineStr">
        <is>
          <t>GB 29448-2022 Norm of Energy Consumption per Unit Production of Titanium Sponge and Titanium Ingot</t>
        </is>
      </c>
      <c r="AX104" s="610" t="inlineStr">
        <is>
          <t>https://openstd.samr.gov.cn/bzgk/std/newGbInfo?hcno=E1EBA8E2BB1E25BD7D71C65DC9C0649C</t>
        </is>
      </c>
      <c r="AY104" s="610" t="inlineStr">
        <is>
          <t>GB 29136-2012 (superseded, titanium sponge); GB 29448-2012 (superseded, titanium ingot): https://openstd.samr.gov.cn/bzgk/std/nd?no=2142</t>
        </is>
      </c>
      <c r="AZ104" s="610" t="inlineStr"/>
    </row>
    <row r="105">
      <c r="A105" s="610" t="inlineStr">
        <is>
          <t>CHNPRFEILI40S000</t>
        </is>
      </c>
      <c r="B105" s="610" t="inlineStr">
        <is>
          <t>Instrument</t>
        </is>
      </c>
      <c r="C105" s="610" t="inlineStr">
        <is>
          <t>Performance standard</t>
        </is>
      </c>
      <c r="D105" s="610" t="inlineStr">
        <is>
          <t>Energy intensity limit for industrial production</t>
        </is>
      </c>
      <c r="E105" s="610" t="inlineStr">
        <is>
          <t>Industry</t>
        </is>
      </c>
      <c r="F105" s="610" t="inlineStr">
        <is>
          <t>Aluminium smelting</t>
        </is>
      </c>
      <c r="G105" s="610" t="inlineStr">
        <is>
          <t>电解铝和氧化铝单位产品能源消耗限额</t>
        </is>
      </c>
      <c r="H105" s="610" t="inlineStr">
        <is>
          <t>Norm of Energy Consumption per Unit Production of Electrolytic Aluminium and Alumina</t>
        </is>
      </c>
      <c r="I105" s="610" t="inlineStr">
        <is>
          <t>N/A</t>
        </is>
      </c>
      <c r="J105" s="610"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610" t="inlineStr">
        <is>
          <t>Energy efficiency</t>
        </is>
      </c>
      <c r="L105" s="610" t="inlineStr">
        <is>
          <t>Direct</t>
        </is>
      </c>
      <c r="M105" s="610" t="inlineStr">
        <is>
          <t>national</t>
        </is>
      </c>
      <c r="N105" s="610" t="inlineStr">
        <is>
          <t>N/A</t>
        </is>
      </c>
      <c r="O105" s="610" t="inlineStr">
        <is>
          <t>09/01/2008</t>
        </is>
      </c>
      <c r="P105" s="610" t="inlineStr">
        <is>
          <t>01/06/2008</t>
        </is>
      </c>
      <c r="Q105" s="610" t="inlineStr">
        <is>
          <t>N/A</t>
        </is>
      </c>
      <c r="R105" s="610" t="inlineStr">
        <is>
          <t>29/12/2022</t>
        </is>
      </c>
      <c r="S105" s="610"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T105" s="610">
        <f>IF(P105="","In force",IF(P105="N/A","In force",IF(TODAY()&lt;DATE(VALUE(RIGHT(P105,4)),VALUE(MID(P105,4,2)),VALUE(LEFT(P105,2))),"Scheduled",IF(Q105="","In force",IF(Q105="N/A","In force",IF(TODAY()&lt;DATE(VALUE(RIGHT(Q105,4)),VALUE(MID(Q105,4,2)),VALUE(LEFT(Q105,2))),"In force","Ended"))))))</f>
        <v/>
      </c>
      <c r="U105" s="610" t="inlineStr">
        <is>
          <t>State Administration for Market Regulation; Standardization Administration of China</t>
        </is>
      </c>
      <c r="V105" s="610" t="inlineStr">
        <is>
          <t>Electrolytic aluminium and alumina production facilities</t>
        </is>
      </c>
      <c r="W105" s="610" t="inlineStr">
        <is>
          <t>New; Existing</t>
        </is>
      </c>
      <c r="X105" s="610"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Y105" s="610" t="inlineStr">
        <is>
          <t>N/A</t>
        </is>
      </c>
      <c r="Z105" s="610" t="inlineStr">
        <is>
          <t>N/A</t>
        </is>
      </c>
      <c r="AA105" s="610" t="inlineStr">
        <is>
          <t>Firms</t>
        </is>
      </c>
      <c r="AB105" s="610" t="inlineStr">
        <is>
          <t>Firms operating electrolytic aluminium or alumina production facilities within China.</t>
        </is>
      </c>
      <c r="AC105" s="610" t="inlineStr">
        <is>
          <t>Production</t>
        </is>
      </c>
      <c r="AD105" s="610" t="inlineStr">
        <is>
          <t>Operation of electrolytic aluminium and alumina production facilities. Existing firms must meet Grade 3 (minimum) intensity limits; new, expansion and renovation firms must meet Grade 2 (access) limits.</t>
        </is>
      </c>
      <c r="AE105" s="610" t="inlineStr">
        <is>
          <t>Grade 3</t>
        </is>
      </c>
      <c r="AF105" s="610" t="inlineStr">
        <is>
          <t>Energy intensity limit grade</t>
        </is>
      </c>
      <c r="AG10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H105" s="610"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5" s="610" t="inlineStr">
        <is>
          <t>N/A</t>
        </is>
      </c>
      <c r="AJ105" s="610" t="inlineStr">
        <is>
          <t>N/A</t>
        </is>
      </c>
      <c r="AK105" s="610" t="inlineStr">
        <is>
          <t>Inspections or audits conducted by government authorities or third parties; Energy consumption data reporting by firms</t>
        </is>
      </c>
      <c r="AL105" s="610" t="inlineStr">
        <is>
          <t>Market regulatory authorities conduct supervision inspections on electrolytic aluminium and alumina producers' compliance with energy intensity limit standards; firms must submit annual energy consumption data and undergo energy conservation supervision.</t>
        </is>
      </c>
      <c r="AM105" s="610" t="inlineStr">
        <is>
          <t>Compliance order; Fines; Differentiated electricity pricing; Phase-out and closure</t>
        </is>
      </c>
      <c r="AN105" s="610"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5" s="610"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105" s="610"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5" s="610" t="inlineStr">
        <is>
          <t>N/A</t>
        </is>
      </c>
      <c r="AR105" s="610" t="inlineStr">
        <is>
          <t>N/A</t>
        </is>
      </c>
      <c r="AS105" s="610" t="inlineStr">
        <is>
          <t>C24</t>
        </is>
      </c>
      <c r="AT105" s="610" t="inlineStr">
        <is>
          <t>CO2</t>
        </is>
      </c>
      <c r="AU105" s="610" t="inlineStr">
        <is>
          <t>Positive</t>
        </is>
      </c>
      <c r="AV105" s="610" t="inlineStr">
        <is>
          <t>Energy conservation</t>
        </is>
      </c>
      <c r="AW105" s="610" t="inlineStr">
        <is>
          <t>GB 21346-2022 Norm of Energy Consumption per Unit Production of Electrolytic Aluminium and Alumina</t>
        </is>
      </c>
      <c r="AX105" s="610" t="inlineStr">
        <is>
          <t>https://openstd.samr.gov.cn/bzgk/std/newGbInfo?hcno=26157DFF9B64E6DEAB76156105CE930E</t>
        </is>
      </c>
      <c r="AY105" s="610" t="inlineStr">
        <is>
          <t>GB 21346-2013 (superseded, electrolytic aluminium); GB 25327-2017 (superseded, alumina): https://openstd.samr.gov.cn/bzgk/std/nd?no=2142</t>
        </is>
      </c>
      <c r="AZ105" s="610" t="inlineStr"/>
    </row>
    <row r="106">
      <c r="A106" s="610" t="inlineStr">
        <is>
          <t>CHNPRFEILI41S000</t>
        </is>
      </c>
      <c r="B106" s="610" t="inlineStr">
        <is>
          <t>Instrument</t>
        </is>
      </c>
      <c r="C106" s="610" t="inlineStr">
        <is>
          <t>Performance standard</t>
        </is>
      </c>
      <c r="D106" s="610" t="inlineStr">
        <is>
          <t>Energy intensity limit for industrial production</t>
        </is>
      </c>
      <c r="E106" s="610" t="inlineStr">
        <is>
          <t>Industry</t>
        </is>
      </c>
      <c r="F106" s="610" t="inlineStr">
        <is>
          <t>Port operations</t>
        </is>
      </c>
      <c r="G106" s="610" t="inlineStr">
        <is>
          <t>码头作业单位产品能源消耗限额</t>
        </is>
      </c>
      <c r="H106" s="610" t="inlineStr">
        <is>
          <t>Norm of Energy Consumption per Unit Throughput of Terminal Operations</t>
        </is>
      </c>
      <c r="I106" s="610" t="inlineStr">
        <is>
          <t>N/A</t>
        </is>
      </c>
      <c r="J106" s="610"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610" t="inlineStr">
        <is>
          <t>Energy efficiency</t>
        </is>
      </c>
      <c r="L106" s="610" t="inlineStr">
        <is>
          <t>Direct</t>
        </is>
      </c>
      <c r="M106" s="610" t="inlineStr">
        <is>
          <t>national</t>
        </is>
      </c>
      <c r="N106" s="610" t="inlineStr">
        <is>
          <t>N/A</t>
        </is>
      </c>
      <c r="O106" s="610" t="inlineStr">
        <is>
          <t>17/07/2015</t>
        </is>
      </c>
      <c r="P106" s="610" t="inlineStr">
        <is>
          <t>01/04/2016</t>
        </is>
      </c>
      <c r="Q106" s="610" t="inlineStr">
        <is>
          <t>N/A</t>
        </is>
      </c>
      <c r="R106" s="610" t="inlineStr">
        <is>
          <t>11/10/2021</t>
        </is>
      </c>
      <c r="S106" s="610"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T106" s="610">
        <f>IF(P106="","In force",IF(P106="N/A","In force",IF(TODAY()&lt;DATE(VALUE(RIGHT(P106,4)),VALUE(MID(P106,4,2)),VALUE(LEFT(P106,2))),"Scheduled",IF(Q106="","In force",IF(Q106="N/A","In force",IF(TODAY()&lt;DATE(VALUE(RIGHT(Q106,4)),VALUE(MID(Q106,4,2)),VALUE(LEFT(Q106,2))),"In force","Ended"))))))</f>
        <v/>
      </c>
      <c r="U106" s="610" t="inlineStr">
        <is>
          <t>State Administration for Market Regulation; Standardization Administration of China</t>
        </is>
      </c>
      <c r="V106" s="610" t="inlineStr">
        <is>
          <t>Terminal operation systems</t>
        </is>
      </c>
      <c r="W106" s="610" t="inlineStr">
        <is>
          <t>New; Existing</t>
        </is>
      </c>
      <c r="X106" s="610"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Y106" s="610" t="inlineStr">
        <is>
          <t>N/A</t>
        </is>
      </c>
      <c r="Z106" s="610" t="inlineStr">
        <is>
          <t>N/A</t>
        </is>
      </c>
      <c r="AA106" s="610" t="inlineStr">
        <is>
          <t>Firms</t>
        </is>
      </c>
      <c r="AB106" s="610" t="inlineStr">
        <is>
          <t>Firms operating specialised container terminals, dry bulk (coal, ore) terminals or crude oil terminals within China.</t>
        </is>
      </c>
      <c r="AC106" s="610" t="inlineStr">
        <is>
          <t>Production</t>
        </is>
      </c>
      <c r="AD106" s="610" t="inlineStr">
        <is>
          <t>Operation of terminal production operation systems. Existing terminals must meet Grade 3 (minimum) intensity limits; new, expansion and renovation terminals must meet Grade 2 (access) limits.</t>
        </is>
      </c>
      <c r="AE106" s="610" t="inlineStr">
        <is>
          <t>Grade 3</t>
        </is>
      </c>
      <c r="AF106" s="610" t="inlineStr">
        <is>
          <t>Energy intensity limit grade</t>
        </is>
      </c>
      <c r="AG106" s="610"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H106" s="610"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I106" s="610" t="inlineStr">
        <is>
          <t>N/A</t>
        </is>
      </c>
      <c r="AJ106" s="610" t="inlineStr">
        <is>
          <t>N/A</t>
        </is>
      </c>
      <c r="AK106" s="610" t="inlineStr">
        <is>
          <t>Inspections or audits conducted by government authorities or third parties; Energy consumption data reporting by firms</t>
        </is>
      </c>
      <c r="AL106" s="610"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M106" s="610" t="inlineStr">
        <is>
          <t>Compliance order; Fines; Differentiated electricity pricing; Phase-out and closure</t>
        </is>
      </c>
      <c r="AN106" s="610"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O106" s="610"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P106" s="610"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Q106" s="610" t="inlineStr">
        <is>
          <t>N/A</t>
        </is>
      </c>
      <c r="AR106" s="610" t="inlineStr">
        <is>
          <t>N/A</t>
        </is>
      </c>
      <c r="AS106" s="610" t="inlineStr">
        <is>
          <t>H52</t>
        </is>
      </c>
      <c r="AT106" s="610" t="inlineStr">
        <is>
          <t>CO2</t>
        </is>
      </c>
      <c r="AU106" s="610" t="inlineStr">
        <is>
          <t>Positive</t>
        </is>
      </c>
      <c r="AV106" s="610" t="inlineStr">
        <is>
          <t>Energy conservation; Pollution control</t>
        </is>
      </c>
      <c r="AW106" s="610" t="inlineStr">
        <is>
          <t>GB 31823-2021 Norm of Energy Consumption per Unit Throughput of Terminal Operations</t>
        </is>
      </c>
      <c r="AX106" s="610" t="inlineStr">
        <is>
          <t>https://openstd.samr.gov.cn/bzgk/std/newGbInfo?hcno=A8B30AEAFDAFE25DBCB92BC49F1B0651</t>
        </is>
      </c>
      <c r="AY106" s="610" t="inlineStr">
        <is>
          <t>GB 31823-2015 (superseded, container terminals); GB 31827-2015 (superseded, dry bulk terminals): https://openstd.samr.gov.cn/bzgk/std/nd?no=2142</t>
        </is>
      </c>
      <c r="AZ106" s="610" t="inlineStr"/>
    </row>
    <row r="107">
      <c r="A107" s="610" t="inlineStr">
        <is>
          <t>CHNPRFEILI42S000</t>
        </is>
      </c>
      <c r="B107" s="610" t="inlineStr">
        <is>
          <t>Instrument</t>
        </is>
      </c>
      <c r="C107" s="610" t="inlineStr">
        <is>
          <t>Performance standard</t>
        </is>
      </c>
      <c r="D107" s="610" t="inlineStr">
        <is>
          <t>Energy intensity limit for industrial production</t>
        </is>
      </c>
      <c r="E107" s="610" t="inlineStr">
        <is>
          <t>Industry</t>
        </is>
      </c>
      <c r="F107" s="610" t="inlineStr">
        <is>
          <t>Chemicals</t>
        </is>
      </c>
      <c r="G107" s="610" t="inlineStr">
        <is>
          <t>葡萄糖酸钠单位产品能源消耗限额</t>
        </is>
      </c>
      <c r="H107" s="610" t="inlineStr">
        <is>
          <t>Norm of Energy Consumption per Unit Production of Sodium Gluconate</t>
        </is>
      </c>
      <c r="I107" s="610" t="inlineStr">
        <is>
          <t>N/A</t>
        </is>
      </c>
      <c r="J107" s="610"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610" t="inlineStr">
        <is>
          <t>Energy efficiency</t>
        </is>
      </c>
      <c r="L107" s="610" t="inlineStr">
        <is>
          <t>Direct</t>
        </is>
      </c>
      <c r="M107" s="610" t="inlineStr">
        <is>
          <t>national</t>
        </is>
      </c>
      <c r="N107" s="610" t="inlineStr">
        <is>
          <t>N/A</t>
        </is>
      </c>
      <c r="O107" s="610" t="inlineStr">
        <is>
          <t>11/10/2021</t>
        </is>
      </c>
      <c r="P107" s="610" t="inlineStr">
        <is>
          <t>01/11/2022</t>
        </is>
      </c>
      <c r="Q107" s="610" t="inlineStr">
        <is>
          <t>N/A</t>
        </is>
      </c>
      <c r="R107" s="610" t="inlineStr">
        <is>
          <t>N/A</t>
        </is>
      </c>
      <c r="S107" s="610" t="inlineStr">
        <is>
          <t>N/A</t>
        </is>
      </c>
      <c r="T107" s="610">
        <f>IF(P107="","In force",IF(P107="N/A","In force",IF(TODAY()&lt;DATE(VALUE(RIGHT(P107,4)),VALUE(MID(P107,4,2)),VALUE(LEFT(P107,2))),"Scheduled",IF(Q107="","In force",IF(Q107="N/A","In force",IF(TODAY()&lt;DATE(VALUE(RIGHT(Q107,4)),VALUE(MID(Q107,4,2)),VALUE(LEFT(Q107,2))),"In force","Ended"))))))</f>
        <v/>
      </c>
      <c r="U107" s="610" t="inlineStr">
        <is>
          <t>State Administration for Market Regulation; Standardization Administration of China</t>
        </is>
      </c>
      <c r="V107" s="610" t="inlineStr">
        <is>
          <t>Sodium gluconate production installations</t>
        </is>
      </c>
      <c r="W107" s="610" t="inlineStr">
        <is>
          <t>New; Existing</t>
        </is>
      </c>
      <c r="X107" s="610" t="inlineStr">
        <is>
          <t>Installations producing sodium gluconate from glucose via biological fermentation (including fermentation, separation, refining, drying and other processes). Product forms include crystalline sodium gluconate and liquid sodium gluconate.</t>
        </is>
      </c>
      <c r="Y107" s="610" t="inlineStr">
        <is>
          <t>N/A</t>
        </is>
      </c>
      <c r="Z107" s="610" t="inlineStr">
        <is>
          <t>N/A</t>
        </is>
      </c>
      <c r="AA107" s="610" t="inlineStr">
        <is>
          <t>Firms</t>
        </is>
      </c>
      <c r="AB107" s="610" t="inlineStr">
        <is>
          <t>Firms operating sodium gluconate production installations within China.</t>
        </is>
      </c>
      <c r="AC107" s="610" t="inlineStr">
        <is>
          <t>Production</t>
        </is>
      </c>
      <c r="AD107" s="610" t="inlineStr">
        <is>
          <t>Operation of sodium gluconate production installations. Existing firms must meet Grade 3 (minimum) intensity limits; new, expansion and renovation firms must meet Grade 2 (access) limits.</t>
        </is>
      </c>
      <c r="AE107" s="610" t="inlineStr">
        <is>
          <t>Grade 3</t>
        </is>
      </c>
      <c r="AF107" s="610" t="inlineStr">
        <is>
          <t>Energy intensity limit grade</t>
        </is>
      </c>
      <c r="AG10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H107" s="610"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07" s="610" t="inlineStr">
        <is>
          <t>N/A</t>
        </is>
      </c>
      <c r="AJ107" s="610" t="inlineStr">
        <is>
          <t>N/A</t>
        </is>
      </c>
      <c r="AK107" s="610" t="inlineStr">
        <is>
          <t>Inspections or audits conducted by government authorities or third parties; Energy consumption data reporting by firms</t>
        </is>
      </c>
      <c r="AL107" s="610" t="inlineStr">
        <is>
          <t>Market regulatory authorities conduct supervision inspections on sodium gluconate producers' compliance with energy intensity limit standards; firms must submit annual energy consumption data and undergo energy conservation supervision.</t>
        </is>
      </c>
      <c r="AM107" s="610" t="inlineStr">
        <is>
          <t>Compliance order; Fines; Differentiated electricity pricing; Phase-out and closure</t>
        </is>
      </c>
      <c r="AN107" s="610"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07" s="610"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P107" s="610"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Q107" s="610" t="inlineStr">
        <is>
          <t>N/A</t>
        </is>
      </c>
      <c r="AR107" s="610" t="inlineStr">
        <is>
          <t>N/A</t>
        </is>
      </c>
      <c r="AS107" s="610" t="inlineStr">
        <is>
          <t>C20</t>
        </is>
      </c>
      <c r="AT107" s="610" t="inlineStr">
        <is>
          <t>CO2</t>
        </is>
      </c>
      <c r="AU107" s="610" t="inlineStr">
        <is>
          <t>Positive</t>
        </is>
      </c>
      <c r="AV107" s="610" t="inlineStr">
        <is>
          <t>Energy conservation</t>
        </is>
      </c>
      <c r="AW107" s="610" t="inlineStr">
        <is>
          <t>GB 40878-2021 Norm of Energy Consumption per Unit Production of Sodium Gluconate</t>
        </is>
      </c>
      <c r="AX107" s="610" t="inlineStr">
        <is>
          <t>https://openstd.samr.gov.cn/bzgk/std/newGbInfo?hcno=877E109F22EA5491BCAB71D3A7552AEF</t>
        </is>
      </c>
      <c r="AY107" s="610" t="inlineStr">
        <is>
          <t>N/A</t>
        </is>
      </c>
      <c r="AZ107" s="610" t="inlineStr"/>
    </row>
    <row r="108">
      <c r="A108" s="610" t="inlineStr">
        <is>
          <t>CHNPRFEILI43S000</t>
        </is>
      </c>
      <c r="B108" s="610" t="inlineStr">
        <is>
          <t>Instrument</t>
        </is>
      </c>
      <c r="C108" s="610" t="inlineStr">
        <is>
          <t>Performance standard</t>
        </is>
      </c>
      <c r="D108" s="610" t="inlineStr">
        <is>
          <t>Energy intensity limit for industrial production</t>
        </is>
      </c>
      <c r="E108" s="610" t="inlineStr">
        <is>
          <t>Industry</t>
        </is>
      </c>
      <c r="F108" s="610" t="inlineStr">
        <is>
          <t>Refractory materials</t>
        </is>
      </c>
      <c r="G108" s="610" t="inlineStr">
        <is>
          <t>硅酸铝纤维及制品单位产品能源消耗限额</t>
        </is>
      </c>
      <c r="H108" s="610" t="inlineStr">
        <is>
          <t>Norm of Energy Consumption per Unit Production of Aluminium Silicate Fibre and Products</t>
        </is>
      </c>
      <c r="I108" s="610" t="inlineStr">
        <is>
          <t>N/A</t>
        </is>
      </c>
      <c r="J108" s="610"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610" t="inlineStr">
        <is>
          <t>Energy efficiency</t>
        </is>
      </c>
      <c r="L108" s="610" t="inlineStr">
        <is>
          <t>Direct</t>
        </is>
      </c>
      <c r="M108" s="610" t="inlineStr">
        <is>
          <t>national</t>
        </is>
      </c>
      <c r="N108" s="610" t="inlineStr">
        <is>
          <t>N/A</t>
        </is>
      </c>
      <c r="O108" s="610" t="inlineStr">
        <is>
          <t>11/10/2021</t>
        </is>
      </c>
      <c r="P108" s="610" t="inlineStr">
        <is>
          <t>01/11/2022</t>
        </is>
      </c>
      <c r="Q108" s="610" t="inlineStr">
        <is>
          <t>N/A</t>
        </is>
      </c>
      <c r="R108" s="610" t="inlineStr">
        <is>
          <t>N/A</t>
        </is>
      </c>
      <c r="S108" s="610" t="inlineStr">
        <is>
          <t>N/A</t>
        </is>
      </c>
      <c r="T108" s="610">
        <f>IF(P108="","In force",IF(P108="N/A","In force",IF(TODAY()&lt;DATE(VALUE(RIGHT(P108,4)),VALUE(MID(P108,4,2)),VALUE(LEFT(P108,2))),"Scheduled",IF(Q108="","In force",IF(Q108="N/A","In force",IF(TODAY()&lt;DATE(VALUE(RIGHT(Q108,4)),VALUE(MID(Q108,4,2)),VALUE(LEFT(Q108,2))),"In force","Ended"))))))</f>
        <v/>
      </c>
      <c r="U108" s="610" t="inlineStr">
        <is>
          <t>State Administration for Market Regulation; Standardization Administration of China</t>
        </is>
      </c>
      <c r="V108" s="610" t="inlineStr">
        <is>
          <t>Aluminium silicate fibre and products production installations</t>
        </is>
      </c>
      <c r="W108" s="610" t="inlineStr">
        <is>
          <t>New; Existing</t>
        </is>
      </c>
      <c r="X108" s="610"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Y108" s="610" t="inlineStr">
        <is>
          <t>N/A</t>
        </is>
      </c>
      <c r="Z108" s="610" t="inlineStr">
        <is>
          <t>N/A</t>
        </is>
      </c>
      <c r="AA108" s="610" t="inlineStr">
        <is>
          <t>Firms</t>
        </is>
      </c>
      <c r="AB108" s="610" t="inlineStr">
        <is>
          <t>Firms operating aluminium silicate fibre and products production installations within China.</t>
        </is>
      </c>
      <c r="AC108" s="610" t="inlineStr">
        <is>
          <t>Production</t>
        </is>
      </c>
      <c r="AD108" s="610" t="inlineStr">
        <is>
          <t>Operation of aluminium silicate fibre and products production installations. Existing firms must meet Grade 3 (minimum) intensity limits; new, expansion and renovation firms must meet Grade 2 (access) limits.</t>
        </is>
      </c>
      <c r="AE108" s="610" t="inlineStr">
        <is>
          <t>Grade 3</t>
        </is>
      </c>
      <c r="AF108" s="610" t="inlineStr">
        <is>
          <t>Energy intensity limit grade</t>
        </is>
      </c>
      <c r="AG10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H108" s="610"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08" s="610" t="inlineStr">
        <is>
          <t>N/A</t>
        </is>
      </c>
      <c r="AJ108" s="610" t="inlineStr">
        <is>
          <t>N/A</t>
        </is>
      </c>
      <c r="AK108" s="610" t="inlineStr">
        <is>
          <t>Inspections or audits conducted by government authorities or third parties; Energy consumption data reporting by firms</t>
        </is>
      </c>
      <c r="AL108" s="610"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M108" s="610" t="inlineStr">
        <is>
          <t>Compliance order; Fines; Differentiated electricity pricing; Phase-out and closure</t>
        </is>
      </c>
      <c r="AN108" s="610"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08" s="610"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P108" s="610"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Q108" s="610" t="inlineStr">
        <is>
          <t>N/A</t>
        </is>
      </c>
      <c r="AR108" s="610" t="inlineStr">
        <is>
          <t>N/A</t>
        </is>
      </c>
      <c r="AS108" s="610" t="inlineStr">
        <is>
          <t>C23</t>
        </is>
      </c>
      <c r="AT108" s="610" t="inlineStr">
        <is>
          <t>CO2</t>
        </is>
      </c>
      <c r="AU108" s="610" t="inlineStr">
        <is>
          <t>Positive</t>
        </is>
      </c>
      <c r="AV108" s="610" t="inlineStr">
        <is>
          <t>Energy conservation</t>
        </is>
      </c>
      <c r="AW108" s="610" t="inlineStr">
        <is>
          <t>GB 40877-2021 Norm of Energy Consumption per Unit Production of Aluminium Silicate Fibre and Products</t>
        </is>
      </c>
      <c r="AX108" s="610" t="inlineStr">
        <is>
          <t>https://openstd.samr.gov.cn/bzgk/std/newGbInfo?hcno=C80A53072205EE972B428EF3320C9524</t>
        </is>
      </c>
      <c r="AY108" s="610" t="inlineStr">
        <is>
          <t>N/A</t>
        </is>
      </c>
      <c r="AZ108" s="610" t="inlineStr"/>
    </row>
    <row r="109">
      <c r="A109" s="610" t="inlineStr">
        <is>
          <t>CHNPRFEILI44S000</t>
        </is>
      </c>
      <c r="B109" s="610" t="inlineStr">
        <is>
          <t>Instrument</t>
        </is>
      </c>
      <c r="C109" s="610" t="inlineStr">
        <is>
          <t>Performance standard</t>
        </is>
      </c>
      <c r="D109" s="610" t="inlineStr">
        <is>
          <t>Energy intensity limit for industrial production</t>
        </is>
      </c>
      <c r="E109" s="610" t="inlineStr">
        <is>
          <t>Industry</t>
        </is>
      </c>
      <c r="F109" s="610" t="inlineStr">
        <is>
          <t>Cement manufacturing</t>
        </is>
      </c>
      <c r="G109" s="610" t="inlineStr">
        <is>
          <t>水泥单位产品能源消耗限额</t>
        </is>
      </c>
      <c r="H109" s="610" t="inlineStr">
        <is>
          <t>Norm of Energy Consumption per Unit Production of Cement</t>
        </is>
      </c>
      <c r="I109" s="610" t="inlineStr">
        <is>
          <t>N/A</t>
        </is>
      </c>
      <c r="J109" s="610"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610" t="inlineStr">
        <is>
          <t>Energy efficiency</t>
        </is>
      </c>
      <c r="L109" s="610" t="inlineStr">
        <is>
          <t>Direct</t>
        </is>
      </c>
      <c r="M109" s="610" t="inlineStr">
        <is>
          <t>national</t>
        </is>
      </c>
      <c r="N109" s="610" t="inlineStr">
        <is>
          <t>N/A</t>
        </is>
      </c>
      <c r="O109" s="610" t="inlineStr">
        <is>
          <t>03/12/2007</t>
        </is>
      </c>
      <c r="P109" s="610" t="inlineStr">
        <is>
          <t>01/06/2008</t>
        </is>
      </c>
      <c r="Q109" s="610" t="inlineStr">
        <is>
          <t>N/A</t>
        </is>
      </c>
      <c r="R109" s="610" t="inlineStr">
        <is>
          <t>11/10/2021</t>
        </is>
      </c>
      <c r="S109" s="610"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T109" s="610">
        <f>IF(P109="","In force",IF(P109="N/A","In force",IF(TODAY()&lt;DATE(VALUE(RIGHT(P109,4)),VALUE(MID(P109,4,2)),VALUE(LEFT(P109,2))),"Scheduled",IF(Q109="","In force",IF(Q109="N/A","In force",IF(TODAY()&lt;DATE(VALUE(RIGHT(Q109,4)),VALUE(MID(Q109,4,2)),VALUE(LEFT(Q109,2))),"In force","Ended"))))))</f>
        <v/>
      </c>
      <c r="U109" s="610" t="inlineStr">
        <is>
          <t>State Administration for Market Regulation; Standardization Administration of China</t>
        </is>
      </c>
      <c r="V109" s="610" t="inlineStr">
        <is>
          <t>Cement production systems</t>
        </is>
      </c>
      <c r="W109" s="610" t="inlineStr">
        <is>
          <t>New; Existing</t>
        </is>
      </c>
      <c r="X109" s="610"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Y109" s="610" t="inlineStr">
        <is>
          <t>N/A</t>
        </is>
      </c>
      <c r="Z109" s="610" t="inlineStr">
        <is>
          <t>N/A</t>
        </is>
      </c>
      <c r="AA109" s="610" t="inlineStr">
        <is>
          <t>Firms</t>
        </is>
      </c>
      <c r="AB109" s="610" t="inlineStr">
        <is>
          <t>Firms operating cement production systems within China.</t>
        </is>
      </c>
      <c r="AC109" s="610" t="inlineStr">
        <is>
          <t>Production</t>
        </is>
      </c>
      <c r="AD109" s="610" t="inlineStr">
        <is>
          <t>Operation of cement production systems. Existing firms must meet Grade 3 (minimum) intensity limits; new, expansion and renovation firms must meet Grade 2 (access) limits.</t>
        </is>
      </c>
      <c r="AE109" s="610" t="inlineStr">
        <is>
          <t>Grade 3</t>
        </is>
      </c>
      <c r="AF109" s="610" t="inlineStr">
        <is>
          <t>Energy intensity limit grade</t>
        </is>
      </c>
      <c r="AG10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H109" s="610"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I109" s="610" t="inlineStr">
        <is>
          <t>N/A</t>
        </is>
      </c>
      <c r="AJ109" s="610" t="inlineStr">
        <is>
          <t>N/A</t>
        </is>
      </c>
      <c r="AK109" s="610" t="inlineStr">
        <is>
          <t>Inspections or audits conducted by government authorities or third parties; Energy consumption data reporting by firms</t>
        </is>
      </c>
      <c r="AL109" s="610"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M109" s="610" t="inlineStr">
        <is>
          <t>Compliance order; Fines; Differentiated electricity pricing; Phase-out and closure</t>
        </is>
      </c>
      <c r="AN109" s="610"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O109" s="610"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P109" s="610"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Q109" s="610" t="inlineStr">
        <is>
          <t>N/A</t>
        </is>
      </c>
      <c r="AR109" s="610" t="inlineStr">
        <is>
          <t>N/A</t>
        </is>
      </c>
      <c r="AS109" s="610" t="inlineStr">
        <is>
          <t>C23</t>
        </is>
      </c>
      <c r="AT109" s="610" t="inlineStr">
        <is>
          <t>CO2</t>
        </is>
      </c>
      <c r="AU109" s="610" t="inlineStr">
        <is>
          <t>Positive</t>
        </is>
      </c>
      <c r="AV109" s="610" t="inlineStr">
        <is>
          <t>Energy conservation</t>
        </is>
      </c>
      <c r="AW109" s="610" t="inlineStr">
        <is>
          <t>GB 16780-2021 Norm of Energy Consumption per Unit Production of Cement</t>
        </is>
      </c>
      <c r="AX109" s="610" t="inlineStr">
        <is>
          <t>https://openstd.samr.gov.cn/bzgk/std/newGbInfo?hcno=A98F40B6D901C95820E0B5DFDC3FCFF9</t>
        </is>
      </c>
      <c r="AY109" s="610" t="inlineStr">
        <is>
          <t>GB 16780-2012 (superseded): https://openstd.samr.gov.cn/bzgk/std/nd?no=2142</t>
        </is>
      </c>
      <c r="AZ109" s="610" t="inlineStr"/>
    </row>
    <row r="110">
      <c r="A110" s="610" t="inlineStr">
        <is>
          <t>CHNPRFEILI45S000</t>
        </is>
      </c>
      <c r="B110" s="610" t="inlineStr">
        <is>
          <t>Instrument</t>
        </is>
      </c>
      <c r="C110" s="610" t="inlineStr">
        <is>
          <t>Performance standard</t>
        </is>
      </c>
      <c r="D110" s="610" t="inlineStr">
        <is>
          <t>Energy intensity limit for industrial production</t>
        </is>
      </c>
      <c r="E110" s="610" t="inlineStr">
        <is>
          <t>Industry</t>
        </is>
      </c>
      <c r="F110" s="610" t="inlineStr">
        <is>
          <t>Wall materials</t>
        </is>
      </c>
      <c r="G110" s="610" t="inlineStr">
        <is>
          <t>烧结墙体材料和泡沫玻璃单位产品能源消耗限额</t>
        </is>
      </c>
      <c r="H110" s="610" t="inlineStr">
        <is>
          <t>Norm of Energy Consumption per Unit Production of Sintered Wall Materials and Foam Glass</t>
        </is>
      </c>
      <c r="I110" s="610" t="inlineStr">
        <is>
          <t>N/A</t>
        </is>
      </c>
      <c r="J110" s="610"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610" t="inlineStr">
        <is>
          <t>Energy efficiency</t>
        </is>
      </c>
      <c r="L110" s="610" t="inlineStr">
        <is>
          <t>Direct</t>
        </is>
      </c>
      <c r="M110" s="610" t="inlineStr">
        <is>
          <t>national</t>
        </is>
      </c>
      <c r="N110" s="610" t="inlineStr">
        <is>
          <t>N/A</t>
        </is>
      </c>
      <c r="O110" s="610" t="inlineStr">
        <is>
          <t>28/04/2014</t>
        </is>
      </c>
      <c r="P110" s="610" t="inlineStr">
        <is>
          <t>01/01/2015</t>
        </is>
      </c>
      <c r="Q110" s="610" t="inlineStr">
        <is>
          <t>N/A</t>
        </is>
      </c>
      <c r="R110" s="610" t="inlineStr">
        <is>
          <t>14/10/2019</t>
        </is>
      </c>
      <c r="S110" s="610"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T110" s="610">
        <f>IF(P110="","In force",IF(P110="N/A","In force",IF(TODAY()&lt;DATE(VALUE(RIGHT(P110,4)),VALUE(MID(P110,4,2)),VALUE(LEFT(P110,2))),"Scheduled",IF(Q110="","In force",IF(Q110="N/A","In force",IF(TODAY()&lt;DATE(VALUE(RIGHT(Q110,4)),VALUE(MID(Q110,4,2)),VALUE(LEFT(Q110,2))),"In force","Ended"))))))</f>
        <v/>
      </c>
      <c r="U110" s="610" t="inlineStr">
        <is>
          <t>State Administration for Market Regulation; Standardization Administration of China</t>
        </is>
      </c>
      <c r="V110" s="610" t="inlineStr">
        <is>
          <t>Sintered wall materials and foam glass production installations</t>
        </is>
      </c>
      <c r="W110" s="610" t="inlineStr">
        <is>
          <t>New; Existing</t>
        </is>
      </c>
      <c r="X110" s="610"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Y110" s="610" t="inlineStr">
        <is>
          <t>N/A</t>
        </is>
      </c>
      <c r="Z110" s="610" t="inlineStr">
        <is>
          <t>N/A</t>
        </is>
      </c>
      <c r="AA110" s="610" t="inlineStr">
        <is>
          <t>Firms</t>
        </is>
      </c>
      <c r="AB110" s="610" t="inlineStr">
        <is>
          <t>Firms operating sintered wall materials or foam glass production installations within China.</t>
        </is>
      </c>
      <c r="AC110" s="610" t="inlineStr">
        <is>
          <t>Production</t>
        </is>
      </c>
      <c r="AD110" s="610" t="inlineStr">
        <is>
          <t>Operation of sintered wall materials and foam glass production installations. Existing firms must meet Grade 3 (minimum) intensity limits; new, expansion and renovation firms must meet Grade 2 (access) limits.</t>
        </is>
      </c>
      <c r="AE110" s="610" t="inlineStr">
        <is>
          <t>Grade 3</t>
        </is>
      </c>
      <c r="AF110" s="610" t="inlineStr">
        <is>
          <t>Energy intensity limit grade</t>
        </is>
      </c>
      <c r="AG11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H110" s="610"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0" s="610" t="inlineStr">
        <is>
          <t>N/A</t>
        </is>
      </c>
      <c r="AJ110" s="610" t="inlineStr">
        <is>
          <t>N/A</t>
        </is>
      </c>
      <c r="AK110" s="610" t="inlineStr">
        <is>
          <t>Inspections or audits conducted by government authorities or third parties; Energy consumption data reporting by firms</t>
        </is>
      </c>
      <c r="AL110" s="610"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M110" s="610" t="inlineStr">
        <is>
          <t>Compliance order; Fines; Differentiated electricity pricing; Phase-out and closure</t>
        </is>
      </c>
      <c r="AN110" s="610"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0" s="610"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P110" s="610"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Q110" s="610" t="inlineStr">
        <is>
          <t>N/A</t>
        </is>
      </c>
      <c r="AR110" s="610" t="inlineStr">
        <is>
          <t>N/A</t>
        </is>
      </c>
      <c r="AS110" s="610" t="inlineStr">
        <is>
          <t>C23</t>
        </is>
      </c>
      <c r="AT110" s="610" t="inlineStr">
        <is>
          <t>CO2</t>
        </is>
      </c>
      <c r="AU110" s="610" t="inlineStr">
        <is>
          <t>Positive</t>
        </is>
      </c>
      <c r="AV110" s="610" t="inlineStr">
        <is>
          <t>Energy conservation</t>
        </is>
      </c>
      <c r="AW110" s="610" t="inlineStr">
        <is>
          <t>GB 30526-2019 Norm of Energy Consumption per Unit Production of Sintered Wall Materials and Foam Glass</t>
        </is>
      </c>
      <c r="AX110" s="610" t="inlineStr">
        <is>
          <t>https://openstd.samr.gov.cn/bzgk/std/newGbInfo?hcno=6F51EED8D314AC04CFA4642EB9D519AC</t>
        </is>
      </c>
      <c r="AY110" s="610" t="inlineStr">
        <is>
          <t>GB 30526-2014 (superseded, sintered wall materials only): https://openstd.samr.gov.cn/bzgk/std/nd?no=2142</t>
        </is>
      </c>
      <c r="AZ110" s="610" t="inlineStr"/>
    </row>
    <row r="111">
      <c r="A111" s="610" t="inlineStr">
        <is>
          <t>CHNPRFEILI46S000</t>
        </is>
      </c>
      <c r="B111" s="610" t="inlineStr">
        <is>
          <t>Instrument</t>
        </is>
      </c>
      <c r="C111" s="610" t="inlineStr">
        <is>
          <t>Performance standard</t>
        </is>
      </c>
      <c r="D111" s="610" t="inlineStr">
        <is>
          <t>Energy intensity limit for industrial production</t>
        </is>
      </c>
      <c r="E111" s="610" t="inlineStr">
        <is>
          <t>Industry</t>
        </is>
      </c>
      <c r="F111" s="610" t="inlineStr">
        <is>
          <t>Cement products</t>
        </is>
      </c>
      <c r="G111" s="610" t="inlineStr">
        <is>
          <t>水泥制品单位产品能源消耗限额</t>
        </is>
      </c>
      <c r="H111" s="610" t="inlineStr">
        <is>
          <t>Norm of Energy Consumption per Unit Production of Cement Products</t>
        </is>
      </c>
      <c r="I111" s="610" t="inlineStr">
        <is>
          <t>N/A</t>
        </is>
      </c>
      <c r="J111" s="610"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610" t="inlineStr">
        <is>
          <t>Energy efficiency</t>
        </is>
      </c>
      <c r="L111" s="610" t="inlineStr">
        <is>
          <t>Direct</t>
        </is>
      </c>
      <c r="M111" s="610" t="inlineStr">
        <is>
          <t>national</t>
        </is>
      </c>
      <c r="N111" s="610" t="inlineStr">
        <is>
          <t>N/A</t>
        </is>
      </c>
      <c r="O111" s="610" t="inlineStr">
        <is>
          <t>14/10/2019</t>
        </is>
      </c>
      <c r="P111" s="610" t="inlineStr">
        <is>
          <t>01/05/2020</t>
        </is>
      </c>
      <c r="Q111" s="610" t="inlineStr">
        <is>
          <t>N/A</t>
        </is>
      </c>
      <c r="R111" s="610" t="inlineStr">
        <is>
          <t>N/A</t>
        </is>
      </c>
      <c r="S111" s="610" t="inlineStr">
        <is>
          <t>N/A</t>
        </is>
      </c>
      <c r="T111" s="610">
        <f>IF(P111="","In force",IF(P111="N/A","In force",IF(TODAY()&lt;DATE(VALUE(RIGHT(P111,4)),VALUE(MID(P111,4,2)),VALUE(LEFT(P111,2))),"Scheduled",IF(Q111="","In force",IF(Q111="N/A","In force",IF(TODAY()&lt;DATE(VALUE(RIGHT(Q111,4)),VALUE(MID(Q111,4,2)),VALUE(LEFT(Q111,2))),"In force","Ended"))))))</f>
        <v/>
      </c>
      <c r="U111" s="610" t="inlineStr">
        <is>
          <t>State Administration for Market Regulation; Standardization Administration of China</t>
        </is>
      </c>
      <c r="V111" s="610" t="inlineStr">
        <is>
          <t>Cement products production workshops or lines</t>
        </is>
      </c>
      <c r="W111" s="610" t="inlineStr">
        <is>
          <t>New; Existing</t>
        </is>
      </c>
      <c r="X111" s="610"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Y111" s="610" t="inlineStr">
        <is>
          <t>N/A</t>
        </is>
      </c>
      <c r="Z111" s="610" t="inlineStr">
        <is>
          <t>N/A</t>
        </is>
      </c>
      <c r="AA111" s="610" t="inlineStr">
        <is>
          <t>Firms</t>
        </is>
      </c>
      <c r="AB111" s="610" t="inlineStr">
        <is>
          <t>Firms operating concrete pipe pile, concrete pole, precast concrete element or reinforced concrete drainage pipe production systems within China.</t>
        </is>
      </c>
      <c r="AC111" s="610" t="inlineStr">
        <is>
          <t>Production</t>
        </is>
      </c>
      <c r="AD111" s="610" t="inlineStr">
        <is>
          <t>Operation of cement products production systems. Existing firms must meet Grade 3 (minimum) intensity limits; new, expansion and renovation firms must meet Grade 2 (access) limits.</t>
        </is>
      </c>
      <c r="AE111" s="610" t="inlineStr">
        <is>
          <t>Grade 3</t>
        </is>
      </c>
      <c r="AF111" s="610" t="inlineStr">
        <is>
          <t>Energy intensity limit grade</t>
        </is>
      </c>
      <c r="AG11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H111" s="610"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1" s="610" t="inlineStr">
        <is>
          <t>N/A</t>
        </is>
      </c>
      <c r="AJ111" s="610" t="inlineStr">
        <is>
          <t>N/A</t>
        </is>
      </c>
      <c r="AK111" s="610" t="inlineStr">
        <is>
          <t>Inspections or audits conducted by government authorities or third parties; Energy consumption data reporting by firms</t>
        </is>
      </c>
      <c r="AL111" s="610" t="inlineStr">
        <is>
          <t>Market regulatory authorities conduct supervision inspections on cement products producers' compliance with energy intensity limit standards; firms must submit annual energy consumption data and undergo energy conservation supervision.</t>
        </is>
      </c>
      <c r="AM111" s="610" t="inlineStr">
        <is>
          <t>Compliance order; Fines; Differentiated electricity pricing; Phase-out and closure</t>
        </is>
      </c>
      <c r="AN111" s="610"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1" s="610"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P111" s="610"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Q111" s="610" t="inlineStr">
        <is>
          <t>N/A</t>
        </is>
      </c>
      <c r="AR111" s="610" t="inlineStr">
        <is>
          <t>N/A</t>
        </is>
      </c>
      <c r="AS111" s="610" t="inlineStr">
        <is>
          <t>C23</t>
        </is>
      </c>
      <c r="AT111" s="610" t="inlineStr">
        <is>
          <t>CO2</t>
        </is>
      </c>
      <c r="AU111" s="610" t="inlineStr">
        <is>
          <t>Positive</t>
        </is>
      </c>
      <c r="AV111" s="610" t="inlineStr">
        <is>
          <t>Energy conservation</t>
        </is>
      </c>
      <c r="AW111" s="610" t="inlineStr">
        <is>
          <t>GB 38263-2019 Norm of Energy Consumption per Unit Production of Cement Products</t>
        </is>
      </c>
      <c r="AX111" s="610" t="inlineStr">
        <is>
          <t>https://openstd.samr.gov.cn/bzgk/std/newGbInfo?hcno=7C344F125FEDFB324891860636875FC2</t>
        </is>
      </c>
      <c r="AY111" s="610" t="inlineStr">
        <is>
          <t>N/A</t>
        </is>
      </c>
      <c r="AZ111" s="610" t="inlineStr"/>
    </row>
    <row r="112">
      <c r="A112" s="610" t="inlineStr">
        <is>
          <t>CHNPRFEILI47S000</t>
        </is>
      </c>
      <c r="B112" s="610" t="inlineStr">
        <is>
          <t>Instrument</t>
        </is>
      </c>
      <c r="C112" s="610" t="inlineStr">
        <is>
          <t>Performance standard</t>
        </is>
      </c>
      <c r="D112" s="610" t="inlineStr">
        <is>
          <t>Energy intensity limit for industrial production</t>
        </is>
      </c>
      <c r="E112" s="610" t="inlineStr">
        <is>
          <t>Industry</t>
        </is>
      </c>
      <c r="F112" s="610" t="inlineStr">
        <is>
          <t>Glass manufacturing</t>
        </is>
      </c>
      <c r="G112" s="610" t="inlineStr">
        <is>
          <t>玻璃和铸石单位产品能源消耗限额</t>
        </is>
      </c>
      <c r="H112" s="610" t="inlineStr">
        <is>
          <t>Norm of Energy Consumption per Unit Production of Glass and Cast Stone</t>
        </is>
      </c>
      <c r="I112" s="610" t="inlineStr">
        <is>
          <t>N/A</t>
        </is>
      </c>
      <c r="J112" s="610"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610" t="inlineStr">
        <is>
          <t>Energy efficiency</t>
        </is>
      </c>
      <c r="L112" s="610" t="inlineStr">
        <is>
          <t>Direct</t>
        </is>
      </c>
      <c r="M112" s="610" t="inlineStr">
        <is>
          <t>national</t>
        </is>
      </c>
      <c r="N112" s="610" t="inlineStr">
        <is>
          <t>N/A</t>
        </is>
      </c>
      <c r="O112" s="610" t="inlineStr">
        <is>
          <t>31/12/2012</t>
        </is>
      </c>
      <c r="P112" s="610" t="inlineStr">
        <is>
          <t>01/10/2013</t>
        </is>
      </c>
      <c r="Q112" s="610" t="inlineStr">
        <is>
          <t>N/A</t>
        </is>
      </c>
      <c r="R112" s="610" t="inlineStr">
        <is>
          <t>14/10/2019</t>
        </is>
      </c>
      <c r="S112" s="610"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T112" s="610">
        <f>IF(P112="","In force",IF(P112="N/A","In force",IF(TODAY()&lt;DATE(VALUE(RIGHT(P112,4)),VALUE(MID(P112,4,2)),VALUE(LEFT(P112,2))),"Scheduled",IF(Q112="","In force",IF(Q112="N/A","In force",IF(TODAY()&lt;DATE(VALUE(RIGHT(Q112,4)),VALUE(MID(Q112,4,2)),VALUE(LEFT(Q112,2))),"In force","Ended"))))))</f>
        <v/>
      </c>
      <c r="U112" s="610" t="inlineStr">
        <is>
          <t>State Administration for Market Regulation; Standardization Administration of China</t>
        </is>
      </c>
      <c r="V112" s="610" t="inlineStr">
        <is>
          <t>Glass and cast stone production installations</t>
        </is>
      </c>
      <c r="W112" s="610" t="inlineStr">
        <is>
          <t>New; Existing</t>
        </is>
      </c>
      <c r="X112" s="610"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Y112" s="610" t="inlineStr">
        <is>
          <t>N/A</t>
        </is>
      </c>
      <c r="Z112" s="610" t="inlineStr">
        <is>
          <t>N/A</t>
        </is>
      </c>
      <c r="AA112" s="610" t="inlineStr">
        <is>
          <t>Firms</t>
        </is>
      </c>
      <c r="AB112" s="610" t="inlineStr">
        <is>
          <t>Firms operating flat glass or cast stone production installations within China.</t>
        </is>
      </c>
      <c r="AC112" s="610" t="inlineStr">
        <is>
          <t>Production</t>
        </is>
      </c>
      <c r="AD112" s="610" t="inlineStr">
        <is>
          <t>Operation of glass and cast stone production installations. Existing firms must meet Grade 3 (minimum) intensity limits; new, expansion and renovation firms must meet Grade 2 (access) limits.</t>
        </is>
      </c>
      <c r="AE112" s="610" t="inlineStr">
        <is>
          <t>Grade 3</t>
        </is>
      </c>
      <c r="AF112" s="610" t="inlineStr">
        <is>
          <t>Energy intensity limit grade</t>
        </is>
      </c>
      <c r="AG11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H112" s="610"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2" s="610" t="inlineStr">
        <is>
          <t>N/A</t>
        </is>
      </c>
      <c r="AJ112" s="610" t="inlineStr">
        <is>
          <t>N/A</t>
        </is>
      </c>
      <c r="AK112" s="610" t="inlineStr">
        <is>
          <t>Inspections or audits conducted by government authorities or third parties; Energy consumption data reporting by firms</t>
        </is>
      </c>
      <c r="AL112" s="610" t="inlineStr">
        <is>
          <t>Market regulatory authorities conduct supervision inspections on glass and cast stone producers' compliance with energy intensity limit standards; firms must submit annual energy consumption data and undergo energy conservation supervision.</t>
        </is>
      </c>
      <c r="AM112" s="610" t="inlineStr">
        <is>
          <t>Compliance order; Fines; Differentiated electricity pricing; Phase-out and closure</t>
        </is>
      </c>
      <c r="AN112" s="610"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2" s="610"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P112" s="610"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Q112" s="610" t="inlineStr">
        <is>
          <t>N/A</t>
        </is>
      </c>
      <c r="AR112" s="610" t="inlineStr">
        <is>
          <t>N/A</t>
        </is>
      </c>
      <c r="AS112" s="610" t="inlineStr">
        <is>
          <t>C23</t>
        </is>
      </c>
      <c r="AT112" s="610" t="inlineStr">
        <is>
          <t>CO2</t>
        </is>
      </c>
      <c r="AU112" s="610" t="inlineStr">
        <is>
          <t>Positive</t>
        </is>
      </c>
      <c r="AV112" s="610" t="inlineStr">
        <is>
          <t>Energy conservation</t>
        </is>
      </c>
      <c r="AW112" s="610" t="inlineStr">
        <is>
          <t>GB 21340-2019 Norm of Energy Consumption per Unit Production of Glass and Cast Stone</t>
        </is>
      </c>
      <c r="AX112" s="610" t="inlineStr">
        <is>
          <t>https://openstd.samr.gov.cn/bzgk/std/newGbInfo?hcno=5CB1DAEFA1CDE5510AB6E9943A0E6951</t>
        </is>
      </c>
      <c r="AY112" s="610" t="inlineStr">
        <is>
          <t>GB 21340-2013 (superseded, flat glass); GB 30252-2013 (superseded, photovoltaic rolled glass); GB 29451-2012 (superseded, cast stone): https://openstd.samr.gov.cn/bzgk/std/nd?no=2142</t>
        </is>
      </c>
      <c r="AZ112" s="610" t="inlineStr"/>
    </row>
    <row r="113">
      <c r="A113" s="610" t="inlineStr">
        <is>
          <t>CHNPRFEILI48S000</t>
        </is>
      </c>
      <c r="B113" s="610" t="inlineStr">
        <is>
          <t>Instrument</t>
        </is>
      </c>
      <c r="C113" s="610" t="inlineStr">
        <is>
          <t>Performance standard</t>
        </is>
      </c>
      <c r="D113" s="610" t="inlineStr">
        <is>
          <t>Energy intensity limit for industrial production</t>
        </is>
      </c>
      <c r="E113" s="610" t="inlineStr">
        <is>
          <t>Industry</t>
        </is>
      </c>
      <c r="F113" s="610" t="inlineStr">
        <is>
          <t>Ready-mixed concrete</t>
        </is>
      </c>
      <c r="G113" s="610" t="inlineStr">
        <is>
          <t>预拌混凝土单位产品能源消耗限额</t>
        </is>
      </c>
      <c r="H113" s="610" t="inlineStr">
        <is>
          <t>Norm of Energy Consumption per Unit Production of Ready-Mixed Concrete</t>
        </is>
      </c>
      <c r="I113" s="610" t="inlineStr">
        <is>
          <t>N/A</t>
        </is>
      </c>
      <c r="J113" s="610"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610" t="inlineStr">
        <is>
          <t>Energy efficiency</t>
        </is>
      </c>
      <c r="L113" s="610" t="inlineStr">
        <is>
          <t>Direct</t>
        </is>
      </c>
      <c r="M113" s="610" t="inlineStr">
        <is>
          <t>national</t>
        </is>
      </c>
      <c r="N113" s="610" t="inlineStr">
        <is>
          <t>N/A</t>
        </is>
      </c>
      <c r="O113" s="610" t="inlineStr">
        <is>
          <t>19/11/2018</t>
        </is>
      </c>
      <c r="P113" s="610" t="inlineStr">
        <is>
          <t>01/12/2019</t>
        </is>
      </c>
      <c r="Q113" s="610" t="inlineStr">
        <is>
          <t>N/A</t>
        </is>
      </c>
      <c r="R113" s="610" t="inlineStr">
        <is>
          <t>N/A</t>
        </is>
      </c>
      <c r="S113" s="610" t="inlineStr">
        <is>
          <t>N/A</t>
        </is>
      </c>
      <c r="T113" s="610">
        <f>IF(P113="","In force",IF(P113="N/A","In force",IF(TODAY()&lt;DATE(VALUE(RIGHT(P113,4)),VALUE(MID(P113,4,2)),VALUE(LEFT(P113,2))),"Scheduled",IF(Q113="","In force",IF(Q113="N/A","In force",IF(TODAY()&lt;DATE(VALUE(RIGHT(Q113,4)),VALUE(MID(Q113,4,2)),VALUE(LEFT(Q113,2))),"In force","Ended"))))))</f>
        <v/>
      </c>
      <c r="U113" s="610" t="inlineStr">
        <is>
          <t>State Administration for Market Regulation; Standardization Administration of China</t>
        </is>
      </c>
      <c r="V113" s="610" t="inlineStr">
        <is>
          <t>Ready-mixed concrete batching plants</t>
        </is>
      </c>
      <c r="W113" s="610" t="inlineStr">
        <is>
          <t>New; Existing</t>
        </is>
      </c>
      <c r="X113" s="610"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Y113" s="610" t="inlineStr">
        <is>
          <t>N/A</t>
        </is>
      </c>
      <c r="Z113" s="610" t="inlineStr">
        <is>
          <t>N/A</t>
        </is>
      </c>
      <c r="AA113" s="610" t="inlineStr">
        <is>
          <t>Firms</t>
        </is>
      </c>
      <c r="AB113" s="610" t="inlineStr">
        <is>
          <t>Firms operating ready-mixed concrete batching plants within China.</t>
        </is>
      </c>
      <c r="AC113" s="610" t="inlineStr">
        <is>
          <t>Production</t>
        </is>
      </c>
      <c r="AD113" s="610" t="inlineStr">
        <is>
          <t>Operation of ready-mixed concrete batching plants. Existing firms must meet Grade 3 (minimum) intensity limits; new, expansion and renovation firms must meet Grade 2 (access) limits.</t>
        </is>
      </c>
      <c r="AE113" s="610" t="inlineStr">
        <is>
          <t>Grade 3</t>
        </is>
      </c>
      <c r="AF113" s="610" t="inlineStr">
        <is>
          <t>Energy intensity limit grade</t>
        </is>
      </c>
      <c r="AG11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H113" s="610"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3" s="610" t="inlineStr">
        <is>
          <t>N/A</t>
        </is>
      </c>
      <c r="AJ113" s="610" t="inlineStr">
        <is>
          <t>N/A</t>
        </is>
      </c>
      <c r="AK113" s="610" t="inlineStr">
        <is>
          <t>Inspections or audits conducted by government authorities or third parties; Energy consumption data reporting by firms</t>
        </is>
      </c>
      <c r="AL113" s="610" t="inlineStr">
        <is>
          <t>Market regulatory authorities conduct supervision inspections on ready-mixed concrete producers' compliance with energy intensity limit standards; firms must submit annual energy consumption data and undergo energy conservation supervision.</t>
        </is>
      </c>
      <c r="AM113" s="610" t="inlineStr">
        <is>
          <t>Compliance order; Fines; Differentiated electricity pricing; Phase-out and closure</t>
        </is>
      </c>
      <c r="AN113" s="610"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3" s="610"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P113" s="610"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Q113" s="610" t="inlineStr">
        <is>
          <t>N/A</t>
        </is>
      </c>
      <c r="AR113" s="610" t="inlineStr">
        <is>
          <t>N/A</t>
        </is>
      </c>
      <c r="AS113" s="610" t="inlineStr">
        <is>
          <t>C23</t>
        </is>
      </c>
      <c r="AT113" s="610" t="inlineStr">
        <is>
          <t>CO2</t>
        </is>
      </c>
      <c r="AU113" s="610" t="inlineStr">
        <is>
          <t>Positive</t>
        </is>
      </c>
      <c r="AV113" s="610" t="inlineStr">
        <is>
          <t>Energy conservation</t>
        </is>
      </c>
      <c r="AW113" s="610" t="inlineStr">
        <is>
          <t>GB 36888-2018 Norm of Energy Consumption per Unit Production of Ready-Mixed Concrete</t>
        </is>
      </c>
      <c r="AX113" s="610" t="inlineStr">
        <is>
          <t>https://openstd.samr.gov.cn/bzgk/std/newGbInfo?hcno=1AC950A21CEA5AAF829F02144F352E7C</t>
        </is>
      </c>
      <c r="AY113" s="610" t="inlineStr">
        <is>
          <t>N/A</t>
        </is>
      </c>
      <c r="AZ113" s="610" t="inlineStr"/>
    </row>
    <row r="114">
      <c r="A114" s="610" t="inlineStr">
        <is>
          <t>CHNPRFEILI49S000</t>
        </is>
      </c>
      <c r="B114" s="610" t="inlineStr">
        <is>
          <t>Instrument</t>
        </is>
      </c>
      <c r="C114" s="610" t="inlineStr">
        <is>
          <t>Performance standard</t>
        </is>
      </c>
      <c r="D114" s="610" t="inlineStr">
        <is>
          <t>Energy intensity limit for industrial production</t>
        </is>
      </c>
      <c r="E114" s="610" t="inlineStr">
        <is>
          <t>Industry</t>
        </is>
      </c>
      <c r="F114" s="610" t="inlineStr">
        <is>
          <t>Abrasives</t>
        </is>
      </c>
      <c r="G114" s="610" t="inlineStr">
        <is>
          <t>刚玉单位产品能源消耗限额</t>
        </is>
      </c>
      <c r="H114" s="610" t="inlineStr">
        <is>
          <t>Norm of Energy Consumption per Unit Production of Corundum</t>
        </is>
      </c>
      <c r="I114" s="610" t="inlineStr">
        <is>
          <t>N/A</t>
        </is>
      </c>
      <c r="J114" s="610"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610" t="inlineStr">
        <is>
          <t>Energy efficiency</t>
        </is>
      </c>
      <c r="L114" s="610" t="inlineStr">
        <is>
          <t>Direct</t>
        </is>
      </c>
      <c r="M114" s="610" t="inlineStr">
        <is>
          <t>national</t>
        </is>
      </c>
      <c r="N114" s="610" t="inlineStr">
        <is>
          <t>N/A</t>
        </is>
      </c>
      <c r="O114" s="610" t="inlineStr">
        <is>
          <t>19/11/2018</t>
        </is>
      </c>
      <c r="P114" s="610" t="inlineStr">
        <is>
          <t>01/12/2019</t>
        </is>
      </c>
      <c r="Q114" s="610" t="inlineStr">
        <is>
          <t>N/A</t>
        </is>
      </c>
      <c r="R114" s="610" t="inlineStr">
        <is>
          <t>N/A</t>
        </is>
      </c>
      <c r="S114" s="610" t="inlineStr">
        <is>
          <t>N/A</t>
        </is>
      </c>
      <c r="T114" s="610">
        <f>IF(P114="","In force",IF(P114="N/A","In force",IF(TODAY()&lt;DATE(VALUE(RIGHT(P114,4)),VALUE(MID(P114,4,2)),VALUE(LEFT(P114,2))),"Scheduled",IF(Q114="","In force",IF(Q114="N/A","In force",IF(TODAY()&lt;DATE(VALUE(RIGHT(Q114,4)),VALUE(MID(Q114,4,2)),VALUE(LEFT(Q114,2))),"In force","Ended"))))))</f>
        <v/>
      </c>
      <c r="U114" s="610" t="inlineStr">
        <is>
          <t>State Administration for Market Regulation; Standardization Administration of China</t>
        </is>
      </c>
      <c r="V114" s="610" t="inlineStr">
        <is>
          <t>Corundum smelting production installations</t>
        </is>
      </c>
      <c r="W114" s="610" t="inlineStr">
        <is>
          <t>New; Existing</t>
        </is>
      </c>
      <c r="X114" s="610"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Y114" s="610" t="inlineStr">
        <is>
          <t>N/A</t>
        </is>
      </c>
      <c r="Z114" s="610" t="inlineStr">
        <is>
          <t>N/A</t>
        </is>
      </c>
      <c r="AA114" s="610" t="inlineStr">
        <is>
          <t>Firms</t>
        </is>
      </c>
      <c r="AB114" s="610" t="inlineStr">
        <is>
          <t>Firms operating corundum smelting production installations within China.</t>
        </is>
      </c>
      <c r="AC114" s="610" t="inlineStr">
        <is>
          <t>Production</t>
        </is>
      </c>
      <c r="AD114" s="610" t="inlineStr">
        <is>
          <t>Operation of corundum smelting production installations. Existing firms must meet Grade 3 (minimum) intensity limits; new, expansion and renovation firms must meet Grade 2 (access) limits.</t>
        </is>
      </c>
      <c r="AE114" s="610" t="inlineStr">
        <is>
          <t>Grade 3</t>
        </is>
      </c>
      <c r="AF114" s="610" t="inlineStr">
        <is>
          <t>Energy intensity limit grade</t>
        </is>
      </c>
      <c r="AG11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H114" s="610"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4" s="610" t="inlineStr">
        <is>
          <t>N/A</t>
        </is>
      </c>
      <c r="AJ114" s="610" t="inlineStr">
        <is>
          <t>N/A</t>
        </is>
      </c>
      <c r="AK114" s="610" t="inlineStr">
        <is>
          <t>Inspections or audits conducted by government authorities or third parties; Energy consumption data reporting by firms</t>
        </is>
      </c>
      <c r="AL114" s="610" t="inlineStr">
        <is>
          <t>Market regulatory authorities conduct supervision inspections on corundum producers' compliance with energy intensity limit standards; firms must submit annual energy consumption data and undergo energy conservation supervision.</t>
        </is>
      </c>
      <c r="AM114" s="610" t="inlineStr">
        <is>
          <t>Compliance order; Fines; Differentiated electricity pricing; Phase-out and closure</t>
        </is>
      </c>
      <c r="AN114" s="610"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4" s="610"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P114" s="610"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Q114" s="610" t="inlineStr">
        <is>
          <t>N/A</t>
        </is>
      </c>
      <c r="AR114" s="610" t="inlineStr">
        <is>
          <t>N/A</t>
        </is>
      </c>
      <c r="AS114" s="610" t="inlineStr">
        <is>
          <t>C23</t>
        </is>
      </c>
      <c r="AT114" s="610" t="inlineStr">
        <is>
          <t>CO2</t>
        </is>
      </c>
      <c r="AU114" s="610" t="inlineStr">
        <is>
          <t>Positive</t>
        </is>
      </c>
      <c r="AV114" s="610" t="inlineStr">
        <is>
          <t>Energy conservation</t>
        </is>
      </c>
      <c r="AW114" s="610" t="inlineStr">
        <is>
          <t>GB 36892-2018 Norm of Energy Consumption per Unit Production of Corundum</t>
        </is>
      </c>
      <c r="AX114" s="610" t="inlineStr">
        <is>
          <t>https://openstd.samr.gov.cn/bzgk/std/newGbInfo?hcno=E5D583F06BE74D216DBBF633B7B4988B</t>
        </is>
      </c>
      <c r="AY114" s="610" t="inlineStr">
        <is>
          <t>N/A</t>
        </is>
      </c>
      <c r="AZ114" s="610" t="inlineStr"/>
    </row>
    <row r="115">
      <c r="A115" s="610" t="inlineStr">
        <is>
          <t>CHNPRFEILI50S000</t>
        </is>
      </c>
      <c r="B115" s="610" t="inlineStr">
        <is>
          <t>Instrument</t>
        </is>
      </c>
      <c r="C115" s="610" t="inlineStr">
        <is>
          <t>Performance standard</t>
        </is>
      </c>
      <c r="D115" s="610" t="inlineStr">
        <is>
          <t>Energy intensity limit for industrial production</t>
        </is>
      </c>
      <c r="E115" s="610" t="inlineStr">
        <is>
          <t>Industry</t>
        </is>
      </c>
      <c r="F115" s="610" t="inlineStr">
        <is>
          <t>Refractory materials</t>
        </is>
      </c>
      <c r="G115" s="610" t="inlineStr">
        <is>
          <t>莫来石单位产品能源消耗限额</t>
        </is>
      </c>
      <c r="H115" s="610" t="inlineStr">
        <is>
          <t>Norm of Energy Consumption per Unit Production of Mullite</t>
        </is>
      </c>
      <c r="I115" s="610" t="inlineStr">
        <is>
          <t>N/A</t>
        </is>
      </c>
      <c r="J115" s="610"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610" t="inlineStr">
        <is>
          <t>Energy efficiency</t>
        </is>
      </c>
      <c r="L115" s="610" t="inlineStr">
        <is>
          <t>Direct</t>
        </is>
      </c>
      <c r="M115" s="610" t="inlineStr">
        <is>
          <t>national</t>
        </is>
      </c>
      <c r="N115" s="610" t="inlineStr">
        <is>
          <t>N/A</t>
        </is>
      </c>
      <c r="O115" s="610" t="inlineStr">
        <is>
          <t>19/11/2018</t>
        </is>
      </c>
      <c r="P115" s="610" t="inlineStr">
        <is>
          <t>01/12/2019</t>
        </is>
      </c>
      <c r="Q115" s="610" t="inlineStr">
        <is>
          <t>N/A</t>
        </is>
      </c>
      <c r="R115" s="610" t="inlineStr">
        <is>
          <t>N/A</t>
        </is>
      </c>
      <c r="S115" s="610" t="inlineStr">
        <is>
          <t>N/A</t>
        </is>
      </c>
      <c r="T115" s="610">
        <f>IF(P115="","In force",IF(P115="N/A","In force",IF(TODAY()&lt;DATE(VALUE(RIGHT(P115,4)),VALUE(MID(P115,4,2)),VALUE(LEFT(P115,2))),"Scheduled",IF(Q115="","In force",IF(Q115="N/A","In force",IF(TODAY()&lt;DATE(VALUE(RIGHT(Q115,4)),VALUE(MID(Q115,4,2)),VALUE(LEFT(Q115,2))),"In force","Ended"))))))</f>
        <v/>
      </c>
      <c r="U115" s="610" t="inlineStr">
        <is>
          <t>State Administration for Market Regulation; Standardization Administration of China</t>
        </is>
      </c>
      <c r="V115" s="610" t="inlineStr">
        <is>
          <t>Mullite production installations</t>
        </is>
      </c>
      <c r="W115" s="610" t="inlineStr">
        <is>
          <t>New; Existing</t>
        </is>
      </c>
      <c r="X115" s="610"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Y115" s="610" t="inlineStr">
        <is>
          <t>N/A</t>
        </is>
      </c>
      <c r="Z115" s="610" t="inlineStr">
        <is>
          <t>N/A</t>
        </is>
      </c>
      <c r="AA115" s="610" t="inlineStr">
        <is>
          <t>Firms</t>
        </is>
      </c>
      <c r="AB115" s="610" t="inlineStr">
        <is>
          <t>Firms operating sintered mullite or electro-fused mullite production installations within China.</t>
        </is>
      </c>
      <c r="AC115" s="610" t="inlineStr">
        <is>
          <t>Production</t>
        </is>
      </c>
      <c r="AD115" s="610" t="inlineStr">
        <is>
          <t>Operation of mullite production installations. Existing firms must meet Grade 3 (minimum) intensity limits; new, expansion and renovation firms must meet Grade 2 (access) limits.</t>
        </is>
      </c>
      <c r="AE115" s="610" t="inlineStr">
        <is>
          <t>Grade 3</t>
        </is>
      </c>
      <c r="AF115" s="610" t="inlineStr">
        <is>
          <t>Energy intensity limit grade</t>
        </is>
      </c>
      <c r="AG11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H115" s="610"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5" s="610" t="inlineStr">
        <is>
          <t>N/A</t>
        </is>
      </c>
      <c r="AJ115" s="610" t="inlineStr">
        <is>
          <t>N/A</t>
        </is>
      </c>
      <c r="AK115" s="610" t="inlineStr">
        <is>
          <t>Inspections or audits conducted by government authorities or third parties; Energy consumption data reporting by firms</t>
        </is>
      </c>
      <c r="AL115" s="610" t="inlineStr">
        <is>
          <t>Market regulatory authorities conduct supervision inspections on mullite producers' compliance with energy intensity limit standards; firms must submit annual energy consumption data and undergo energy conservation supervision.</t>
        </is>
      </c>
      <c r="AM115" s="610" t="inlineStr">
        <is>
          <t>Compliance order; Fines; Differentiated electricity pricing; Phase-out and closure</t>
        </is>
      </c>
      <c r="AN115" s="610"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5" s="610"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P115" s="610"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Q115" s="610" t="inlineStr">
        <is>
          <t>N/A</t>
        </is>
      </c>
      <c r="AR115" s="610" t="inlineStr">
        <is>
          <t>N/A</t>
        </is>
      </c>
      <c r="AS115" s="610" t="inlineStr">
        <is>
          <t>C23</t>
        </is>
      </c>
      <c r="AT115" s="610" t="inlineStr">
        <is>
          <t>CO2</t>
        </is>
      </c>
      <c r="AU115" s="610" t="inlineStr">
        <is>
          <t>Positive</t>
        </is>
      </c>
      <c r="AV115" s="610" t="inlineStr">
        <is>
          <t>Energy conservation</t>
        </is>
      </c>
      <c r="AW115" s="610" t="inlineStr">
        <is>
          <t>GB 36891-2018 Norm of Energy Consumption per Unit Production of Mullite</t>
        </is>
      </c>
      <c r="AX115" s="610" t="inlineStr">
        <is>
          <t>https://openstd.samr.gov.cn/bzgk/std/newGbInfo?hcno=4F1E3481B46F90E16AA3BA67ACD26E96</t>
        </is>
      </c>
      <c r="AY115" s="610" t="inlineStr">
        <is>
          <t>N/A</t>
        </is>
      </c>
      <c r="AZ115" s="610" t="inlineStr"/>
    </row>
    <row r="116">
      <c r="A116" s="610" t="inlineStr">
        <is>
          <t>CHNPRFEILI51S000</t>
        </is>
      </c>
      <c r="B116" s="610" t="inlineStr">
        <is>
          <t>Instrument</t>
        </is>
      </c>
      <c r="C116" s="610" t="inlineStr">
        <is>
          <t>Performance standard</t>
        </is>
      </c>
      <c r="D116" s="610" t="inlineStr">
        <is>
          <t>Energy intensity limit for industrial production</t>
        </is>
      </c>
      <c r="E116" s="610" t="inlineStr">
        <is>
          <t>Industry</t>
        </is>
      </c>
      <c r="F116" s="610" t="inlineStr">
        <is>
          <t>Domestic ceramics</t>
        </is>
      </c>
      <c r="G116" s="610" t="inlineStr">
        <is>
          <t>日用陶瓷单位产品能源消耗限额</t>
        </is>
      </c>
      <c r="H116" s="610" t="inlineStr">
        <is>
          <t>Norm of Energy Consumption per Unit Production of Domestic Ceramics</t>
        </is>
      </c>
      <c r="I116" s="610" t="inlineStr">
        <is>
          <t>N/A</t>
        </is>
      </c>
      <c r="J116" s="610"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610" t="inlineStr">
        <is>
          <t>Energy efficiency</t>
        </is>
      </c>
      <c r="L116" s="610" t="inlineStr">
        <is>
          <t>Direct</t>
        </is>
      </c>
      <c r="M116" s="610" t="inlineStr">
        <is>
          <t>national</t>
        </is>
      </c>
      <c r="N116" s="610" t="inlineStr">
        <is>
          <t>N/A</t>
        </is>
      </c>
      <c r="O116" s="610" t="inlineStr">
        <is>
          <t>19/11/2018</t>
        </is>
      </c>
      <c r="P116" s="610" t="inlineStr">
        <is>
          <t>01/12/2019</t>
        </is>
      </c>
      <c r="Q116" s="610" t="inlineStr">
        <is>
          <t>N/A</t>
        </is>
      </c>
      <c r="R116" s="610" t="inlineStr">
        <is>
          <t>N/A</t>
        </is>
      </c>
      <c r="S116" s="610" t="inlineStr">
        <is>
          <t>N/A</t>
        </is>
      </c>
      <c r="T116" s="610">
        <f>IF(P116="","In force",IF(P116="N/A","In force",IF(TODAY()&lt;DATE(VALUE(RIGHT(P116,4)),VALUE(MID(P116,4,2)),VALUE(LEFT(P116,2))),"Scheduled",IF(Q116="","In force",IF(Q116="N/A","In force",IF(TODAY()&lt;DATE(VALUE(RIGHT(Q116,4)),VALUE(MID(Q116,4,2)),VALUE(LEFT(Q116,2))),"In force","Ended"))))))</f>
        <v/>
      </c>
      <c r="U116" s="610" t="inlineStr">
        <is>
          <t>State Administration for Market Regulation; Standardization Administration of China</t>
        </is>
      </c>
      <c r="V116" s="610" t="inlineStr">
        <is>
          <t>Domestic ceramics production installations</t>
        </is>
      </c>
      <c r="W116" s="610" t="inlineStr">
        <is>
          <t>New; Existing</t>
        </is>
      </c>
      <c r="X116" s="610"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Y116" s="610" t="inlineStr">
        <is>
          <t>N/A</t>
        </is>
      </c>
      <c r="Z116" s="610" t="inlineStr">
        <is>
          <t>N/A</t>
        </is>
      </c>
      <c r="AA116" s="610" t="inlineStr">
        <is>
          <t>Firms</t>
        </is>
      </c>
      <c r="AB116" s="610" t="inlineStr">
        <is>
          <t>Firms operating domestic ceramics production installations within China.</t>
        </is>
      </c>
      <c r="AC116" s="610" t="inlineStr">
        <is>
          <t>Production</t>
        </is>
      </c>
      <c r="AD116" s="610" t="inlineStr">
        <is>
          <t>Operation of domestic ceramics production installations. Existing firms must meet Grade 3 (minimum) intensity limits; new, expansion and renovation firms must meet Grade 2 (access) limits.</t>
        </is>
      </c>
      <c r="AE116" s="610" t="inlineStr">
        <is>
          <t>Grade 3</t>
        </is>
      </c>
      <c r="AF116" s="610" t="inlineStr">
        <is>
          <t>Energy intensity limit grade</t>
        </is>
      </c>
      <c r="AG11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H116" s="610"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6" s="610" t="inlineStr">
        <is>
          <t>N/A</t>
        </is>
      </c>
      <c r="AJ116" s="610" t="inlineStr">
        <is>
          <t>N/A</t>
        </is>
      </c>
      <c r="AK116" s="610" t="inlineStr">
        <is>
          <t>Inspections or audits conducted by government authorities or third parties; Energy consumption data reporting by firms</t>
        </is>
      </c>
      <c r="AL116" s="610" t="inlineStr">
        <is>
          <t>Market regulatory authorities conduct supervision inspections on domestic ceramics producers' compliance with energy intensity limit standards; firms must submit annual energy consumption data and undergo energy conservation supervision.</t>
        </is>
      </c>
      <c r="AM116" s="610" t="inlineStr">
        <is>
          <t>Compliance order; Fines; Differentiated electricity pricing; Phase-out and closure</t>
        </is>
      </c>
      <c r="AN116" s="610"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6" s="610"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P116" s="610"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Q116" s="610" t="inlineStr">
        <is>
          <t>N/A</t>
        </is>
      </c>
      <c r="AR116" s="610" t="inlineStr">
        <is>
          <t>N/A</t>
        </is>
      </c>
      <c r="AS116" s="610" t="inlineStr">
        <is>
          <t>C23</t>
        </is>
      </c>
      <c r="AT116" s="610" t="inlineStr">
        <is>
          <t>CO2</t>
        </is>
      </c>
      <c r="AU116" s="610" t="inlineStr">
        <is>
          <t>Positive</t>
        </is>
      </c>
      <c r="AV116" s="610" t="inlineStr">
        <is>
          <t>Energy conservation</t>
        </is>
      </c>
      <c r="AW116" s="610" t="inlineStr">
        <is>
          <t>GB 36890-2018 Norm of Energy Consumption per Unit Production of Domestic Ceramics</t>
        </is>
      </c>
      <c r="AX116" s="610" t="inlineStr">
        <is>
          <t>https://openstd.samr.gov.cn/bzgk/std/newGbInfo?hcno=24AAB4E97AF47A1F10329F45AA8F0E0D</t>
        </is>
      </c>
      <c r="AY116" s="610" t="inlineStr">
        <is>
          <t>N/A</t>
        </is>
      </c>
      <c r="AZ116" s="610" t="inlineStr"/>
    </row>
    <row r="117">
      <c r="A117" s="610" t="inlineStr">
        <is>
          <t>CHNPRFEILI52S000</t>
        </is>
      </c>
      <c r="B117" s="610" t="inlineStr">
        <is>
          <t>Instrument</t>
        </is>
      </c>
      <c r="C117" s="610" t="inlineStr">
        <is>
          <t>Performance standard</t>
        </is>
      </c>
      <c r="D117" s="610" t="inlineStr">
        <is>
          <t>Energy intensity limit for industrial production</t>
        </is>
      </c>
      <c r="E117" s="610" t="inlineStr">
        <is>
          <t>Industry</t>
        </is>
      </c>
      <c r="F117" s="610" t="inlineStr">
        <is>
          <t>Synthetic leather manufacturing</t>
        </is>
      </c>
      <c r="G117" s="610" t="inlineStr">
        <is>
          <t>合成革单位产品能源消耗限额</t>
        </is>
      </c>
      <c r="H117" s="610" t="inlineStr">
        <is>
          <t>Norm of Energy Consumption per Unit Production of Synthetic Leather</t>
        </is>
      </c>
      <c r="I117" s="610" t="inlineStr">
        <is>
          <t>N/A</t>
        </is>
      </c>
      <c r="J117" s="610"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610" t="inlineStr">
        <is>
          <t>Energy efficiency</t>
        </is>
      </c>
      <c r="L117" s="610" t="inlineStr">
        <is>
          <t>Direct</t>
        </is>
      </c>
      <c r="M117" s="610" t="inlineStr">
        <is>
          <t>National</t>
        </is>
      </c>
      <c r="N117" s="610" t="inlineStr">
        <is>
          <t>N/A</t>
        </is>
      </c>
      <c r="O117" s="610" t="inlineStr">
        <is>
          <t>19/11/2018</t>
        </is>
      </c>
      <c r="P117" s="610" t="inlineStr">
        <is>
          <t>01/12/2019</t>
        </is>
      </c>
      <c r="Q117" s="610" t="inlineStr">
        <is>
          <t>N/A</t>
        </is>
      </c>
      <c r="R117" s="610" t="inlineStr">
        <is>
          <t>N/A</t>
        </is>
      </c>
      <c r="S117" s="610" t="inlineStr">
        <is>
          <t>N/A</t>
        </is>
      </c>
      <c r="T117" s="610">
        <f>IF(P117="","In force",IF(P117="N/A","In force",IF(TODAY()&lt;DATE(VALUE(RIGHT(P117,4)),VALUE(MID(P117,4,2)),VALUE(LEFT(P117,2))),"Scheduled",IF(Q117="","In force",IF(Q117="N/A","In force",IF(TODAY()&lt;DATE(VALUE(RIGHT(Q117,4)),VALUE(MID(Q117,4,2)),VALUE(LEFT(Q117,2))),"In force","Ended"))))))</f>
        <v/>
      </c>
      <c r="U117" s="610" t="inlineStr">
        <is>
          <t>State Administration for Market Regulation; Standardization Administration of China</t>
        </is>
      </c>
      <c r="V117" s="610" t="inlineStr">
        <is>
          <t>Synthetic leather production installation</t>
        </is>
      </c>
      <c r="W117" s="610" t="inlineStr">
        <is>
          <t>New; existing</t>
        </is>
      </c>
      <c r="X117" s="610"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Y117" s="610" t="inlineStr">
        <is>
          <t>N/A</t>
        </is>
      </c>
      <c r="Z117" s="610" t="inlineStr">
        <is>
          <t>N/A</t>
        </is>
      </c>
      <c r="AA117" s="610" t="inlineStr">
        <is>
          <t>Firms</t>
        </is>
      </c>
      <c r="AB117" s="610" t="inlineStr">
        <is>
          <t>Enterprises operating synthetic leather production installations within China.</t>
        </is>
      </c>
      <c r="AC117" s="610" t="inlineStr">
        <is>
          <t>Production</t>
        </is>
      </c>
      <c r="AD117" s="610"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E117" s="610" t="inlineStr">
        <is>
          <t>3 grades</t>
        </is>
      </c>
      <c r="AF117" s="610" t="inlineStr">
        <is>
          <t>Energy intensity limit grade</t>
        </is>
      </c>
      <c r="AG117"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H117" s="610"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7" s="610" t="inlineStr">
        <is>
          <t>N/A</t>
        </is>
      </c>
      <c r="AJ117" s="610" t="inlineStr">
        <is>
          <t>N/A</t>
        </is>
      </c>
      <c r="AK117" s="610" t="inlineStr">
        <is>
          <t>Inspections or audits conducted by government authorities or third parties; Energy consumption data reporting by firms</t>
        </is>
      </c>
      <c r="AL117" s="610" t="inlineStr">
        <is>
          <t>Market regulatory authorities conduct supervision inspections on synthetic leather producers' compliance with energy intensity limit standards; firms must submit annual energy consumption data and undergo energy conservation supervision.</t>
        </is>
      </c>
      <c r="AM117" s="610" t="inlineStr">
        <is>
          <t>Compliance order; Fines; Differentiated electricity pricing; Phase-out and closure</t>
        </is>
      </c>
      <c r="AN117" s="610"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7" s="610"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P117" s="610"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Q117" s="610" t="inlineStr">
        <is>
          <t>N/A</t>
        </is>
      </c>
      <c r="AR117" s="610" t="inlineStr">
        <is>
          <t>N/A</t>
        </is>
      </c>
      <c r="AS117" s="610" t="inlineStr">
        <is>
          <t>C15</t>
        </is>
      </c>
      <c r="AT117" s="610" t="inlineStr">
        <is>
          <t>CO2</t>
        </is>
      </c>
      <c r="AU117" s="610" t="inlineStr">
        <is>
          <t>Positive</t>
        </is>
      </c>
      <c r="AV117" s="610" t="inlineStr">
        <is>
          <t>Energy conservation</t>
        </is>
      </c>
      <c r="AW117" s="610" t="inlineStr">
        <is>
          <t>GB 36887-2018 Norm of Energy Consumption per Unit Production of Synthetic Leather</t>
        </is>
      </c>
      <c r="AX117" s="610" t="inlineStr">
        <is>
          <t>https://openstd.samr.gov.cn/bzgk/std/newGbInfo?hcno=7997DF7DB4549BEB6A28D6FE0FD65F6A</t>
        </is>
      </c>
      <c r="AY117" s="610" t="inlineStr">
        <is>
          <t>N/A</t>
        </is>
      </c>
      <c r="AZ117" s="610" t="inlineStr"/>
    </row>
    <row r="118">
      <c r="A118" s="610" t="inlineStr">
        <is>
          <t>CHNPRFEILI53S000</t>
        </is>
      </c>
      <c r="B118" s="610" t="inlineStr">
        <is>
          <t>Instrument</t>
        </is>
      </c>
      <c r="C118" s="610" t="inlineStr">
        <is>
          <t>Performance standard</t>
        </is>
      </c>
      <c r="D118" s="610" t="inlineStr">
        <is>
          <t>Energy intensity limit for industrial production</t>
        </is>
      </c>
      <c r="E118" s="610" t="inlineStr">
        <is>
          <t>Industry</t>
        </is>
      </c>
      <c r="F118" s="610" t="inlineStr">
        <is>
          <t>Chemical fibre manufacturing</t>
        </is>
      </c>
      <c r="G118" s="610" t="inlineStr">
        <is>
          <t>聚酯涤纶单位产品能源消耗限额</t>
        </is>
      </c>
      <c r="H118" s="610" t="inlineStr">
        <is>
          <t>Norm of Energy Consumption per Unit Production of PET and PET Fiber</t>
        </is>
      </c>
      <c r="I118" s="610" t="inlineStr">
        <is>
          <t>N/A</t>
        </is>
      </c>
      <c r="J118" s="610"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610" t="inlineStr">
        <is>
          <t>Energy efficiency</t>
        </is>
      </c>
      <c r="L118" s="610" t="inlineStr">
        <is>
          <t>Direct</t>
        </is>
      </c>
      <c r="M118" s="610" t="inlineStr">
        <is>
          <t>National</t>
        </is>
      </c>
      <c r="N118" s="610" t="inlineStr">
        <is>
          <t>N/A</t>
        </is>
      </c>
      <c r="O118" s="610" t="inlineStr">
        <is>
          <t>19/11/2018</t>
        </is>
      </c>
      <c r="P118" s="610" t="inlineStr">
        <is>
          <t>01/12/2019</t>
        </is>
      </c>
      <c r="Q118" s="610" t="inlineStr">
        <is>
          <t>N/A</t>
        </is>
      </c>
      <c r="R118" s="610" t="inlineStr">
        <is>
          <t>N/A</t>
        </is>
      </c>
      <c r="S118" s="610" t="inlineStr">
        <is>
          <t>N/A</t>
        </is>
      </c>
      <c r="T118" s="610">
        <f>IF(P118="","In force",IF(P118="N/A","In force",IF(TODAY()&lt;DATE(VALUE(RIGHT(P118,4)),VALUE(MID(P118,4,2)),VALUE(LEFT(P118,2))),"Scheduled",IF(Q118="","In force",IF(Q118="N/A","In force",IF(TODAY()&lt;DATE(VALUE(RIGHT(Q118,4)),VALUE(MID(Q118,4,2)),VALUE(LEFT(Q118,2))),"In force","Ended"))))))</f>
        <v/>
      </c>
      <c r="U118" s="610" t="inlineStr">
        <is>
          <t>State Administration for Market Regulation; Standardization Administration of China</t>
        </is>
      </c>
      <c r="V118" s="610" t="inlineStr">
        <is>
          <t>PET and PET fiber production installation</t>
        </is>
      </c>
      <c r="W118" s="610" t="inlineStr">
        <is>
          <t>New; existing</t>
        </is>
      </c>
      <c r="X118" s="610"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Y118" s="610" t="inlineStr">
        <is>
          <t>N/A</t>
        </is>
      </c>
      <c r="Z118" s="610" t="inlineStr">
        <is>
          <t>N/A</t>
        </is>
      </c>
      <c r="AA118" s="610" t="inlineStr">
        <is>
          <t>Firms</t>
        </is>
      </c>
      <c r="AB118" s="610" t="inlineStr">
        <is>
          <t>Enterprises operating PET and PET fiber production installations within China.</t>
        </is>
      </c>
      <c r="AC118" s="610" t="inlineStr">
        <is>
          <t>Production</t>
        </is>
      </c>
      <c r="AD118" s="610" t="inlineStr">
        <is>
          <t>Operational activities of PET and PET fiber production installations. Existing firms must meet Grade 3 (minimum) intensity limits; new, expansion and renovation projects must meet Grade 2 (access) intensity limits.</t>
        </is>
      </c>
      <c r="AE118" s="610" t="inlineStr">
        <is>
          <t>3 grades</t>
        </is>
      </c>
      <c r="AF118" s="610" t="inlineStr">
        <is>
          <t>Energy intensity limit grade</t>
        </is>
      </c>
      <c r="AG118"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H118" s="610"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8" s="610" t="inlineStr">
        <is>
          <t>N/A</t>
        </is>
      </c>
      <c r="AJ118" s="610" t="inlineStr">
        <is>
          <t>N/A</t>
        </is>
      </c>
      <c r="AK118" s="610" t="inlineStr">
        <is>
          <t>Inspections or audits conducted by government authorities or third parties; Energy consumption data reporting by firms</t>
        </is>
      </c>
      <c r="AL118" s="610" t="inlineStr">
        <is>
          <t>Market regulatory authorities conduct supervision inspections on PET and PET fiber producers' compliance with energy intensity limit standards; firms must submit annual energy consumption data and undergo energy conservation supervision.</t>
        </is>
      </c>
      <c r="AM118" s="610" t="inlineStr">
        <is>
          <t>Compliance order; Fines; Differentiated electricity pricing; Phase-out and closure</t>
        </is>
      </c>
      <c r="AN118" s="610"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8" s="610"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P118" s="610"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Q118" s="610" t="inlineStr">
        <is>
          <t>N/A</t>
        </is>
      </c>
      <c r="AR118" s="610" t="inlineStr">
        <is>
          <t>N/A</t>
        </is>
      </c>
      <c r="AS118" s="610" t="inlineStr">
        <is>
          <t>C20</t>
        </is>
      </c>
      <c r="AT118" s="610" t="inlineStr">
        <is>
          <t>CO2</t>
        </is>
      </c>
      <c r="AU118" s="610" t="inlineStr">
        <is>
          <t>Positive</t>
        </is>
      </c>
      <c r="AV118" s="610" t="inlineStr">
        <is>
          <t>Energy conservation</t>
        </is>
      </c>
      <c r="AW118" s="610" t="inlineStr">
        <is>
          <t>GB 36889-2018 Norm of Energy Consumption per Unit Production of PET and PET Fiber</t>
        </is>
      </c>
      <c r="AX118" s="610" t="inlineStr">
        <is>
          <t>https://openstd.samr.gov.cn/bzgk/std/newGbInfo?hcno=7AC3075CD35CB4B1E05397BE0A0AC4DE</t>
        </is>
      </c>
      <c r="AY118" s="610" t="inlineStr">
        <is>
          <t>N/A</t>
        </is>
      </c>
      <c r="AZ118" s="610" t="inlineStr"/>
    </row>
    <row r="119">
      <c r="A119" s="610" t="inlineStr">
        <is>
          <t>CHNPRFEILI54S000</t>
        </is>
      </c>
      <c r="B119" s="610" t="inlineStr">
        <is>
          <t>Instrument</t>
        </is>
      </c>
      <c r="C119" s="610" t="inlineStr">
        <is>
          <t>Performance standard</t>
        </is>
      </c>
      <c r="D119" s="610" t="inlineStr">
        <is>
          <t>Energy intensity limit for industrial production</t>
        </is>
      </c>
      <c r="E119" s="610" t="inlineStr">
        <is>
          <t>Industry</t>
        </is>
      </c>
      <c r="F119" s="610" t="inlineStr">
        <is>
          <t>Carbon products</t>
        </is>
      </c>
      <c r="G119" s="610" t="inlineStr">
        <is>
          <t>炭素单位产品能源消耗限额</t>
        </is>
      </c>
      <c r="H119" s="610" t="inlineStr">
        <is>
          <t>Norm of Energy Consumption per Unit Production of Carbon Products</t>
        </is>
      </c>
      <c r="I119" s="610" t="inlineStr">
        <is>
          <t>N/A</t>
        </is>
      </c>
      <c r="J119" s="610"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610" t="inlineStr">
        <is>
          <t>Energy efficiency</t>
        </is>
      </c>
      <c r="L119" s="610" t="inlineStr">
        <is>
          <t>Direct</t>
        </is>
      </c>
      <c r="M119" s="610" t="inlineStr">
        <is>
          <t>National</t>
        </is>
      </c>
      <c r="N119" s="610" t="inlineStr">
        <is>
          <t>N/A</t>
        </is>
      </c>
      <c r="O119" s="610" t="inlineStr">
        <is>
          <t>21/01/2008</t>
        </is>
      </c>
      <c r="P119" s="610" t="inlineStr">
        <is>
          <t>01/06/2008</t>
        </is>
      </c>
      <c r="Q119" s="610" t="inlineStr">
        <is>
          <t>N/A</t>
        </is>
      </c>
      <c r="R119" s="610" t="inlineStr">
        <is>
          <t>01/11/2017</t>
        </is>
      </c>
      <c r="S119" s="610"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T119" s="610">
        <f>IF(P119="","In force",IF(P119="N/A","In force",IF(TODAY()&lt;DATE(VALUE(RIGHT(P119,4)),VALUE(MID(P119,4,2)),VALUE(LEFT(P119,2))),"Scheduled",IF(Q119="","In force",IF(Q119="N/A","In force",IF(TODAY()&lt;DATE(VALUE(RIGHT(Q119,4)),VALUE(MID(Q119,4,2)),VALUE(LEFT(Q119,2))),"In force","Ended"))))))</f>
        <v/>
      </c>
      <c r="U119" s="610" t="inlineStr">
        <is>
          <t>State Administration for Market Regulation; Standardization Administration of China</t>
        </is>
      </c>
      <c r="V119" s="610" t="inlineStr">
        <is>
          <t>Carbon product production installation</t>
        </is>
      </c>
      <c r="W119" s="610" t="inlineStr">
        <is>
          <t>New; existing</t>
        </is>
      </c>
      <c r="X119" s="610"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Y119" s="610" t="inlineStr">
        <is>
          <t>N/A</t>
        </is>
      </c>
      <c r="Z119" s="610" t="inlineStr">
        <is>
          <t>N/A</t>
        </is>
      </c>
      <c r="AA119" s="610" t="inlineStr">
        <is>
          <t>Firms</t>
        </is>
      </c>
      <c r="AB119" s="610" t="inlineStr">
        <is>
          <t>Enterprises operating carbon product production installations within China.</t>
        </is>
      </c>
      <c r="AC119" s="610" t="inlineStr">
        <is>
          <t>Production</t>
        </is>
      </c>
      <c r="AD119" s="610"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E119" s="610" t="inlineStr">
        <is>
          <t>3 grades</t>
        </is>
      </c>
      <c r="AF119" s="610" t="inlineStr">
        <is>
          <t>Energy intensity limit grade</t>
        </is>
      </c>
      <c r="AG119"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H119" s="610"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9" s="610" t="inlineStr">
        <is>
          <t>N/A</t>
        </is>
      </c>
      <c r="AJ119" s="610" t="inlineStr">
        <is>
          <t>N/A</t>
        </is>
      </c>
      <c r="AK119" s="610" t="inlineStr">
        <is>
          <t>Inspections or audits conducted by government authorities or third parties; Energy consumption data reporting by firms</t>
        </is>
      </c>
      <c r="AL119" s="610" t="inlineStr">
        <is>
          <t>Market regulatory authorities conduct supervision inspections on carbon product producers' compliance with energy intensity limit standards; firms must submit annual energy consumption data and undergo energy conservation supervision.</t>
        </is>
      </c>
      <c r="AM119" s="610" t="inlineStr">
        <is>
          <t>Compliance order; Fines; Differentiated electricity pricing; Phase-out and closure</t>
        </is>
      </c>
      <c r="AN119" s="610"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9" s="610"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P119" s="610"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Q119" s="610" t="inlineStr">
        <is>
          <t>N/A</t>
        </is>
      </c>
      <c r="AR119" s="610" t="inlineStr">
        <is>
          <t>N/A</t>
        </is>
      </c>
      <c r="AS119" s="610" t="inlineStr">
        <is>
          <t>C23</t>
        </is>
      </c>
      <c r="AT119" s="610" t="inlineStr">
        <is>
          <t>CO2</t>
        </is>
      </c>
      <c r="AU119" s="610" t="inlineStr">
        <is>
          <t>Positive</t>
        </is>
      </c>
      <c r="AV119" s="610" t="inlineStr">
        <is>
          <t>Energy conservation</t>
        </is>
      </c>
      <c r="AW119" s="610" t="inlineStr">
        <is>
          <t>GB 21370-2017 Norm of Energy Consumption per Unit Production of Carbon Products</t>
        </is>
      </c>
      <c r="AX119" s="610" t="inlineStr">
        <is>
          <t>https://openstd.samr.gov.cn/bzgk/std/newGbInfo?hcno=0918126625A53D297B2D083FE4E46BD6</t>
        </is>
      </c>
      <c r="AY119" s="610" t="inlineStr">
        <is>
          <t>GB 21370-2008 (superseded): https://openstd.samr.gov.cn/bzgk/std/nd?no=2142</t>
        </is>
      </c>
      <c r="AZ119" s="610" t="inlineStr"/>
    </row>
    <row r="120">
      <c r="A120" s="610" t="inlineStr">
        <is>
          <t>CHNPRFEILI55S000</t>
        </is>
      </c>
      <c r="B120" s="610" t="inlineStr">
        <is>
          <t>Instrument</t>
        </is>
      </c>
      <c r="C120" s="610" t="inlineStr">
        <is>
          <t>Performance standard</t>
        </is>
      </c>
      <c r="D120" s="610" t="inlineStr">
        <is>
          <t>Energy intensity limit for industrial production</t>
        </is>
      </c>
      <c r="E120" s="610" t="inlineStr">
        <is>
          <t>Industry</t>
        </is>
      </c>
      <c r="F120" s="610" t="inlineStr">
        <is>
          <t>Gypsum products</t>
        </is>
      </c>
      <c r="G120" s="610" t="inlineStr">
        <is>
          <t>建筑石膏单位产品能源消耗限额</t>
        </is>
      </c>
      <c r="H120" s="610" t="inlineStr">
        <is>
          <t>Norm of Energy Consumption per Unit Production of Gypsum Plaster</t>
        </is>
      </c>
      <c r="I120" s="610" t="inlineStr">
        <is>
          <t>N/A</t>
        </is>
      </c>
      <c r="J120" s="610"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610" t="inlineStr">
        <is>
          <t>Energy efficiency</t>
        </is>
      </c>
      <c r="L120" s="610" t="inlineStr">
        <is>
          <t>Direct</t>
        </is>
      </c>
      <c r="M120" s="610" t="inlineStr">
        <is>
          <t>National</t>
        </is>
      </c>
      <c r="N120" s="610" t="inlineStr">
        <is>
          <t>N/A</t>
        </is>
      </c>
      <c r="O120" s="610" t="inlineStr">
        <is>
          <t>12/05/2017</t>
        </is>
      </c>
      <c r="P120" s="610" t="inlineStr">
        <is>
          <t>01/06/2018</t>
        </is>
      </c>
      <c r="Q120" s="610" t="inlineStr">
        <is>
          <t>N/A</t>
        </is>
      </c>
      <c r="R120" s="610" t="inlineStr">
        <is>
          <t>N/A</t>
        </is>
      </c>
      <c r="S120" s="610" t="inlineStr">
        <is>
          <t>N/A</t>
        </is>
      </c>
      <c r="T120" s="610">
        <f>IF(P120="","In force",IF(P120="N/A","In force",IF(TODAY()&lt;DATE(VALUE(RIGHT(P120,4)),VALUE(MID(P120,4,2)),VALUE(LEFT(P120,2))),"Scheduled",IF(Q120="","In force",IF(Q120="N/A","In force",IF(TODAY()&lt;DATE(VALUE(RIGHT(Q120,4)),VALUE(MID(Q120,4,2)),VALUE(LEFT(Q120,2))),"In force","Ended"))))))</f>
        <v/>
      </c>
      <c r="U120" s="610" t="inlineStr">
        <is>
          <t>State Administration for Market Regulation; Standardization Administration of China</t>
        </is>
      </c>
      <c r="V120" s="610" t="inlineStr">
        <is>
          <t>Gypsum plaster production installation</t>
        </is>
      </c>
      <c r="W120" s="610" t="inlineStr">
        <is>
          <t>New; existing</t>
        </is>
      </c>
      <c r="X120" s="610"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Y120" s="610" t="inlineStr">
        <is>
          <t>N/A</t>
        </is>
      </c>
      <c r="Z120" s="610" t="inlineStr">
        <is>
          <t>N/A</t>
        </is>
      </c>
      <c r="AA120" s="610" t="inlineStr">
        <is>
          <t>Firms</t>
        </is>
      </c>
      <c r="AB120" s="610" t="inlineStr">
        <is>
          <t>Enterprises operating gypsum plaster production installations within China.</t>
        </is>
      </c>
      <c r="AC120" s="610" t="inlineStr">
        <is>
          <t>Production</t>
        </is>
      </c>
      <c r="AD120" s="610" t="inlineStr">
        <is>
          <t>Operational activities of gypsum plaster production installations. Existing firms must meet Grade 3 (minimum) intensity limits; new, expansion and renovation projects must meet Grade 2 (access) intensity limits.</t>
        </is>
      </c>
      <c r="AE120" s="610" t="inlineStr">
        <is>
          <t>3 grades</t>
        </is>
      </c>
      <c r="AF120" s="610" t="inlineStr">
        <is>
          <t>Energy intensity limit grade</t>
        </is>
      </c>
      <c r="AG120"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H120" s="610"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0" s="610" t="inlineStr">
        <is>
          <t>N/A</t>
        </is>
      </c>
      <c r="AJ120" s="610" t="inlineStr">
        <is>
          <t>N/A</t>
        </is>
      </c>
      <c r="AK120" s="610" t="inlineStr">
        <is>
          <t>Inspections or audits conducted by government authorities or third parties; Energy consumption data reporting by firms</t>
        </is>
      </c>
      <c r="AL120" s="610" t="inlineStr">
        <is>
          <t>Market regulatory authorities conduct supervision inspections on gypsum plaster producers' compliance with energy intensity limit standards; firms must submit annual energy consumption data and undergo energy conservation supervision.</t>
        </is>
      </c>
      <c r="AM120" s="610" t="inlineStr">
        <is>
          <t>Compliance order; Fines; Differentiated electricity pricing; Phase-out and closure</t>
        </is>
      </c>
      <c r="AN120" s="610"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0" s="610"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P120" s="610"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Q120" s="610" t="inlineStr">
        <is>
          <t>N/A</t>
        </is>
      </c>
      <c r="AR120" s="610" t="inlineStr">
        <is>
          <t>N/A</t>
        </is>
      </c>
      <c r="AS120" s="610" t="inlineStr">
        <is>
          <t>C23</t>
        </is>
      </c>
      <c r="AT120" s="610" t="inlineStr">
        <is>
          <t>CO2</t>
        </is>
      </c>
      <c r="AU120" s="610" t="inlineStr">
        <is>
          <t>Positive</t>
        </is>
      </c>
      <c r="AV120" s="610" t="inlineStr">
        <is>
          <t>Energy conservation</t>
        </is>
      </c>
      <c r="AW120" s="610" t="inlineStr">
        <is>
          <t>GB 33654-2017 Norm of Energy Consumption per Unit Production of Gypsum Plaster</t>
        </is>
      </c>
      <c r="AX120" s="610" t="inlineStr">
        <is>
          <t>https://openstd.samr.gov.cn/bzgk/std/newGbInfo?hcno=71F772D8191CD3A7E05397BE0A0AB82A</t>
        </is>
      </c>
      <c r="AY120" s="610" t="inlineStr">
        <is>
          <t>N/A</t>
        </is>
      </c>
      <c r="AZ120" s="610" t="inlineStr"/>
    </row>
    <row r="121">
      <c r="A121" s="610" t="inlineStr">
        <is>
          <t>CHNPRFEILI56S000</t>
        </is>
      </c>
      <c r="B121" s="610" t="inlineStr">
        <is>
          <t>Instrument</t>
        </is>
      </c>
      <c r="C121" s="610" t="inlineStr">
        <is>
          <t>Performance standard</t>
        </is>
      </c>
      <c r="D121" s="610" t="inlineStr">
        <is>
          <t>Energy intensity limit for industrial production</t>
        </is>
      </c>
      <c r="E121" s="610" t="inlineStr">
        <is>
          <t>Industry</t>
        </is>
      </c>
      <c r="F121" s="610" t="inlineStr">
        <is>
          <t>Sugar manufacturing</t>
        </is>
      </c>
      <c r="G121" s="610" t="inlineStr">
        <is>
          <t>糖单位产品能源消耗限额</t>
        </is>
      </c>
      <c r="H121" s="610" t="inlineStr">
        <is>
          <t>Norm of Energy Consumption per Unit Production of Sugar</t>
        </is>
      </c>
      <c r="I121" s="610" t="inlineStr">
        <is>
          <t>N/A</t>
        </is>
      </c>
      <c r="J121" s="610"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610" t="inlineStr">
        <is>
          <t>Energy efficiency</t>
        </is>
      </c>
      <c r="L121" s="610" t="inlineStr">
        <is>
          <t>Direct</t>
        </is>
      </c>
      <c r="M121" s="610" t="inlineStr">
        <is>
          <t>National</t>
        </is>
      </c>
      <c r="N121" s="610" t="inlineStr">
        <is>
          <t>N/A</t>
        </is>
      </c>
      <c r="O121" s="610" t="inlineStr">
        <is>
          <t>11/09/2015</t>
        </is>
      </c>
      <c r="P121" s="610" t="inlineStr">
        <is>
          <t>01/10/2016</t>
        </is>
      </c>
      <c r="Q121" s="610" t="inlineStr">
        <is>
          <t>N/A</t>
        </is>
      </c>
      <c r="R121" s="610" t="inlineStr">
        <is>
          <t>N/A</t>
        </is>
      </c>
      <c r="S121" s="610" t="inlineStr">
        <is>
          <t>N/A</t>
        </is>
      </c>
      <c r="T121" s="610">
        <f>IF(P121="","In force",IF(P121="N/A","In force",IF(TODAY()&lt;DATE(VALUE(RIGHT(P121,4)),VALUE(MID(P121,4,2)),VALUE(LEFT(P121,2))),"Scheduled",IF(Q121="","In force",IF(Q121="N/A","In force",IF(TODAY()&lt;DATE(VALUE(RIGHT(Q121,4)),VALUE(MID(Q121,4,2)),VALUE(LEFT(Q121,2))),"In force","Ended"))))))</f>
        <v/>
      </c>
      <c r="U121" s="610" t="inlineStr">
        <is>
          <t>State Administration for Market Regulation; Standardization Administration of China</t>
        </is>
      </c>
      <c r="V121" s="610" t="inlineStr">
        <is>
          <t>Sugar production installation</t>
        </is>
      </c>
      <c r="W121" s="610" t="inlineStr">
        <is>
          <t>New; existing</t>
        </is>
      </c>
      <c r="X121" s="610"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Y121" s="610" t="inlineStr">
        <is>
          <t>N/A</t>
        </is>
      </c>
      <c r="Z121" s="610" t="inlineStr">
        <is>
          <t>N/A</t>
        </is>
      </c>
      <c r="AA121" s="610" t="inlineStr">
        <is>
          <t>Firms</t>
        </is>
      </c>
      <c r="AB121" s="610" t="inlineStr">
        <is>
          <t>Enterprises operating cane sugar, beet sugar or sugar refinery installations within China.</t>
        </is>
      </c>
      <c r="AC121" s="610" t="inlineStr">
        <is>
          <t>Production</t>
        </is>
      </c>
      <c r="AD121" s="610" t="inlineStr">
        <is>
          <t>Operational activities of sugar production installations. Existing firms must meet Grade 3 (minimum) intensity limits; new, expansion and renovation projects must meet Grade 2 (access) intensity limits.</t>
        </is>
      </c>
      <c r="AE121" s="610" t="inlineStr">
        <is>
          <t>3 grades</t>
        </is>
      </c>
      <c r="AF121" s="610" t="inlineStr">
        <is>
          <t>Energy intensity limit grade</t>
        </is>
      </c>
      <c r="AG121"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H121" s="610"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1" s="610" t="inlineStr">
        <is>
          <t>N/A</t>
        </is>
      </c>
      <c r="AJ121" s="610" t="inlineStr">
        <is>
          <t>N/A</t>
        </is>
      </c>
      <c r="AK121" s="610" t="inlineStr">
        <is>
          <t>Inspections or audits conducted by government authorities or third parties; Energy consumption data reporting by firms</t>
        </is>
      </c>
      <c r="AL121" s="610" t="inlineStr">
        <is>
          <t>Market regulatory authorities conduct supervision inspections on sugar producers' compliance with energy intensity limit standards; firms must submit annual energy consumption data and undergo energy conservation supervision.</t>
        </is>
      </c>
      <c r="AM121" s="610" t="inlineStr">
        <is>
          <t>Compliance order; Fines; Differentiated electricity pricing; Phase-out and closure</t>
        </is>
      </c>
      <c r="AN121" s="610"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1" s="610"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P121" s="610"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Q121" s="610" t="inlineStr">
        <is>
          <t>N/A</t>
        </is>
      </c>
      <c r="AR121" s="610" t="inlineStr">
        <is>
          <t>N/A</t>
        </is>
      </c>
      <c r="AS121" s="610" t="inlineStr">
        <is>
          <t>C10</t>
        </is>
      </c>
      <c r="AT121" s="610" t="inlineStr">
        <is>
          <t>CO2</t>
        </is>
      </c>
      <c r="AU121" s="610" t="inlineStr">
        <is>
          <t>Positive</t>
        </is>
      </c>
      <c r="AV121" s="610" t="inlineStr">
        <is>
          <t>Energy conservation</t>
        </is>
      </c>
      <c r="AW121" s="610" t="inlineStr">
        <is>
          <t>GB 32044-2015 Norm of Energy Consumption per Unit Production of Sugar</t>
        </is>
      </c>
      <c r="AX121" s="610" t="inlineStr">
        <is>
          <t>https://openstd.samr.gov.cn/bzgk/std/newGbInfo?hcno=7FD71F2FE92BC5585DA8C482496D2402</t>
        </is>
      </c>
      <c r="AY121" s="610" t="inlineStr">
        <is>
          <t>N/A</t>
        </is>
      </c>
      <c r="AZ121" s="610" t="inlineStr"/>
    </row>
    <row r="122">
      <c r="A122" s="610" t="inlineStr">
        <is>
          <t>CHNPRFEILI58S000</t>
        </is>
      </c>
      <c r="B122" s="610" t="inlineStr">
        <is>
          <t>Instrument</t>
        </is>
      </c>
      <c r="C122" s="610" t="inlineStr">
        <is>
          <t>Performance standard</t>
        </is>
      </c>
      <c r="D122" s="610" t="inlineStr">
        <is>
          <t>Energy intensity limit for industrial production</t>
        </is>
      </c>
      <c r="E122" s="610" t="inlineStr">
        <is>
          <t>Industry</t>
        </is>
      </c>
      <c r="F122" s="610" t="inlineStr">
        <is>
          <t>Iron and steel smelting</t>
        </is>
      </c>
      <c r="G122" s="610" t="inlineStr">
        <is>
          <t>电弧炉冶炼单位产品能源消耗限额</t>
        </is>
      </c>
      <c r="H122" s="610" t="inlineStr">
        <is>
          <t>Norm of Energy Consumption per Unit Production of Electric Arc Furnace Steelmaking</t>
        </is>
      </c>
      <c r="I122" s="610" t="inlineStr">
        <is>
          <t>N/A</t>
        </is>
      </c>
      <c r="J122" s="610"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2" s="610" t="inlineStr">
        <is>
          <t>Energy efficiency</t>
        </is>
      </c>
      <c r="L122" s="610" t="inlineStr">
        <is>
          <t>Direct</t>
        </is>
      </c>
      <c r="M122" s="610" t="inlineStr">
        <is>
          <t>National</t>
        </is>
      </c>
      <c r="N122" s="610" t="inlineStr">
        <is>
          <t>N/A</t>
        </is>
      </c>
      <c r="O122" s="610" t="inlineStr">
        <is>
          <t>11/09/2015</t>
        </is>
      </c>
      <c r="P122" s="610" t="inlineStr">
        <is>
          <t>01/10/2016</t>
        </is>
      </c>
      <c r="Q122" s="610" t="inlineStr">
        <is>
          <t>N/A</t>
        </is>
      </c>
      <c r="R122" s="610" t="inlineStr">
        <is>
          <t>N/A</t>
        </is>
      </c>
      <c r="S122" s="610" t="inlineStr">
        <is>
          <t>N/A</t>
        </is>
      </c>
      <c r="T122" s="610">
        <f>IF(P122="","In force",IF(P122="N/A","In force",IF(TODAY()&lt;DATE(VALUE(RIGHT(P122,4)),VALUE(MID(P122,4,2)),VALUE(LEFT(P122,2))),"Scheduled",IF(Q122="","In force",IF(Q122="N/A","In force",IF(TODAY()&lt;DATE(VALUE(RIGHT(Q122,4)),VALUE(MID(Q122,4,2)),VALUE(LEFT(Q122,2))),"In force","Ended"))))))</f>
        <v/>
      </c>
      <c r="U122" s="610" t="inlineStr">
        <is>
          <t>State Administration for Market Regulation; Standardization Administration of China</t>
        </is>
      </c>
      <c r="V122" s="610" t="inlineStr">
        <is>
          <t>Electric arc furnace steelmaking equipment</t>
        </is>
      </c>
      <c r="W122" s="610" t="inlineStr">
        <is>
          <t>New; existing</t>
        </is>
      </c>
      <c r="X122" s="610"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Y122" s="610" t="inlineStr">
        <is>
          <t>N/A</t>
        </is>
      </c>
      <c r="Z122" s="610" t="inlineStr">
        <is>
          <t>N/A</t>
        </is>
      </c>
      <c r="AA122" s="610" t="inlineStr">
        <is>
          <t>Firms</t>
        </is>
      </c>
      <c r="AB122" s="610" t="inlineStr">
        <is>
          <t>Enterprises operating electric arc furnace steelmaking equipment within China.</t>
        </is>
      </c>
      <c r="AC122" s="610" t="inlineStr">
        <is>
          <t>Production</t>
        </is>
      </c>
      <c r="AD122" s="610" t="inlineStr">
        <is>
          <t>Operational activities of electric arc furnace steelmaking equipment. Existing firms must meet Grade 3 (minimum) intensity limits; new, expansion and renovation projects must meet Grade 2 (access) intensity limits.</t>
        </is>
      </c>
      <c r="AE122" s="610" t="inlineStr">
        <is>
          <t>3 grades</t>
        </is>
      </c>
      <c r="AF122" s="610" t="inlineStr">
        <is>
          <t>Energy intensity limit grade</t>
        </is>
      </c>
      <c r="AG122"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H122" s="610"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2" s="610" t="inlineStr">
        <is>
          <t>N/A</t>
        </is>
      </c>
      <c r="AJ122" s="610" t="inlineStr">
        <is>
          <t>N/A</t>
        </is>
      </c>
      <c r="AK122" s="610" t="inlineStr">
        <is>
          <t>Inspections or audits conducted by government authorities or third parties; Energy consumption data reporting by firms</t>
        </is>
      </c>
      <c r="AL122" s="610"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M122" s="610" t="inlineStr">
        <is>
          <t>Compliance order; Fines; Differentiated electricity pricing; Phase-out and closure</t>
        </is>
      </c>
      <c r="AN122" s="610"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O122" s="610"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P122" s="610"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Q122" s="610" t="inlineStr">
        <is>
          <t>N/A</t>
        </is>
      </c>
      <c r="AR122" s="610" t="inlineStr">
        <is>
          <t>N/A</t>
        </is>
      </c>
      <c r="AS122" s="610" t="inlineStr">
        <is>
          <t>C24</t>
        </is>
      </c>
      <c r="AT122" s="610" t="inlineStr">
        <is>
          <t>CO2</t>
        </is>
      </c>
      <c r="AU122" s="610" t="inlineStr">
        <is>
          <t>Positive</t>
        </is>
      </c>
      <c r="AV122" s="610" t="inlineStr">
        <is>
          <t>Energy conservation</t>
        </is>
      </c>
      <c r="AW122" s="610" t="inlineStr">
        <is>
          <t>GB 32050-2015 Norm of Energy Consumption per Unit Production of Electric Arc Furnace Steelmaking</t>
        </is>
      </c>
      <c r="AX122" s="610" t="inlineStr">
        <is>
          <t>https://openstd.samr.gov.cn/bzgk/std/newGbInfo?hcno=634F78D390A985D65D3DEE0438B18A14</t>
        </is>
      </c>
      <c r="AY122" s="610" t="inlineStr">
        <is>
          <t>N/A</t>
        </is>
      </c>
      <c r="AZ122" s="610" t="inlineStr"/>
    </row>
    <row r="123">
      <c r="A123" s="610" t="inlineStr">
        <is>
          <t>CHNPRFEILI59S000</t>
        </is>
      </c>
      <c r="B123" s="610" t="inlineStr">
        <is>
          <t>Instrument</t>
        </is>
      </c>
      <c r="C123" s="610" t="inlineStr">
        <is>
          <t>Performance standard</t>
        </is>
      </c>
      <c r="D123" s="610" t="inlineStr">
        <is>
          <t>Energy intensity limit for industrial production</t>
        </is>
      </c>
      <c r="E123" s="610" t="inlineStr">
        <is>
          <t>Industry</t>
        </is>
      </c>
      <c r="F123" s="610" t="inlineStr">
        <is>
          <t>Friction and sealing materials</t>
        </is>
      </c>
      <c r="G123" s="610" t="inlineStr">
        <is>
          <t>摩擦材料单位产品能源消耗限额</t>
        </is>
      </c>
      <c r="H123" s="610" t="inlineStr">
        <is>
          <t>Norm of Energy Consumption per Unit Production of Friction Materials</t>
        </is>
      </c>
      <c r="I123" s="610" t="inlineStr">
        <is>
          <t>N/A</t>
        </is>
      </c>
      <c r="J123" s="610"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3" s="610" t="inlineStr">
        <is>
          <t>Energy efficiency</t>
        </is>
      </c>
      <c r="L123" s="610" t="inlineStr">
        <is>
          <t>Direct</t>
        </is>
      </c>
      <c r="M123" s="610" t="inlineStr">
        <is>
          <t>National</t>
        </is>
      </c>
      <c r="N123" s="610" t="inlineStr">
        <is>
          <t>N/A</t>
        </is>
      </c>
      <c r="O123" s="610" t="inlineStr">
        <is>
          <t>31/12/2013</t>
        </is>
      </c>
      <c r="P123" s="610" t="inlineStr">
        <is>
          <t>01/12/2014</t>
        </is>
      </c>
      <c r="Q123" s="610" t="inlineStr">
        <is>
          <t>N/A</t>
        </is>
      </c>
      <c r="R123" s="610" t="inlineStr">
        <is>
          <t>N/A</t>
        </is>
      </c>
      <c r="S123" s="610" t="inlineStr">
        <is>
          <t>N/A</t>
        </is>
      </c>
      <c r="T123" s="610">
        <f>IF(P123="","In force",IF(P123="N/A","In force",IF(TODAY()&lt;DATE(VALUE(RIGHT(P123,4)),VALUE(MID(P123,4,2)),VALUE(LEFT(P123,2))),"Scheduled",IF(Q123="","In force",IF(Q123="N/A","In force",IF(TODAY()&lt;DATE(VALUE(RIGHT(Q123,4)),VALUE(MID(Q123,4,2)),VALUE(LEFT(Q123,2))),"In force","Ended"))))))</f>
        <v/>
      </c>
      <c r="U123" s="610" t="inlineStr">
        <is>
          <t>State Administration for Market Regulation; Standardization Administration of China</t>
        </is>
      </c>
      <c r="V123" s="610" t="inlineStr">
        <is>
          <t>Friction material production installation</t>
        </is>
      </c>
      <c r="W123" s="610" t="inlineStr">
        <is>
          <t>New; existing</t>
        </is>
      </c>
      <c r="X123" s="610"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Y123" s="610" t="inlineStr">
        <is>
          <t>N/A</t>
        </is>
      </c>
      <c r="Z123" s="610" t="inlineStr">
        <is>
          <t>N/A</t>
        </is>
      </c>
      <c r="AA123" s="610" t="inlineStr">
        <is>
          <t>Firms</t>
        </is>
      </c>
      <c r="AB123" s="610" t="inlineStr">
        <is>
          <t>Enterprises operating moulded friction material production installations within China.</t>
        </is>
      </c>
      <c r="AC123" s="610" t="inlineStr">
        <is>
          <t>Production</t>
        </is>
      </c>
      <c r="AD123" s="610" t="inlineStr">
        <is>
          <t>Operational activities of friction material production installations. Existing firms must meet Grade 3 (minimum) intensity limits; new, expansion and renovation projects must meet Grade 2 (access) intensity limits.</t>
        </is>
      </c>
      <c r="AE123" s="610" t="inlineStr">
        <is>
          <t>3 grades</t>
        </is>
      </c>
      <c r="AF123" s="610" t="inlineStr">
        <is>
          <t>Energy intensity limit grade</t>
        </is>
      </c>
      <c r="AG123"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H123" s="610"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3" s="610" t="inlineStr">
        <is>
          <t>N/A</t>
        </is>
      </c>
      <c r="AJ123" s="610" t="inlineStr">
        <is>
          <t>N/A</t>
        </is>
      </c>
      <c r="AK123" s="610" t="inlineStr">
        <is>
          <t>Inspections or audits conducted by government authorities or third parties; Energy consumption data reporting by firms</t>
        </is>
      </c>
      <c r="AL123" s="610" t="inlineStr">
        <is>
          <t>Market regulatory authorities conduct supervision inspections on friction material producers' compliance with energy intensity limit standards; firms must submit annual energy consumption data and undergo energy conservation supervision.</t>
        </is>
      </c>
      <c r="AM123" s="610" t="inlineStr">
        <is>
          <t>Compliance order; Fines; Differentiated electricity pricing; Phase-out and closure</t>
        </is>
      </c>
      <c r="AN123" s="610"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3" s="610"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P123" s="610"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Q123" s="610" t="inlineStr">
        <is>
          <t>N/A</t>
        </is>
      </c>
      <c r="AR123" s="610" t="inlineStr">
        <is>
          <t>N/A</t>
        </is>
      </c>
      <c r="AS123" s="610" t="inlineStr">
        <is>
          <t>C29</t>
        </is>
      </c>
      <c r="AT123" s="610" t="inlineStr">
        <is>
          <t>CO2</t>
        </is>
      </c>
      <c r="AU123" s="610" t="inlineStr">
        <is>
          <t>Positive</t>
        </is>
      </c>
      <c r="AV123" s="610" t="inlineStr">
        <is>
          <t>Energy conservation</t>
        </is>
      </c>
      <c r="AW123" s="610" t="inlineStr">
        <is>
          <t>GB 30182-2013 Norm of Energy Consumption per Unit Production of Friction Materials</t>
        </is>
      </c>
      <c r="AX123" s="610" t="inlineStr">
        <is>
          <t>https://openstd.samr.gov.cn/bzgk/std/newGbInfo?hcno=71F772D7E4DED3A7E05397BE0A0AB82A</t>
        </is>
      </c>
      <c r="AY123" s="610" t="inlineStr">
        <is>
          <t>N/A</t>
        </is>
      </c>
      <c r="AZ123" s="610" t="inlineStr"/>
    </row>
    <row r="124">
      <c r="A124" s="610" t="inlineStr">
        <is>
          <t>CHNPRFEILI60S000</t>
        </is>
      </c>
      <c r="B124" s="610" t="inlineStr">
        <is>
          <t>Instrument</t>
        </is>
      </c>
      <c r="C124" s="610" t="inlineStr">
        <is>
          <t>Performance standard</t>
        </is>
      </c>
      <c r="D124" s="610" t="inlineStr">
        <is>
          <t>Energy intensity limit for industrial production</t>
        </is>
      </c>
      <c r="E124" s="610" t="inlineStr">
        <is>
          <t>Industry</t>
        </is>
      </c>
      <c r="F124" s="610" t="inlineStr">
        <is>
          <t>Insulation materials</t>
        </is>
      </c>
      <c r="G124" s="610" t="inlineStr">
        <is>
          <t>岩棉、矿渣棉及其制品单位产品能源消耗限额</t>
        </is>
      </c>
      <c r="H124" s="610" t="inlineStr">
        <is>
          <t>Norm of Energy Consumption per Unit Production of Rock Wool, Slag Wool and Their Products</t>
        </is>
      </c>
      <c r="I124" s="610" t="inlineStr">
        <is>
          <t>N/A</t>
        </is>
      </c>
      <c r="J124" s="610"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4" s="610" t="inlineStr">
        <is>
          <t>Energy efficiency</t>
        </is>
      </c>
      <c r="L124" s="610" t="inlineStr">
        <is>
          <t>Direct</t>
        </is>
      </c>
      <c r="M124" s="610" t="inlineStr">
        <is>
          <t>National</t>
        </is>
      </c>
      <c r="N124" s="610" t="inlineStr">
        <is>
          <t>N/A</t>
        </is>
      </c>
      <c r="O124" s="610" t="inlineStr">
        <is>
          <t>31/12/2013</t>
        </is>
      </c>
      <c r="P124" s="610" t="inlineStr">
        <is>
          <t>01/12/2014</t>
        </is>
      </c>
      <c r="Q124" s="610" t="inlineStr">
        <is>
          <t>N/A</t>
        </is>
      </c>
      <c r="R124" s="610" t="inlineStr">
        <is>
          <t>N/A</t>
        </is>
      </c>
      <c r="S124" s="610" t="inlineStr">
        <is>
          <t>N/A</t>
        </is>
      </c>
      <c r="T124" s="610">
        <f>IF(P124="","In force",IF(P124="N/A","In force",IF(TODAY()&lt;DATE(VALUE(RIGHT(P124,4)),VALUE(MID(P124,4,2)),VALUE(LEFT(P124,2))),"Scheduled",IF(Q124="","In force",IF(Q124="N/A","In force",IF(TODAY()&lt;DATE(VALUE(RIGHT(Q124,4)),VALUE(MID(Q124,4,2)),VALUE(LEFT(Q124,2))),"In force","Ended"))))))</f>
        <v/>
      </c>
      <c r="U124" s="610" t="inlineStr">
        <is>
          <t>State Administration for Market Regulation; Standardization Administration of China</t>
        </is>
      </c>
      <c r="V124" s="610" t="inlineStr">
        <is>
          <t>Rock wool, slag wool and products production installation</t>
        </is>
      </c>
      <c r="W124" s="610" t="inlineStr">
        <is>
          <t>New; existing</t>
        </is>
      </c>
      <c r="X124" s="610"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Y124" s="610" t="inlineStr">
        <is>
          <t>N/A</t>
        </is>
      </c>
      <c r="Z124" s="610" t="inlineStr">
        <is>
          <t>N/A</t>
        </is>
      </c>
      <c r="AA124" s="610" t="inlineStr">
        <is>
          <t>Firms</t>
        </is>
      </c>
      <c r="AB124" s="610" t="inlineStr">
        <is>
          <t>Enterprises operating rock wool, slag wool and products production installations within China.</t>
        </is>
      </c>
      <c r="AC124" s="610" t="inlineStr">
        <is>
          <t>Production</t>
        </is>
      </c>
      <c r="AD124" s="610" t="inlineStr">
        <is>
          <t>Operational activities of rock wool, slag wool and products production installations. Existing firms must meet Grade 3 (minimum) intensity limits; new, expansion and renovation projects must meet Grade 2 (access) intensity limits.</t>
        </is>
      </c>
      <c r="AE124" s="610" t="inlineStr">
        <is>
          <t>3 grades</t>
        </is>
      </c>
      <c r="AF124" s="610" t="inlineStr">
        <is>
          <t>Energy intensity limit grade</t>
        </is>
      </c>
      <c r="AG124"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H124" s="610"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4" s="610" t="inlineStr">
        <is>
          <t>N/A</t>
        </is>
      </c>
      <c r="AJ124" s="610" t="inlineStr">
        <is>
          <t>N/A</t>
        </is>
      </c>
      <c r="AK124" s="610" t="inlineStr">
        <is>
          <t>Inspections or audits conducted by government authorities or third parties; Energy consumption data reporting by firms</t>
        </is>
      </c>
      <c r="AL124" s="610" t="inlineStr">
        <is>
          <t>Market regulatory authorities conduct supervision inspections on rock wool and slag wool producers' compliance with energy intensity limit standards; firms must submit annual energy consumption data and undergo energy conservation supervision.</t>
        </is>
      </c>
      <c r="AM124" s="610" t="inlineStr">
        <is>
          <t>Compliance order; Fines; Differentiated electricity pricing; Phase-out and closure</t>
        </is>
      </c>
      <c r="AN124" s="610"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4" s="610"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P124" s="610"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Q124" s="610" t="inlineStr">
        <is>
          <t>N/A</t>
        </is>
      </c>
      <c r="AR124" s="610" t="inlineStr">
        <is>
          <t>N/A</t>
        </is>
      </c>
      <c r="AS124" s="610" t="inlineStr">
        <is>
          <t>C23</t>
        </is>
      </c>
      <c r="AT124" s="610" t="inlineStr">
        <is>
          <t>CO2</t>
        </is>
      </c>
      <c r="AU124" s="610" t="inlineStr">
        <is>
          <t>Positive</t>
        </is>
      </c>
      <c r="AV124" s="610" t="inlineStr">
        <is>
          <t>Energy conservation</t>
        </is>
      </c>
      <c r="AW124" s="610" t="inlineStr">
        <is>
          <t>GB 30183-2013 Norm of Energy Consumption per Unit Production of Rock Wool, Slag Wool and Their Products</t>
        </is>
      </c>
      <c r="AX124" s="610" t="inlineStr">
        <is>
          <t>https://openstd.samr.gov.cn/bzgk/std/newGbInfo?hcno=0B1014ECF47D43A5F98DD1040B1F2785</t>
        </is>
      </c>
      <c r="AY124" s="610" t="inlineStr">
        <is>
          <t>N/A</t>
        </is>
      </c>
      <c r="AZ124" s="610" t="inlineStr"/>
    </row>
    <row r="125">
      <c r="A125" s="610" t="inlineStr">
        <is>
          <t>CHNPRFEILI61S000</t>
        </is>
      </c>
      <c r="B125" s="610" t="inlineStr">
        <is>
          <t>Instrument</t>
        </is>
      </c>
      <c r="C125" s="610" t="inlineStr">
        <is>
          <t>Performance standard</t>
        </is>
      </c>
      <c r="D125" s="610" t="inlineStr">
        <is>
          <t>Energy intensity limit for industrial production</t>
        </is>
      </c>
      <c r="E125" s="610" t="inlineStr">
        <is>
          <t>Industry</t>
        </is>
      </c>
      <c r="F125" s="610" t="inlineStr">
        <is>
          <t>Waterproof materials</t>
        </is>
      </c>
      <c r="G125" s="610" t="inlineStr">
        <is>
          <t>沥青基防水卷材单位产品能源消耗限额</t>
        </is>
      </c>
      <c r="H125" s="610" t="inlineStr">
        <is>
          <t>Norm of Energy Consumption per Unit Production of Asphalt-Based Waterproof Membrane</t>
        </is>
      </c>
      <c r="I125" s="610" t="inlineStr">
        <is>
          <t>N/A</t>
        </is>
      </c>
      <c r="J125" s="610"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5" s="610" t="inlineStr">
        <is>
          <t>Energy efficiency</t>
        </is>
      </c>
      <c r="L125" s="610" t="inlineStr">
        <is>
          <t>Direct</t>
        </is>
      </c>
      <c r="M125" s="610" t="inlineStr">
        <is>
          <t>National</t>
        </is>
      </c>
      <c r="N125" s="610" t="inlineStr">
        <is>
          <t>N/A</t>
        </is>
      </c>
      <c r="O125" s="610" t="inlineStr">
        <is>
          <t>31/12/2013</t>
        </is>
      </c>
      <c r="P125" s="610" t="inlineStr">
        <is>
          <t>01/12/2014</t>
        </is>
      </c>
      <c r="Q125" s="610" t="inlineStr">
        <is>
          <t>N/A</t>
        </is>
      </c>
      <c r="R125" s="610" t="inlineStr">
        <is>
          <t>N/A</t>
        </is>
      </c>
      <c r="S125" s="610" t="inlineStr">
        <is>
          <t>N/A</t>
        </is>
      </c>
      <c r="T125" s="610">
        <f>IF(P125="","In force",IF(P125="N/A","In force",IF(TODAY()&lt;DATE(VALUE(RIGHT(P125,4)),VALUE(MID(P125,4,2)),VALUE(LEFT(P125,2))),"Scheduled",IF(Q125="","In force",IF(Q125="N/A","In force",IF(TODAY()&lt;DATE(VALUE(RIGHT(Q125,4)),VALUE(MID(Q125,4,2)),VALUE(LEFT(Q125,2))),"In force","Ended"))))))</f>
        <v/>
      </c>
      <c r="U125" s="610" t="inlineStr">
        <is>
          <t>State Administration for Market Regulation; Standardization Administration of China</t>
        </is>
      </c>
      <c r="V125" s="610" t="inlineStr">
        <is>
          <t>Asphalt-based waterproof membrane production line</t>
        </is>
      </c>
      <c r="W125" s="610" t="inlineStr">
        <is>
          <t>New; existing</t>
        </is>
      </c>
      <c r="X125" s="610"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Y125" s="610" t="inlineStr">
        <is>
          <t>N/A</t>
        </is>
      </c>
      <c r="Z125" s="610" t="inlineStr">
        <is>
          <t>N/A</t>
        </is>
      </c>
      <c r="AA125" s="610" t="inlineStr">
        <is>
          <t>Firms</t>
        </is>
      </c>
      <c r="AB125" s="610" t="inlineStr">
        <is>
          <t>Enterprises operating asphalt-based waterproof membrane production lines within China.</t>
        </is>
      </c>
      <c r="AC125" s="610" t="inlineStr">
        <is>
          <t>Production</t>
        </is>
      </c>
      <c r="AD125" s="610" t="inlineStr">
        <is>
          <t>Operational activities of asphalt-based waterproof membrane production lines. Existing firms must meet Grade 3 (minimum) intensity limits; new, expansion and renovation projects must meet Grade 2 (access) intensity limits.</t>
        </is>
      </c>
      <c r="AE125" s="610" t="inlineStr">
        <is>
          <t>3 grades</t>
        </is>
      </c>
      <c r="AF125" s="610" t="inlineStr">
        <is>
          <t>Energy intensity limit grade</t>
        </is>
      </c>
      <c r="AG125"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H125" s="610"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5" s="610" t="inlineStr">
        <is>
          <t>N/A</t>
        </is>
      </c>
      <c r="AJ125" s="610" t="inlineStr">
        <is>
          <t>N/A</t>
        </is>
      </c>
      <c r="AK125" s="610" t="inlineStr">
        <is>
          <t>Inspections or audits conducted by government authorities or third parties; Energy consumption data reporting by firms</t>
        </is>
      </c>
      <c r="AL125" s="610" t="inlineStr">
        <is>
          <t>Market regulatory authorities conduct supervision inspections on asphalt-based waterproof membrane producers' compliance with energy intensity limit standards; firms must submit annual energy consumption data and undergo energy conservation supervision.</t>
        </is>
      </c>
      <c r="AM125" s="610" t="inlineStr">
        <is>
          <t>Compliance order; Fines; Differentiated electricity pricing; Phase-out and closure</t>
        </is>
      </c>
      <c r="AN125" s="610"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5" s="610"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P125" s="610"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Q125" s="610" t="inlineStr">
        <is>
          <t>N/A</t>
        </is>
      </c>
      <c r="AR125" s="610" t="inlineStr">
        <is>
          <t>N/A</t>
        </is>
      </c>
      <c r="AS125" s="610" t="inlineStr">
        <is>
          <t>C23</t>
        </is>
      </c>
      <c r="AT125" s="610" t="inlineStr">
        <is>
          <t>CO2</t>
        </is>
      </c>
      <c r="AU125" s="610" t="inlineStr">
        <is>
          <t>Positive</t>
        </is>
      </c>
      <c r="AV125" s="610" t="inlineStr">
        <is>
          <t>Energy conservation</t>
        </is>
      </c>
      <c r="AW125" s="610" t="inlineStr">
        <is>
          <t>GB 30184-2013 Norm of Energy Consumption per Unit Production of Asphalt-Based Waterproof Membrane</t>
        </is>
      </c>
      <c r="AX125" s="610" t="inlineStr">
        <is>
          <t>https://openstd.samr.gov.cn/bzgk/std/newGbInfo?hcno=C385C88F3C0A7B94BB1F91BF80E32211</t>
        </is>
      </c>
      <c r="AY125" s="610" t="inlineStr">
        <is>
          <t>N/A</t>
        </is>
      </c>
      <c r="AZ125" s="610" t="inlineStr"/>
    </row>
    <row r="126">
      <c r="A126" s="610" t="inlineStr">
        <is>
          <t>CHNPRFEILI62S000</t>
        </is>
      </c>
      <c r="B126" s="610" t="inlineStr">
        <is>
          <t>Instrument</t>
        </is>
      </c>
      <c r="C126" s="610" t="inlineStr">
        <is>
          <t>Performance standard</t>
        </is>
      </c>
      <c r="D126" s="610" t="inlineStr">
        <is>
          <t>Energy intensity limit for industrial production</t>
        </is>
      </c>
      <c r="E126" s="610" t="inlineStr">
        <is>
          <t>Industry</t>
        </is>
      </c>
      <c r="F126" s="610" t="inlineStr">
        <is>
          <t>Metal building materials</t>
        </is>
      </c>
      <c r="G126" s="610" t="inlineStr">
        <is>
          <t>铝塑板单位产品能源消耗限额</t>
        </is>
      </c>
      <c r="H126" s="610" t="inlineStr">
        <is>
          <t>Norm of Energy Consumption per Unit Production of Aluminium-Plastic Composite Panel</t>
        </is>
      </c>
      <c r="I126" s="610" t="inlineStr">
        <is>
          <t>N/A</t>
        </is>
      </c>
      <c r="J126" s="610"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6" s="610" t="inlineStr">
        <is>
          <t>Energy efficiency</t>
        </is>
      </c>
      <c r="L126" s="610" t="inlineStr">
        <is>
          <t>Direct</t>
        </is>
      </c>
      <c r="M126" s="610" t="inlineStr">
        <is>
          <t>National</t>
        </is>
      </c>
      <c r="N126" s="610" t="inlineStr">
        <is>
          <t>N/A</t>
        </is>
      </c>
      <c r="O126" s="610" t="inlineStr">
        <is>
          <t>31/12/2013</t>
        </is>
      </c>
      <c r="P126" s="610" t="inlineStr">
        <is>
          <t>01/12/2014</t>
        </is>
      </c>
      <c r="Q126" s="610" t="inlineStr">
        <is>
          <t>N/A</t>
        </is>
      </c>
      <c r="R126" s="610" t="inlineStr">
        <is>
          <t>28/02/2025</t>
        </is>
      </c>
      <c r="S126" s="610"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T126" s="610">
        <f>IF(P126="","In force",IF(P126="N/A","In force",IF(TODAY()&lt;DATE(VALUE(RIGHT(P126,4)),VALUE(MID(P126,4,2)),VALUE(LEFT(P126,2))),"Scheduled",IF(Q126="","In force",IF(Q126="N/A","In force",IF(TODAY()&lt;DATE(VALUE(RIGHT(Q126,4)),VALUE(MID(Q126,4,2)),VALUE(LEFT(Q126,2))),"In force","Ended"))))))</f>
        <v/>
      </c>
      <c r="U126" s="610" t="inlineStr">
        <is>
          <t>State Administration for Market Regulation; Standardization Administration of China</t>
        </is>
      </c>
      <c r="V126" s="610" t="inlineStr">
        <is>
          <t>Aluminium-plastic composite panel production line</t>
        </is>
      </c>
      <c r="W126" s="610" t="inlineStr">
        <is>
          <t>New; existing</t>
        </is>
      </c>
      <c r="X126" s="610"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Y126" s="610" t="inlineStr">
        <is>
          <t>N/A</t>
        </is>
      </c>
      <c r="Z126" s="610" t="inlineStr">
        <is>
          <t>N/A</t>
        </is>
      </c>
      <c r="AA126" s="610" t="inlineStr">
        <is>
          <t>Firms</t>
        </is>
      </c>
      <c r="AB126" s="610" t="inlineStr">
        <is>
          <t>Enterprises operating aluminium-plastic composite panel production lines within China.</t>
        </is>
      </c>
      <c r="AC126" s="610" t="inlineStr">
        <is>
          <t>Production</t>
        </is>
      </c>
      <c r="AD126" s="610" t="inlineStr">
        <is>
          <t>Operational activities of aluminium-plastic composite panel production lines. Existing firms must meet Grade 3 (minimum) intensity limits; new, expansion and renovation projects must meet Grade 2 (access) intensity limits.</t>
        </is>
      </c>
      <c r="AE126" s="610" t="inlineStr">
        <is>
          <t>3 grades</t>
        </is>
      </c>
      <c r="AF126" s="610" t="inlineStr">
        <is>
          <t>Energy intensity limit grade</t>
        </is>
      </c>
      <c r="AG126"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H126" s="610"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6" s="610" t="inlineStr">
        <is>
          <t>N/A</t>
        </is>
      </c>
      <c r="AJ126" s="610" t="inlineStr">
        <is>
          <t>N/A</t>
        </is>
      </c>
      <c r="AK126" s="610" t="inlineStr">
        <is>
          <t>Inspections or audits conducted by government authorities or third parties; Energy consumption data reporting by firms</t>
        </is>
      </c>
      <c r="AL126" s="610" t="inlineStr">
        <is>
          <t>Market regulatory authorities conduct supervision inspections on aluminium-plastic composite panel producers' compliance with energy intensity limit standards; firms must submit annual energy consumption data and undergo energy conservation supervision.</t>
        </is>
      </c>
      <c r="AM126" s="610" t="inlineStr">
        <is>
          <t>Compliance order; Fines; Differentiated electricity pricing; Phase-out and closure</t>
        </is>
      </c>
      <c r="AN126" s="610"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6" s="610"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P126" s="610"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Q126" s="610" t="inlineStr">
        <is>
          <t>N/A</t>
        </is>
      </c>
      <c r="AR126" s="610" t="inlineStr">
        <is>
          <t>N/A</t>
        </is>
      </c>
      <c r="AS126" s="610" t="inlineStr">
        <is>
          <t>C25</t>
        </is>
      </c>
      <c r="AT126" s="610" t="inlineStr">
        <is>
          <t>CO2</t>
        </is>
      </c>
      <c r="AU126" s="610" t="inlineStr">
        <is>
          <t>Positive</t>
        </is>
      </c>
      <c r="AV126" s="610" t="inlineStr">
        <is>
          <t>Energy conservation</t>
        </is>
      </c>
      <c r="AW126" s="610" t="inlineStr">
        <is>
          <t>GB 30185-2013 Norm of Energy Consumption per Unit Production of Aluminium-Plastic Composite Panel</t>
        </is>
      </c>
      <c r="AX126" s="610" t="inlineStr">
        <is>
          <t>https://openstd.samr.gov.cn/bzgk/std/newGbInfo?hcno=6748E505890163484CE72741CF7D8D3A</t>
        </is>
      </c>
      <c r="AY126" s="610" t="inlineStr">
        <is>
          <t>GB 30185-2013 (previous edition): https://openstd.samr.gov.cn/bzgk/std/newGbInfo?hcno=560D51C1E285DC30D8E67E5B5CFB6C0F</t>
        </is>
      </c>
      <c r="AZ126" s="610" t="inlineStr"/>
    </row>
    <row r="127">
      <c r="A127" s="610" t="inlineStr">
        <is>
          <t>CHNPRFEILI63S000</t>
        </is>
      </c>
      <c r="B127" s="610" t="inlineStr">
        <is>
          <t>Instrument</t>
        </is>
      </c>
      <c r="C127" s="610" t="inlineStr">
        <is>
          <t>Performance standard</t>
        </is>
      </c>
      <c r="D127" s="610" t="inlineStr">
        <is>
          <t>Energy intensity limit for industrial production</t>
        </is>
      </c>
      <c r="E127" s="610" t="inlineStr">
        <is>
          <t>Industry</t>
        </is>
      </c>
      <c r="F127" s="610" t="inlineStr">
        <is>
          <t>Rare earth smelting</t>
        </is>
      </c>
      <c r="G127" s="610" t="inlineStr">
        <is>
          <t>稀土冶炼企业单位产品能源消耗限额</t>
        </is>
      </c>
      <c r="H127" s="610" t="inlineStr">
        <is>
          <t>Norm of Energy Consumption per Unit Production of Rare Earth Metallurgical Enterprise</t>
        </is>
      </c>
      <c r="I127" s="610" t="inlineStr">
        <is>
          <t>N/A</t>
        </is>
      </c>
      <c r="J127" s="610"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7" s="610" t="inlineStr">
        <is>
          <t>Energy efficiency</t>
        </is>
      </c>
      <c r="L127" s="610" t="inlineStr">
        <is>
          <t>Direct</t>
        </is>
      </c>
      <c r="M127" s="610" t="inlineStr">
        <is>
          <t>National</t>
        </is>
      </c>
      <c r="N127" s="610" t="inlineStr">
        <is>
          <t>N/A</t>
        </is>
      </c>
      <c r="O127" s="610" t="inlineStr">
        <is>
          <t>31/12/2012</t>
        </is>
      </c>
      <c r="P127" s="610" t="inlineStr">
        <is>
          <t>01/10/2013</t>
        </is>
      </c>
      <c r="Q127" s="610" t="inlineStr">
        <is>
          <t>N/A</t>
        </is>
      </c>
      <c r="R127" s="610" t="inlineStr">
        <is>
          <t>31/12/2025</t>
        </is>
      </c>
      <c r="S127" s="610"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T127" s="610">
        <f>IF(P127="","In force",IF(P127="N/A","In force",IF(TODAY()&lt;DATE(VALUE(RIGHT(P127,4)),VALUE(MID(P127,4,2)),VALUE(LEFT(P127,2))),"Scheduled",IF(Q127="","In force",IF(Q127="N/A","In force",IF(TODAY()&lt;DATE(VALUE(RIGHT(Q127,4)),VALUE(MID(Q127,4,2)),VALUE(LEFT(Q127,2))),"In force","Ended"))))))</f>
        <v/>
      </c>
      <c r="U127" s="610" t="inlineStr">
        <is>
          <t>State Administration for Market Regulation; Standardization Administration of China</t>
        </is>
      </c>
      <c r="V127" s="610" t="inlineStr">
        <is>
          <t>Rare earth metallurgical production installation</t>
        </is>
      </c>
      <c r="W127" s="610" t="inlineStr">
        <is>
          <t>New; existing</t>
        </is>
      </c>
      <c r="X127" s="610"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Y127" s="610" t="inlineStr">
        <is>
          <t>N/A</t>
        </is>
      </c>
      <c r="Z127" s="610" t="inlineStr">
        <is>
          <t>N/A</t>
        </is>
      </c>
      <c r="AA127" s="610" t="inlineStr">
        <is>
          <t>Firms</t>
        </is>
      </c>
      <c r="AB127" s="610" t="inlineStr">
        <is>
          <t>Enterprises operating rare earth metallurgical production installations within China.</t>
        </is>
      </c>
      <c r="AC127" s="610" t="inlineStr">
        <is>
          <t>Production</t>
        </is>
      </c>
      <c r="AD127" s="610"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E127" s="610" t="inlineStr">
        <is>
          <t>3 grades</t>
        </is>
      </c>
      <c r="AF127" s="610" t="inlineStr">
        <is>
          <t>Energy intensity limit grade</t>
        </is>
      </c>
      <c r="AG127" s="610"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H127" s="610"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I127" s="610" t="inlineStr">
        <is>
          <t>N/A</t>
        </is>
      </c>
      <c r="AJ127" s="610" t="inlineStr">
        <is>
          <t>N/A</t>
        </is>
      </c>
      <c r="AK127" s="610" t="inlineStr">
        <is>
          <t>Inspections or audits conducted by government authorities or third parties; Energy consumption data reporting by firms</t>
        </is>
      </c>
      <c r="AL127" s="610"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M127" s="610" t="inlineStr">
        <is>
          <t>Compliance order; Fines; Differentiated electricity pricing; Phase-out and closure</t>
        </is>
      </c>
      <c r="AN127" s="610"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O127" s="610"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P127" s="610"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Q127" s="610" t="inlineStr">
        <is>
          <t>N/A</t>
        </is>
      </c>
      <c r="AR127" s="610" t="inlineStr">
        <is>
          <t>N/A</t>
        </is>
      </c>
      <c r="AS127" s="610" t="inlineStr">
        <is>
          <t>C24</t>
        </is>
      </c>
      <c r="AT127" s="610" t="inlineStr">
        <is>
          <t>CO2</t>
        </is>
      </c>
      <c r="AU127" s="610" t="inlineStr">
        <is>
          <t>Positive</t>
        </is>
      </c>
      <c r="AV127" s="610" t="inlineStr">
        <is>
          <t>Energy conservation</t>
        </is>
      </c>
      <c r="AW127" s="610" t="inlineStr">
        <is>
          <t>GB 29435-2025 Norm of Energy Consumption per Unit Production of Rare Earth Metallurgical Enterprise</t>
        </is>
      </c>
      <c r="AX127" s="610" t="inlineStr">
        <is>
          <t>https://openstd.samr.gov.cn/bzgk/std/newGbInfo?hcno=A5998295FAC676B7C86391356A185816</t>
        </is>
      </c>
      <c r="AY127" s="610" t="inlineStr">
        <is>
          <t>GB 29435-2012 (superseded): https://openstd.samr.gov.cn/bzgk/std/newGbInfo?hcno=282C52397EB468D6D2B5DCED27B0BF71</t>
        </is>
      </c>
      <c r="AZ127" s="610" t="inlineStr"/>
    </row>
    <row r="128">
      <c r="A128" s="610" t="inlineStr">
        <is>
          <t>CHNPRFEILI64S000</t>
        </is>
      </c>
      <c r="B128" s="610" t="inlineStr">
        <is>
          <t>Instrument</t>
        </is>
      </c>
      <c r="C128" s="610" t="inlineStr">
        <is>
          <t>Performance standard</t>
        </is>
      </c>
      <c r="D128" s="610" t="inlineStr">
        <is>
          <t>Energy intensity limit for industrial production</t>
        </is>
      </c>
      <c r="E128" s="610" t="inlineStr">
        <is>
          <t>Industry</t>
        </is>
      </c>
      <c r="F128" s="610" t="inlineStr">
        <is>
          <t>Engineering plastics</t>
        </is>
      </c>
      <c r="G128" s="610" t="inlineStr">
        <is>
          <t>聚甲醛单位产品能源消耗限额</t>
        </is>
      </c>
      <c r="H128" s="610" t="inlineStr">
        <is>
          <t>Norm of Energy Consumption per Unit Production of Polyoxymethylene</t>
        </is>
      </c>
      <c r="I128" s="610" t="inlineStr">
        <is>
          <t>N/A</t>
        </is>
      </c>
      <c r="J128" s="610"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8" s="610" t="inlineStr">
        <is>
          <t>Energy efficiency</t>
        </is>
      </c>
      <c r="L128" s="610" t="inlineStr">
        <is>
          <t>Direct</t>
        </is>
      </c>
      <c r="M128" s="610" t="inlineStr">
        <is>
          <t>National</t>
        </is>
      </c>
      <c r="N128" s="610" t="inlineStr">
        <is>
          <t>N/A</t>
        </is>
      </c>
      <c r="O128" s="610" t="inlineStr">
        <is>
          <t>31/12/2012</t>
        </is>
      </c>
      <c r="P128" s="610" t="inlineStr">
        <is>
          <t>01/10/2013</t>
        </is>
      </c>
      <c r="Q128" s="610" t="inlineStr">
        <is>
          <t>N/A</t>
        </is>
      </c>
      <c r="R128" s="610" t="inlineStr">
        <is>
          <t>N/A</t>
        </is>
      </c>
      <c r="S128" s="610" t="inlineStr">
        <is>
          <t>N/A</t>
        </is>
      </c>
      <c r="T128" s="610">
        <f>IF(P128="","In force",IF(P128="N/A","In force",IF(TODAY()&lt;DATE(VALUE(RIGHT(P128,4)),VALUE(MID(P128,4,2)),VALUE(LEFT(P128,2))),"Scheduled",IF(Q128="","In force",IF(Q128="N/A","In force",IF(TODAY()&lt;DATE(VALUE(RIGHT(Q128,4)),VALUE(MID(Q128,4,2)),VALUE(LEFT(Q128,2))),"In force","Ended"))))))</f>
        <v/>
      </c>
      <c r="U128" s="610" t="inlineStr">
        <is>
          <t>State Administration for Market Regulation; Standardization Administration of China</t>
        </is>
      </c>
      <c r="V128" s="610" t="inlineStr">
        <is>
          <t>Polyoxymethylene production installation</t>
        </is>
      </c>
      <c r="W128" s="610" t="inlineStr">
        <is>
          <t>New; existing</t>
        </is>
      </c>
      <c r="X128" s="610"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Y128" s="610" t="inlineStr">
        <is>
          <t>N/A</t>
        </is>
      </c>
      <c r="Z128" s="610" t="inlineStr">
        <is>
          <t>N/A</t>
        </is>
      </c>
      <c r="AA128" s="610" t="inlineStr">
        <is>
          <t>Firms</t>
        </is>
      </c>
      <c r="AB128" s="610" t="inlineStr">
        <is>
          <t>Enterprises operating polyoxymethylene production installations within China.</t>
        </is>
      </c>
      <c r="AC128" s="610" t="inlineStr">
        <is>
          <t>Production</t>
        </is>
      </c>
      <c r="AD128" s="610" t="inlineStr">
        <is>
          <t>Operational activities of polyoxymethylene production installations. Existing firms must meet Grade 3 (minimum) intensity limits; new, expansion and renovation projects must meet Grade 2 (access) intensity limits.</t>
        </is>
      </c>
      <c r="AE128" s="610" t="inlineStr">
        <is>
          <t>3 grades</t>
        </is>
      </c>
      <c r="AF128" s="610" t="inlineStr">
        <is>
          <t>Energy intensity limit grade</t>
        </is>
      </c>
      <c r="AG128"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H128" s="610"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8" s="610" t="inlineStr">
        <is>
          <t>N/A</t>
        </is>
      </c>
      <c r="AJ128" s="610" t="inlineStr">
        <is>
          <t>N/A</t>
        </is>
      </c>
      <c r="AK128" s="610" t="inlineStr">
        <is>
          <t>Inspections or audits conducted by government authorities or third parties; Energy consumption data reporting by firms</t>
        </is>
      </c>
      <c r="AL128" s="610" t="inlineStr">
        <is>
          <t>Market regulatory authorities conduct supervision inspections on polyoxymethylene producers' compliance with energy intensity limit standards; firms must submit annual energy consumption data and undergo energy conservation supervision.</t>
        </is>
      </c>
      <c r="AM128" s="610" t="inlineStr">
        <is>
          <t>Compliance order; Fines; Differentiated electricity pricing; Phase-out and closure</t>
        </is>
      </c>
      <c r="AN128" s="610"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8" s="610"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P128" s="610"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Q128" s="610" t="inlineStr">
        <is>
          <t>N/A</t>
        </is>
      </c>
      <c r="AR128" s="610" t="inlineStr">
        <is>
          <t>N/A</t>
        </is>
      </c>
      <c r="AS128" s="610" t="inlineStr">
        <is>
          <t>C20</t>
        </is>
      </c>
      <c r="AT128" s="610" t="inlineStr">
        <is>
          <t>CO2</t>
        </is>
      </c>
      <c r="AU128" s="610" t="inlineStr">
        <is>
          <t>Positive</t>
        </is>
      </c>
      <c r="AV128" s="610" t="inlineStr">
        <is>
          <t>Energy conservation</t>
        </is>
      </c>
      <c r="AW128" s="610" t="inlineStr">
        <is>
          <t>GB 29438-2012 Norm of Energy Consumption per Unit Production of Polyoxymethylene</t>
        </is>
      </c>
      <c r="AX128" s="610" t="inlineStr">
        <is>
          <t>https://openstd.samr.gov.cn/bzgk/std/newGbInfo?hcno=BBA6E10119D86112C749CD218AFCD1F7</t>
        </is>
      </c>
      <c r="AY128" s="610" t="inlineStr">
        <is>
          <t>N/A</t>
        </is>
      </c>
      <c r="AZ128" s="610" t="inlineStr"/>
    </row>
    <row r="129">
      <c r="A129" s="610" t="inlineStr">
        <is>
          <t>CHNPRFEILI65S000</t>
        </is>
      </c>
      <c r="B129" s="610" t="inlineStr">
        <is>
          <t>Instrument</t>
        </is>
      </c>
      <c r="C129" s="610" t="inlineStr">
        <is>
          <t>Performance standard</t>
        </is>
      </c>
      <c r="D129" s="610" t="inlineStr">
        <is>
          <t>Energy intensity limit for industrial production</t>
        </is>
      </c>
      <c r="E129" s="610" t="inlineStr">
        <is>
          <t>Industry</t>
        </is>
      </c>
      <c r="F129" s="610" t="inlineStr">
        <is>
          <t>Coal mining</t>
        </is>
      </c>
      <c r="G129" s="610" t="inlineStr">
        <is>
          <t>煤炭井工开采单位产品能源消耗限额</t>
        </is>
      </c>
      <c r="H129" s="610" t="inlineStr">
        <is>
          <t>Norm of Energy Consumption per Unit Production of Coal Underground Mining</t>
        </is>
      </c>
      <c r="I129" s="610" t="inlineStr">
        <is>
          <t>N/A</t>
        </is>
      </c>
      <c r="J129" s="610"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29" s="610" t="inlineStr">
        <is>
          <t>Energy efficiency</t>
        </is>
      </c>
      <c r="L129" s="610" t="inlineStr">
        <is>
          <t>Direct</t>
        </is>
      </c>
      <c r="M129" s="610" t="inlineStr">
        <is>
          <t>National</t>
        </is>
      </c>
      <c r="N129" s="610" t="inlineStr">
        <is>
          <t>N/A</t>
        </is>
      </c>
      <c r="O129" s="610" t="inlineStr">
        <is>
          <t>31/12/2012</t>
        </is>
      </c>
      <c r="P129" s="610" t="inlineStr">
        <is>
          <t>01/10/2013</t>
        </is>
      </c>
      <c r="Q129" s="610" t="inlineStr">
        <is>
          <t>N/A</t>
        </is>
      </c>
      <c r="R129" s="610" t="inlineStr">
        <is>
          <t>N/A</t>
        </is>
      </c>
      <c r="S129" s="610" t="inlineStr">
        <is>
          <t>N/A</t>
        </is>
      </c>
      <c r="T129" s="610">
        <f>IF(P129="","In force",IF(P129="N/A","In force",IF(TODAY()&lt;DATE(VALUE(RIGHT(P129,4)),VALUE(MID(P129,4,2)),VALUE(LEFT(P129,2))),"Scheduled",IF(Q129="","In force",IF(Q129="N/A","In force",IF(TODAY()&lt;DATE(VALUE(RIGHT(Q129,4)),VALUE(MID(Q129,4,2)),VALUE(LEFT(Q129,2))),"In force","Ended"))))))</f>
        <v/>
      </c>
      <c r="U129" s="610" t="inlineStr">
        <is>
          <t>State Administration for Market Regulation; Standardization Administration of China</t>
        </is>
      </c>
      <c r="V129" s="610" t="inlineStr">
        <is>
          <t>Coal underground mining operation</t>
        </is>
      </c>
      <c r="W129" s="610" t="inlineStr">
        <is>
          <t>New; existing</t>
        </is>
      </c>
      <c r="X129" s="610"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Y129" s="610" t="inlineStr">
        <is>
          <t>N/A</t>
        </is>
      </c>
      <c r="Z129" s="610" t="inlineStr">
        <is>
          <t>N/A</t>
        </is>
      </c>
      <c r="AA129" s="610" t="inlineStr">
        <is>
          <t>Firms</t>
        </is>
      </c>
      <c r="AB129" s="610" t="inlineStr">
        <is>
          <t>Enterprises operating coal underground mining operations within China.</t>
        </is>
      </c>
      <c r="AC129" s="610" t="inlineStr">
        <is>
          <t>Production</t>
        </is>
      </c>
      <c r="AD129" s="610"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E129" s="610" t="inlineStr">
        <is>
          <t>3 grades</t>
        </is>
      </c>
      <c r="AF129" s="610" t="inlineStr">
        <is>
          <t>Energy intensity limit grade</t>
        </is>
      </c>
      <c r="AG129"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H129" s="610"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I129" s="610" t="inlineStr">
        <is>
          <t>N/A</t>
        </is>
      </c>
      <c r="AJ129" s="610" t="inlineStr">
        <is>
          <t>N/A</t>
        </is>
      </c>
      <c r="AK129" s="610" t="inlineStr">
        <is>
          <t>Inspections or audits conducted by government authorities or third parties; Energy consumption data reporting by firms</t>
        </is>
      </c>
      <c r="AL129" s="610"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M129" s="610" t="inlineStr">
        <is>
          <t>Compliance order; Fines; Differentiated electricity pricing; Phase-out and closure</t>
        </is>
      </c>
      <c r="AN129" s="610"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9" s="610"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P129" s="610"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Q129" s="610" t="inlineStr">
        <is>
          <t>N/A</t>
        </is>
      </c>
      <c r="AR129" s="610" t="inlineStr">
        <is>
          <t>N/A</t>
        </is>
      </c>
      <c r="AS129" s="610" t="inlineStr">
        <is>
          <t>B05</t>
        </is>
      </c>
      <c r="AT129" s="610" t="inlineStr">
        <is>
          <t>CO2</t>
        </is>
      </c>
      <c r="AU129" s="610" t="inlineStr">
        <is>
          <t>Positive</t>
        </is>
      </c>
      <c r="AV129" s="610" t="inlineStr">
        <is>
          <t>Energy conservation</t>
        </is>
      </c>
      <c r="AW129" s="610" t="inlineStr">
        <is>
          <t>GB 29444-2012 Norm of Energy Consumption per Unit Production of Coal Underground Mining</t>
        </is>
      </c>
      <c r="AX129" s="610" t="inlineStr">
        <is>
          <t>https://openstd.samr.gov.cn/bzgk/std/newGbInfo?hcno=F2264FE27AD4688868A72C4DD87F77B0</t>
        </is>
      </c>
      <c r="AY129" s="610" t="inlineStr">
        <is>
          <t>N/A</t>
        </is>
      </c>
      <c r="AZ129" s="610" t="inlineStr"/>
    </row>
    <row r="130">
      <c r="A130" s="610" t="inlineStr">
        <is>
          <t>CHNPRFEILI66S000</t>
        </is>
      </c>
      <c r="B130" s="610" t="inlineStr">
        <is>
          <t>Instrument</t>
        </is>
      </c>
      <c r="C130" s="610" t="inlineStr">
        <is>
          <t>Performance standard</t>
        </is>
      </c>
      <c r="D130" s="610" t="inlineStr">
        <is>
          <t>Energy intensity limit for industrial production</t>
        </is>
      </c>
      <c r="E130" s="610" t="inlineStr">
        <is>
          <t>Industry</t>
        </is>
      </c>
      <c r="F130" s="610" t="inlineStr">
        <is>
          <t>Coal mining</t>
        </is>
      </c>
      <c r="G130" s="610" t="inlineStr">
        <is>
          <t>煤炭露天开采单位产品能源消耗限额</t>
        </is>
      </c>
      <c r="H130" s="610" t="inlineStr">
        <is>
          <t>Norm of Energy Consumption per Unit Production of Coal Surface Mining</t>
        </is>
      </c>
      <c r="I130" s="610" t="inlineStr">
        <is>
          <t>N/A</t>
        </is>
      </c>
      <c r="J130" s="610"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0" s="610" t="inlineStr">
        <is>
          <t>Energy efficiency</t>
        </is>
      </c>
      <c r="L130" s="610" t="inlineStr">
        <is>
          <t>Direct</t>
        </is>
      </c>
      <c r="M130" s="610" t="inlineStr">
        <is>
          <t>National</t>
        </is>
      </c>
      <c r="N130" s="610" t="inlineStr">
        <is>
          <t>N/A</t>
        </is>
      </c>
      <c r="O130" s="610" t="inlineStr">
        <is>
          <t>31/12/2012</t>
        </is>
      </c>
      <c r="P130" s="610" t="inlineStr">
        <is>
          <t>01/10/2013</t>
        </is>
      </c>
      <c r="Q130" s="610" t="inlineStr">
        <is>
          <t>N/A</t>
        </is>
      </c>
      <c r="R130" s="610" t="inlineStr">
        <is>
          <t>N/A</t>
        </is>
      </c>
      <c r="S130" s="610" t="inlineStr">
        <is>
          <t>N/A</t>
        </is>
      </c>
      <c r="T130" s="610">
        <f>IF(P130="","In force",IF(P130="N/A","In force",IF(TODAY()&lt;DATE(VALUE(RIGHT(P130,4)),VALUE(MID(P130,4,2)),VALUE(LEFT(P130,2))),"Scheduled",IF(Q130="","In force",IF(Q130="N/A","In force",IF(TODAY()&lt;DATE(VALUE(RIGHT(Q130,4)),VALUE(MID(Q130,4,2)),VALUE(LEFT(Q130,2))),"In force","Ended"))))))</f>
        <v/>
      </c>
      <c r="U130" s="610" t="inlineStr">
        <is>
          <t>State Administration for Market Regulation; Standardization Administration of China</t>
        </is>
      </c>
      <c r="V130" s="610" t="inlineStr">
        <is>
          <t>Coal surface mining operation</t>
        </is>
      </c>
      <c r="W130" s="610" t="inlineStr">
        <is>
          <t>New; existing</t>
        </is>
      </c>
      <c r="X130" s="610"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Y130" s="610" t="inlineStr">
        <is>
          <t>N/A</t>
        </is>
      </c>
      <c r="Z130" s="610" t="inlineStr">
        <is>
          <t>N/A</t>
        </is>
      </c>
      <c r="AA130" s="610" t="inlineStr">
        <is>
          <t>Firms</t>
        </is>
      </c>
      <c r="AB130" s="610" t="inlineStr">
        <is>
          <t>Enterprises operating coal surface mining operations within China.</t>
        </is>
      </c>
      <c r="AC130" s="610" t="inlineStr">
        <is>
          <t>Production</t>
        </is>
      </c>
      <c r="AD130" s="610"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E130" s="610" t="inlineStr">
        <is>
          <t>3 grades</t>
        </is>
      </c>
      <c r="AF130" s="610" t="inlineStr">
        <is>
          <t>Energy intensity limit grade</t>
        </is>
      </c>
      <c r="AG130"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H130" s="610"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I130" s="610" t="inlineStr">
        <is>
          <t>N/A</t>
        </is>
      </c>
      <c r="AJ130" s="610" t="inlineStr">
        <is>
          <t>N/A</t>
        </is>
      </c>
      <c r="AK130" s="610" t="inlineStr">
        <is>
          <t>Inspections or audits conducted by government authorities or third parties; Energy consumption data reporting by firms</t>
        </is>
      </c>
      <c r="AL130" s="610"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M130" s="610" t="inlineStr">
        <is>
          <t>Compliance order; Fines; Differentiated electricity pricing; Phase-out and closure</t>
        </is>
      </c>
      <c r="AN130" s="610"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30" s="610"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P130" s="610"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Q130" s="610" t="inlineStr">
        <is>
          <t>N/A</t>
        </is>
      </c>
      <c r="AR130" s="610" t="inlineStr">
        <is>
          <t>N/A</t>
        </is>
      </c>
      <c r="AS130" s="610" t="inlineStr">
        <is>
          <t>B05</t>
        </is>
      </c>
      <c r="AT130" s="610" t="inlineStr">
        <is>
          <t>CO2</t>
        </is>
      </c>
      <c r="AU130" s="610" t="inlineStr">
        <is>
          <t>Positive</t>
        </is>
      </c>
      <c r="AV130" s="610" t="inlineStr">
        <is>
          <t>Energy conservation</t>
        </is>
      </c>
      <c r="AW130" s="610" t="inlineStr">
        <is>
          <t>GB 29445-2012 Norm of Energy Consumption per Unit Production of Coal Surface Mining</t>
        </is>
      </c>
      <c r="AX130" s="610" t="inlineStr">
        <is>
          <t>https://openstd.samr.gov.cn/bzgk/std/newGbInfo?hcno=7C2A5E9D8333A6111451DDFEBECF6A64</t>
        </is>
      </c>
      <c r="AY130" s="610" t="inlineStr">
        <is>
          <t>N/A</t>
        </is>
      </c>
      <c r="AZ130" s="610" t="inlineStr"/>
    </row>
    <row r="131">
      <c r="A131" s="610" t="inlineStr">
        <is>
          <t>CHNPRFEILI67S000</t>
        </is>
      </c>
      <c r="B131" s="610" t="inlineStr">
        <is>
          <t>Instrument</t>
        </is>
      </c>
      <c r="C131" s="610" t="inlineStr">
        <is>
          <t>Performance standard</t>
        </is>
      </c>
      <c r="D131" s="610" t="inlineStr">
        <is>
          <t>Energy intensity limit for industrial production</t>
        </is>
      </c>
      <c r="E131" s="610" t="inlineStr">
        <is>
          <t>Industry</t>
        </is>
      </c>
      <c r="F131" s="610" t="inlineStr">
        <is>
          <t>Glass fibre manufacturing</t>
        </is>
      </c>
      <c r="G131" s="610" t="inlineStr">
        <is>
          <t>玻璃纤维单位产品能源消耗限额</t>
        </is>
      </c>
      <c r="H131" s="610" t="inlineStr">
        <is>
          <t>Norm of Energy Consumption per Unit Production of Glass Fiber</t>
        </is>
      </c>
      <c r="I131" s="610" t="inlineStr">
        <is>
          <t>N/A</t>
        </is>
      </c>
      <c r="J131" s="610"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1" s="610" t="inlineStr">
        <is>
          <t>Energy efficiency</t>
        </is>
      </c>
      <c r="L131" s="610" t="inlineStr">
        <is>
          <t>Direct</t>
        </is>
      </c>
      <c r="M131" s="610" t="inlineStr">
        <is>
          <t>National</t>
        </is>
      </c>
      <c r="N131" s="610" t="inlineStr">
        <is>
          <t>N/A</t>
        </is>
      </c>
      <c r="O131" s="610" t="inlineStr">
        <is>
          <t>31/12/2012</t>
        </is>
      </c>
      <c r="P131" s="610" t="inlineStr">
        <is>
          <t>01/10/2013</t>
        </is>
      </c>
      <c r="Q131" s="610" t="inlineStr">
        <is>
          <t>N/A</t>
        </is>
      </c>
      <c r="R131" s="610" t="inlineStr">
        <is>
          <t>N/A</t>
        </is>
      </c>
      <c r="S131" s="610" t="inlineStr">
        <is>
          <t>N/A</t>
        </is>
      </c>
      <c r="T131" s="610">
        <f>IF(P131="","In force",IF(P131="N/A","In force",IF(TODAY()&lt;DATE(VALUE(RIGHT(P131,4)),VALUE(MID(P131,4,2)),VALUE(LEFT(P131,2))),"Scheduled",IF(Q131="","In force",IF(Q131="N/A","In force",IF(TODAY()&lt;DATE(VALUE(RIGHT(Q131,4)),VALUE(MID(Q131,4,2)),VALUE(LEFT(Q131,2))),"In force","Ended"))))))</f>
        <v/>
      </c>
      <c r="U131" s="610" t="inlineStr">
        <is>
          <t>State Administration for Market Regulation; Standardization Administration of China</t>
        </is>
      </c>
      <c r="V131" s="610" t="inlineStr">
        <is>
          <t>Glass fibre production installation</t>
        </is>
      </c>
      <c r="W131" s="610" t="inlineStr">
        <is>
          <t>New; existing</t>
        </is>
      </c>
      <c r="X131" s="610"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Y131" s="610" t="inlineStr">
        <is>
          <t>N/A</t>
        </is>
      </c>
      <c r="Z131" s="610" t="inlineStr">
        <is>
          <t>N/A</t>
        </is>
      </c>
      <c r="AA131" s="610" t="inlineStr">
        <is>
          <t>Firms</t>
        </is>
      </c>
      <c r="AB131" s="610" t="inlineStr">
        <is>
          <t>Enterprises operating glass fibre production installations within China.</t>
        </is>
      </c>
      <c r="AC131" s="610" t="inlineStr">
        <is>
          <t>Production</t>
        </is>
      </c>
      <c r="AD131" s="610" t="inlineStr">
        <is>
          <t>Operational activities of glass fibre production installations. Existing firms must meet Grade 3 (minimum) intensity limits; new, expansion and renovation projects must meet Grade 2 (access) intensity limits.</t>
        </is>
      </c>
      <c r="AE131" s="610" t="inlineStr">
        <is>
          <t>3 grades</t>
        </is>
      </c>
      <c r="AF131" s="610" t="inlineStr">
        <is>
          <t>Energy intensity limit grade</t>
        </is>
      </c>
      <c r="AG131"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H131" s="610"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31" s="610" t="inlineStr">
        <is>
          <t>N/A</t>
        </is>
      </c>
      <c r="AJ131" s="610" t="inlineStr">
        <is>
          <t>N/A</t>
        </is>
      </c>
      <c r="AK131" s="610" t="inlineStr">
        <is>
          <t>Inspections or audits conducted by government authorities or third parties; Energy consumption data reporting by firms</t>
        </is>
      </c>
      <c r="AL131" s="610" t="inlineStr">
        <is>
          <t>Market regulatory authorities conduct supervision inspections on glass fibre producers' compliance with energy intensity limit standards; firms must submit annual energy consumption data and undergo energy conservation supervision.</t>
        </is>
      </c>
      <c r="AM131" s="610" t="inlineStr">
        <is>
          <t>Compliance order; Fines; Differentiated electricity pricing; Phase-out and closure</t>
        </is>
      </c>
      <c r="AN131" s="610"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31" s="610"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P131" s="610"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Q131" s="610" t="inlineStr">
        <is>
          <t>N/A</t>
        </is>
      </c>
      <c r="AR131" s="610" t="inlineStr">
        <is>
          <t>N/A</t>
        </is>
      </c>
      <c r="AS131" s="610" t="inlineStr">
        <is>
          <t>C23</t>
        </is>
      </c>
      <c r="AT131" s="610" t="inlineStr">
        <is>
          <t>CO2</t>
        </is>
      </c>
      <c r="AU131" s="610" t="inlineStr">
        <is>
          <t>Positive</t>
        </is>
      </c>
      <c r="AV131" s="610" t="inlineStr">
        <is>
          <t>Energy conservation</t>
        </is>
      </c>
      <c r="AW131" s="610" t="inlineStr">
        <is>
          <t>GB 29450-2012 Norm of Energy Consumption per Unit Production of Glass Fiber</t>
        </is>
      </c>
      <c r="AX131" s="610" t="inlineStr">
        <is>
          <t>https://openstd.samr.gov.cn/bzgk/std/newGbInfo?hcno=349A9A98C0090B738FD1F541DCBDA5AC</t>
        </is>
      </c>
      <c r="AY131" s="610" t="inlineStr">
        <is>
          <t>N/A</t>
        </is>
      </c>
      <c r="AZ131" s="610" t="inlineStr"/>
    </row>
    <row r="132">
      <c r="A132" s="610" t="inlineStr">
        <is>
          <t>CHNPRFEILI68S000</t>
        </is>
      </c>
      <c r="B132" s="610" t="inlineStr">
        <is>
          <t>Instrument</t>
        </is>
      </c>
      <c r="C132" s="610" t="inlineStr">
        <is>
          <t>Performance standard</t>
        </is>
      </c>
      <c r="D132" s="610" t="inlineStr">
        <is>
          <t>Energy intensity limit for industrial production</t>
        </is>
      </c>
      <c r="E132" s="610" t="inlineStr">
        <is>
          <t>Industry</t>
        </is>
      </c>
      <c r="F132" s="610" t="inlineStr">
        <is>
          <t>Solar photovoltaic</t>
        </is>
      </c>
      <c r="G132" s="610" t="inlineStr">
        <is>
          <t>硅多晶和锗单位产品能源消耗限额</t>
        </is>
      </c>
      <c r="H132" s="610" t="inlineStr">
        <is>
          <t>Norm of Energy Consumption per Unit Products of Polysilicon and Germanium</t>
        </is>
      </c>
      <c r="I132" s="610" t="inlineStr">
        <is>
          <t>N/A</t>
        </is>
      </c>
      <c r="J132" s="610"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2" s="610" t="inlineStr">
        <is>
          <t>Energy efficiency; Industrial development</t>
        </is>
      </c>
      <c r="L132" s="610" t="inlineStr">
        <is>
          <t>Direct</t>
        </is>
      </c>
      <c r="M132" s="610" t="inlineStr">
        <is>
          <t>national</t>
        </is>
      </c>
      <c r="N132" s="610" t="inlineStr">
        <is>
          <t>N/A</t>
        </is>
      </c>
      <c r="O132" s="610" t="inlineStr">
        <is>
          <t>31/12/2012</t>
        </is>
      </c>
      <c r="P132" s="610" t="inlineStr">
        <is>
          <t>01/10/2013</t>
        </is>
      </c>
      <c r="Q132" s="610" t="inlineStr">
        <is>
          <t>N/A</t>
        </is>
      </c>
      <c r="R132" s="610" t="inlineStr">
        <is>
          <t>27/06/2026</t>
        </is>
      </c>
      <c r="S132" s="610"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T132" s="610">
        <f>IF(P132="","In force",IF(P132="N/A","In force",IF(TODAY()&lt;DATE(VALUE(RIGHT(P132,4)),VALUE(MID(P132,4,2)),VALUE(LEFT(P132,2))),"Scheduled",IF(Q132="","In force",IF(Q132="N/A","In force",IF(TODAY()&lt;DATE(VALUE(RIGHT(Q132,4)),VALUE(MID(Q132,4,2)),VALUE(LEFT(Q132,2))),"In force","Ended"))))))</f>
        <v/>
      </c>
      <c r="U132" s="610" t="inlineStr">
        <is>
          <t>State Administration for Market Regulation; Standardization Administration of China</t>
        </is>
      </c>
      <c r="V132" s="610" t="inlineStr">
        <is>
          <t>Polysilicon and germanium production facilities</t>
        </is>
      </c>
      <c r="W132" s="610" t="inlineStr">
        <is>
          <t>new; existing</t>
        </is>
      </c>
      <c r="X132" s="610"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Y132" s="610" t="inlineStr">
        <is>
          <t>N/A</t>
        </is>
      </c>
      <c r="Z132" s="610" t="inlineStr">
        <is>
          <t>N/A</t>
        </is>
      </c>
      <c r="AA132" s="610" t="inlineStr">
        <is>
          <t>Firms</t>
        </is>
      </c>
      <c r="AB132" s="610" t="inlineStr">
        <is>
          <t>Enterprises operating polysilicon (solar-grade) or germanium product production facilities within China.</t>
        </is>
      </c>
      <c r="AC132" s="610" t="inlineStr">
        <is>
          <t>Production</t>
        </is>
      </c>
      <c r="AD132" s="610"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E132" s="610" t="inlineStr">
        <is>
          <t>Grade 3</t>
        </is>
      </c>
      <c r="AF132" s="610" t="inlineStr">
        <is>
          <t>Energy intensity limit grade</t>
        </is>
      </c>
      <c r="AG132" s="610"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H132" s="610"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I132" s="610" t="inlineStr">
        <is>
          <t>N/A</t>
        </is>
      </c>
      <c r="AJ132" s="610" t="inlineStr">
        <is>
          <t>N/A</t>
        </is>
      </c>
      <c r="AK132" s="610" t="inlineStr">
        <is>
          <t>Government inspections; Firm energy consumption data reporting</t>
        </is>
      </c>
      <c r="AL132" s="610"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M132" s="610" t="inlineStr">
        <is>
          <t>Compliance orders; Fines; Differential electricity pricing; Mandatory retirement</t>
        </is>
      </c>
      <c r="AN132" s="610"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O132" s="610" t="inlineStr">
        <is>
          <t>Other incentives or support</t>
        </is>
      </c>
      <c r="AP132" s="610"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Q132" s="610" t="inlineStr">
        <is>
          <t>N/A</t>
        </is>
      </c>
      <c r="AR132" s="610" t="inlineStr">
        <is>
          <t>N/A</t>
        </is>
      </c>
      <c r="AS132" s="610" t="inlineStr">
        <is>
          <t>C20</t>
        </is>
      </c>
      <c r="AT132" s="610" t="inlineStr">
        <is>
          <t>CO2</t>
        </is>
      </c>
      <c r="AU132" s="610" t="inlineStr">
        <is>
          <t>Positive</t>
        </is>
      </c>
      <c r="AV132" s="610" t="inlineStr">
        <is>
          <t>Energy conservation; Pollution control</t>
        </is>
      </c>
      <c r="AW132" s="610" t="inlineStr">
        <is>
          <t>GB 29447-2026 Norm of Energy Consumption per Unit Products of Polysilicon and Germanium</t>
        </is>
      </c>
      <c r="AX132" s="610" t="inlineStr">
        <is>
          <t>https://openstd.samr.gov.cn/bzgk/std/newGbInfo?hcno=840273B02BDE1AD43E3CE1E707F3D386</t>
        </is>
      </c>
      <c r="AY132" s="610" t="inlineStr">
        <is>
          <t>N/A</t>
        </is>
      </c>
      <c r="AZ132" s="610" t="inlineStr"/>
    </row>
    <row r="133">
      <c r="A133" s="610" t="inlineStr">
        <is>
          <t>CHNPRFEILI69S000</t>
        </is>
      </c>
      <c r="B133" s="610" t="inlineStr">
        <is>
          <t>Instrument</t>
        </is>
      </c>
      <c r="C133" s="610" t="inlineStr">
        <is>
          <t>Performance standard</t>
        </is>
      </c>
      <c r="D133" s="610" t="inlineStr">
        <is>
          <t>Energy intensity limit for industrial production</t>
        </is>
      </c>
      <c r="E133" s="610" t="inlineStr">
        <is>
          <t>Industry</t>
        </is>
      </c>
      <c r="F133" s="610" t="inlineStr">
        <is>
          <t>Solar photovoltaic</t>
        </is>
      </c>
      <c r="G133" s="610" t="inlineStr">
        <is>
          <t>硅单晶单位产品能源消耗限额</t>
        </is>
      </c>
      <c r="H133" s="610" t="inlineStr">
        <is>
          <t>Norm of Energy Consumption per Unit Products of Monocrystalline Silicon</t>
        </is>
      </c>
      <c r="I133" s="610" t="inlineStr">
        <is>
          <t>N/A</t>
        </is>
      </c>
      <c r="J133" s="610"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3" s="610" t="inlineStr">
        <is>
          <t>Energy efficiency</t>
        </is>
      </c>
      <c r="L133" s="610" t="inlineStr">
        <is>
          <t>Direct</t>
        </is>
      </c>
      <c r="M133" s="610" t="inlineStr">
        <is>
          <t>national</t>
        </is>
      </c>
      <c r="N133" s="610" t="inlineStr">
        <is>
          <t>N/A</t>
        </is>
      </c>
      <c r="O133" s="610" t="inlineStr">
        <is>
          <t>27/06/2026</t>
        </is>
      </c>
      <c r="P133" s="610" t="inlineStr">
        <is>
          <t>01/01/2027</t>
        </is>
      </c>
      <c r="Q133" s="610" t="inlineStr">
        <is>
          <t>N/A</t>
        </is>
      </c>
      <c r="R133" s="610" t="inlineStr">
        <is>
          <t>N/A</t>
        </is>
      </c>
      <c r="S133" s="610" t="inlineStr">
        <is>
          <t>N/A</t>
        </is>
      </c>
      <c r="T133" s="610">
        <f>IF(P133="","In force",IF(P133="N/A","In force",IF(TODAY()&lt;DATE(VALUE(RIGHT(P133,4)),VALUE(MID(P133,4,2)),VALUE(LEFT(P133,2))),"Scheduled",IF(Q133="","In force",IF(Q133="N/A","In force",IF(TODAY()&lt;DATE(VALUE(RIGHT(Q133,4)),VALUE(MID(Q133,4,2)),VALUE(LEFT(Q133,2))),"In force","Ended"))))))</f>
        <v/>
      </c>
      <c r="U133" s="610" t="inlineStr">
        <is>
          <t>State Administration for Market Regulation; Standardization Administration of China</t>
        </is>
      </c>
      <c r="V133" s="610" t="inlineStr">
        <is>
          <t>Monocrystalline silicon production facilities</t>
        </is>
      </c>
      <c r="W133" s="610" t="inlineStr">
        <is>
          <t>new; existing</t>
        </is>
      </c>
      <c r="X133" s="610"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Y133" s="610" t="inlineStr">
        <is>
          <t>N/A</t>
        </is>
      </c>
      <c r="Z133" s="610" t="inlineStr">
        <is>
          <t>N/A</t>
        </is>
      </c>
      <c r="AA133" s="610" t="inlineStr">
        <is>
          <t>Firms</t>
        </is>
      </c>
      <c r="AB133" s="610" t="inlineStr">
        <is>
          <t>Enterprises operating monocrystalline silicon (solar-grade) ingot pulling and wafer slicing production facilities within China.</t>
        </is>
      </c>
      <c r="AC133" s="610" t="inlineStr">
        <is>
          <t>Production</t>
        </is>
      </c>
      <c r="AD133" s="610"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E133" s="610" t="inlineStr">
        <is>
          <t>Grade 3</t>
        </is>
      </c>
      <c r="AF133" s="610" t="inlineStr">
        <is>
          <t>Energy intensity limit grade</t>
        </is>
      </c>
      <c r="AG133" s="610"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H133" s="610"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I133" s="610" t="inlineStr">
        <is>
          <t>N/A</t>
        </is>
      </c>
      <c r="AJ133" s="610" t="inlineStr">
        <is>
          <t>N/A</t>
        </is>
      </c>
      <c r="AK133" s="610" t="inlineStr">
        <is>
          <t>Government inspections; Firm energy consumption data reporting</t>
        </is>
      </c>
      <c r="AL133" s="610"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M133" s="610" t="inlineStr">
        <is>
          <t>Compliance orders; Fines; Differential electricity pricing; Mandatory retirement</t>
        </is>
      </c>
      <c r="AN133" s="610"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O133" s="610" t="inlineStr">
        <is>
          <t>Other incentives or support</t>
        </is>
      </c>
      <c r="AP133" s="610"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Q133" s="610" t="inlineStr">
        <is>
          <t>N/A</t>
        </is>
      </c>
      <c r="AR133" s="610" t="inlineStr">
        <is>
          <t>N/A</t>
        </is>
      </c>
      <c r="AS133" s="610" t="inlineStr">
        <is>
          <t>C27</t>
        </is>
      </c>
      <c r="AT133" s="610" t="inlineStr">
        <is>
          <t>CO2</t>
        </is>
      </c>
      <c r="AU133" s="610" t="inlineStr">
        <is>
          <t>Positive</t>
        </is>
      </c>
      <c r="AV133" s="610" t="inlineStr">
        <is>
          <t>Energy conservation; Pollution control</t>
        </is>
      </c>
      <c r="AW133" s="610" t="inlineStr">
        <is>
          <t>GB 47835-2026 Norm of Energy Consumption per Unit Products of Monocrystalline Silicon</t>
        </is>
      </c>
      <c r="AX133" s="610" t="inlineStr">
        <is>
          <t>https://openstd.samr.gov.cn/bzgk/std/newGbInfo?hcno=A2E81D5AC2AF63D51C603E31C61DE7C5</t>
        </is>
      </c>
      <c r="AY133" s="610" t="inlineStr">
        <is>
          <t>N/A</t>
        </is>
      </c>
      <c r="AZ133" s="610" t="inlineStr"/>
    </row>
    <row r="134">
      <c r="A134" s="610" t="inlineStr">
        <is>
          <t>CHNPRFMITI01S000</t>
        </is>
      </c>
      <c r="B134" s="610" t="inlineStr">
        <is>
          <t>Instrument</t>
        </is>
      </c>
      <c r="C134" s="610" t="inlineStr">
        <is>
          <t>Performance standard</t>
        </is>
      </c>
      <c r="D134" s="610" t="inlineStr">
        <is>
          <t>Minimum Energy Performance Standards (MEPS) for industrial thermal equipment</t>
        </is>
      </c>
      <c r="E134" s="610" t="inlineStr">
        <is>
          <t>Industry</t>
        </is>
      </c>
      <c r="F134" s="610" t="inlineStr">
        <is>
          <t>Industrial heat supply</t>
        </is>
      </c>
      <c r="G134" s="610" t="inlineStr">
        <is>
          <t>工业锅炉能效限定值及能效等级</t>
        </is>
      </c>
      <c r="H134" s="610" t="inlineStr">
        <is>
          <t>Minimum Allowable Values of Energy Efficiency and Energy Efficiency Grades of Industrial Boilers</t>
        </is>
      </c>
      <c r="I134" s="610" t="inlineStr">
        <is>
          <t>N/A</t>
        </is>
      </c>
      <c r="J134" s="610"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4" s="610" t="inlineStr">
        <is>
          <t>Energy efficiency</t>
        </is>
      </c>
      <c r="L134" s="610" t="inlineStr">
        <is>
          <t>Direct</t>
        </is>
      </c>
      <c r="M134" s="610" t="inlineStr">
        <is>
          <t>national</t>
        </is>
      </c>
      <c r="N134" s="610" t="inlineStr">
        <is>
          <t>N/A</t>
        </is>
      </c>
      <c r="O134" s="610" t="inlineStr">
        <is>
          <t>01/06/2009</t>
        </is>
      </c>
      <c r="P134" s="610" t="inlineStr">
        <is>
          <t>01/01/2010</t>
        </is>
      </c>
      <c r="Q134" s="610" t="inlineStr">
        <is>
          <t>N/A</t>
        </is>
      </c>
      <c r="R134" s="610" t="inlineStr">
        <is>
          <t>29/05/2020</t>
        </is>
      </c>
      <c r="S134" s="610" t="inlineStr">
        <is>
          <t>On 29 May 2020, GB 24500-2020 was published, replacing GB 24500-2009, raising energy efficiency values across all grades and expanding fuel and heat source type coverage.</t>
        </is>
      </c>
      <c r="T134" s="610">
        <f>IF(P134="","In force",IF(P134="N/A","In force",IF(TODAY()&lt;DATE(VALUE(RIGHT(P134,4)),VALUE(MID(P134,4,2)),VALUE(LEFT(P134,2))),"Scheduled",IF(Q134="","In force",IF(Q134="N/A","In force",IF(TODAY()&lt;DATE(VALUE(RIGHT(Q134,4)),VALUE(MID(Q134,4,2)),VALUE(LEFT(Q134,2))),"In force","Ended"))))))</f>
        <v/>
      </c>
      <c r="U134" s="610" t="inlineStr">
        <is>
          <t>State Administration for Market Regulation; Standardization Administration of China</t>
        </is>
      </c>
      <c r="V134" s="610" t="inlineStr">
        <is>
          <t>Industrial boilers</t>
        </is>
      </c>
      <c r="W134" s="610" t="inlineStr">
        <is>
          <t>new</t>
        </is>
      </c>
      <c r="X134" s="610"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Y134" s="610" t="inlineStr">
        <is>
          <t>N/A</t>
        </is>
      </c>
      <c r="Z134" s="610" t="inlineStr">
        <is>
          <t>N/A</t>
        </is>
      </c>
      <c r="AA134" s="610" t="inlineStr">
        <is>
          <t>Firms</t>
        </is>
      </c>
      <c r="AB134" s="610" t="inlineStr">
        <is>
          <t>Manufacturers and importers producing, importing or selling industrial boilers within China.</t>
        </is>
      </c>
      <c r="AC134" s="610" t="inlineStr">
        <is>
          <t>Production; Sale; Import</t>
        </is>
      </c>
      <c r="AD134" s="610" t="inlineStr">
        <is>
          <t>Production, import and sale of industrial boilers. Products must meet the standard's minimum allowable energy efficiency values (Grade 3) before they can enter the market.</t>
        </is>
      </c>
      <c r="AE134" s="610" t="inlineStr">
        <is>
          <t>Grade 3</t>
        </is>
      </c>
      <c r="AF134" s="610" t="inlineStr">
        <is>
          <t>Energy efficiency grade</t>
        </is>
      </c>
      <c r="AG134" s="610"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H134" s="610"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4" s="610" t="inlineStr">
        <is>
          <t>N/A</t>
        </is>
      </c>
      <c r="AJ134" s="610" t="inlineStr">
        <is>
          <t>N/A</t>
        </is>
      </c>
      <c r="AK134" s="610" t="inlineStr">
        <is>
          <t>Inspections or audits conducted by government authorities or third parties</t>
        </is>
      </c>
      <c r="AL134" s="610" t="inlineStr">
        <is>
          <t>Market regulatory authorities conduct energy efficiency label supervision inspections and product quality supervision spot checks on industrial boiler products.</t>
        </is>
      </c>
      <c r="AM134" s="610" t="inlineStr">
        <is>
          <t>Compliance requirements; Testing</t>
        </is>
      </c>
      <c r="AN134" s="610"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4" s="610"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P134" s="610"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Q134" s="610" t="inlineStr">
        <is>
          <t>N/A</t>
        </is>
      </c>
      <c r="AR134" s="610" t="inlineStr">
        <is>
          <t>N/A</t>
        </is>
      </c>
      <c r="AS134" s="610" t="inlineStr">
        <is>
          <t>C25; C27</t>
        </is>
      </c>
      <c r="AT134" s="610" t="inlineStr">
        <is>
          <t>CO2</t>
        </is>
      </c>
      <c r="AU134" s="610" t="inlineStr">
        <is>
          <t>Positive</t>
        </is>
      </c>
      <c r="AV134" s="610" t="inlineStr">
        <is>
          <t>Energy conservation; Industrial development</t>
        </is>
      </c>
      <c r="AW134" s="610" t="inlineStr">
        <is>
          <t>GB 24500-2020 Minimum Allowable Values of Energy Efficiency and Energy Efficiency Grades of Industrial Boilers</t>
        </is>
      </c>
      <c r="AX134" s="610" t="inlineStr">
        <is>
          <t>https://openstd.samr.gov.cn/bzgk/std/newGbInfo?hcno=B31C8D212ACEEC023E752DF6260B63B7</t>
        </is>
      </c>
      <c r="AY134" s="610" t="inlineStr">
        <is>
          <t>GB 24500-2009 (superseded): https://openstd.samr.gov.cn/bzgk/std/newGbInfo?hcno=B9C0C088E809479E048045355B04A62A</t>
        </is>
      </c>
      <c r="AZ134" s="610" t="inlineStr"/>
    </row>
    <row r="135">
      <c r="A135" s="610" t="inlineStr">
        <is>
          <t>CHNPRFMITI02S000</t>
        </is>
      </c>
      <c r="B135" s="610" t="inlineStr">
        <is>
          <t>Instrument</t>
        </is>
      </c>
      <c r="C135" s="610" t="inlineStr">
        <is>
          <t>Performance standard</t>
        </is>
      </c>
      <c r="D135" s="610" t="inlineStr">
        <is>
          <t>Minimum Energy Performance Standards (MEPS) for industrial thermal equipment</t>
        </is>
      </c>
      <c r="E135" s="610" t="inlineStr">
        <is>
          <t>Industry</t>
        </is>
      </c>
      <c r="F135" s="610" t="inlineStr">
        <is>
          <t>Iron and steel rolling heating process</t>
        </is>
      </c>
      <c r="G135" s="610" t="inlineStr">
        <is>
          <t>蓄热式轧钢加热炉能效限定值及能效等级</t>
        </is>
      </c>
      <c r="H135" s="610" t="inlineStr">
        <is>
          <t>Minimum Allowable Values of Energy Efficiency and Energy Efficiency Grades of Regenerative Rolling Reheating Furnaces</t>
        </is>
      </c>
      <c r="I135" s="610" t="inlineStr">
        <is>
          <t>N/A</t>
        </is>
      </c>
      <c r="J135" s="610"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5" s="610" t="inlineStr">
        <is>
          <t>Energy efficiency</t>
        </is>
      </c>
      <c r="L135" s="610" t="inlineStr">
        <is>
          <t>Direct</t>
        </is>
      </c>
      <c r="M135" s="610" t="inlineStr">
        <is>
          <t>national</t>
        </is>
      </c>
      <c r="N135" s="610" t="inlineStr">
        <is>
          <t>N/A</t>
        </is>
      </c>
      <c r="O135" s="610" t="inlineStr">
        <is>
          <t>31/12/2019</t>
        </is>
      </c>
      <c r="P135" s="610" t="inlineStr">
        <is>
          <t>01/07/2020</t>
        </is>
      </c>
      <c r="Q135" s="610" t="inlineStr">
        <is>
          <t>N/A</t>
        </is>
      </c>
      <c r="R135" s="610" t="inlineStr">
        <is>
          <t>N/A</t>
        </is>
      </c>
      <c r="S135" s="610" t="inlineStr">
        <is>
          <t>N/A</t>
        </is>
      </c>
      <c r="T135" s="610">
        <f>IF(P135="","In force",IF(P135="N/A","In force",IF(TODAY()&lt;DATE(VALUE(RIGHT(P135,4)),VALUE(MID(P135,4,2)),VALUE(LEFT(P135,2))),"Scheduled",IF(Q135="","In force",IF(Q135="N/A","In force",IF(TODAY()&lt;DATE(VALUE(RIGHT(Q135,4)),VALUE(MID(Q135,4,2)),VALUE(LEFT(Q135,2))),"In force","Ended"))))))</f>
        <v/>
      </c>
      <c r="U135" s="610" t="inlineStr">
        <is>
          <t>State Administration for Market Regulation; Standardization Administration of China</t>
        </is>
      </c>
      <c r="V135" s="610" t="inlineStr">
        <is>
          <t>Regenerative rolling reheating furnaces</t>
        </is>
      </c>
      <c r="W135" s="610" t="inlineStr">
        <is>
          <t>new</t>
        </is>
      </c>
      <c r="X135" s="610" t="inlineStr">
        <is>
          <t>Continuously operated regenerative rolling reheating furnaces using blast furnace gas or mixed gas as fuel, including pusher-type furnaces, walking-beam furnaces and rotary-hearth furnaces.</t>
        </is>
      </c>
      <c r="Y135" s="610" t="inlineStr">
        <is>
          <t>N/A</t>
        </is>
      </c>
      <c r="Z135" s="610" t="inlineStr">
        <is>
          <t>N/A</t>
        </is>
      </c>
      <c r="AA135" s="610" t="inlineStr">
        <is>
          <t>Firms</t>
        </is>
      </c>
      <c r="AB135" s="610" t="inlineStr">
        <is>
          <t>Manufacturers and importers producing, importing or selling regenerative rolling reheating furnaces within China.</t>
        </is>
      </c>
      <c r="AC135" s="610" t="inlineStr">
        <is>
          <t>Production; Sale; Import</t>
        </is>
      </c>
      <c r="AD135" s="610" t="inlineStr">
        <is>
          <t>Production, import and sale of regenerative rolling reheating furnaces. Products must meet the standard's minimum allowable energy efficiency values (Grade 3) before they can enter the market.</t>
        </is>
      </c>
      <c r="AE135" s="610" t="inlineStr">
        <is>
          <t>Grade 3</t>
        </is>
      </c>
      <c r="AF135" s="610" t="inlineStr">
        <is>
          <t>Energy efficiency grade</t>
        </is>
      </c>
      <c r="AG135" s="610"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H135" s="610"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5" s="610" t="inlineStr">
        <is>
          <t>N/A</t>
        </is>
      </c>
      <c r="AJ135" s="610" t="inlineStr">
        <is>
          <t>N/A</t>
        </is>
      </c>
      <c r="AK135" s="610" t="inlineStr">
        <is>
          <t>Inspections or audits conducted by government authorities or third parties</t>
        </is>
      </c>
      <c r="AL135" s="610" t="inlineStr">
        <is>
          <t>Market regulatory authorities conduct energy efficiency label supervision inspections and product quality supervision spot checks on regenerative rolling reheating furnace products.</t>
        </is>
      </c>
      <c r="AM135" s="610" t="inlineStr">
        <is>
          <t>Compliance requirements; Testing</t>
        </is>
      </c>
      <c r="AN135" s="610"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5" s="610"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P135" s="610"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Q135" s="610" t="inlineStr">
        <is>
          <t>N/A</t>
        </is>
      </c>
      <c r="AR135" s="610" t="inlineStr">
        <is>
          <t>N/A</t>
        </is>
      </c>
      <c r="AS135" s="610" t="inlineStr">
        <is>
          <t>C24</t>
        </is>
      </c>
      <c r="AT135" s="610" t="inlineStr">
        <is>
          <t>CO2</t>
        </is>
      </c>
      <c r="AU135" s="610" t="inlineStr">
        <is>
          <t>Positive</t>
        </is>
      </c>
      <c r="AV135" s="610" t="inlineStr">
        <is>
          <t>Energy conservation; Industrial development</t>
        </is>
      </c>
      <c r="AW135" s="610" t="inlineStr">
        <is>
          <t>GB 38449-2019 Minimum Allowable Values of Energy Efficiency and Energy Efficiency Grades of Regenerative Rolling Reheating Furnaces</t>
        </is>
      </c>
      <c r="AX135" s="610" t="inlineStr">
        <is>
          <t>https://openstd.samr.gov.cn/bzgk/std/newGbInfo?hcno=1915535B628A6A85B423EAFAE46ECBF8</t>
        </is>
      </c>
      <c r="AY135" s="610" t="inlineStr">
        <is>
          <t>N/A</t>
        </is>
      </c>
      <c r="AZ135" s="610" t="inlineStr"/>
    </row>
    <row r="136">
      <c r="A136" s="610" t="inlineStr">
        <is>
          <t>CHNPRFMITI03S000</t>
        </is>
      </c>
      <c r="B136" s="610" t="inlineStr">
        <is>
          <t>Instrument</t>
        </is>
      </c>
      <c r="C136" s="610" t="inlineStr">
        <is>
          <t>Performance standard</t>
        </is>
      </c>
      <c r="D136" s="610" t="inlineStr">
        <is>
          <t>Minimum Energy Performance Standards (MEPS) for industrial thermal equipment</t>
        </is>
      </c>
      <c r="E136" s="610" t="inlineStr">
        <is>
          <t>Industry</t>
        </is>
      </c>
      <c r="F136" s="610" t="inlineStr">
        <is>
          <t>Petroleum industry heating</t>
        </is>
      </c>
      <c r="G136" s="610" t="inlineStr">
        <is>
          <t>石油工业用加热炉能效限定值及能效等级</t>
        </is>
      </c>
      <c r="H136" s="610" t="inlineStr">
        <is>
          <t>Minimum Allowable Values of Energy Efficiency and Energy Efficiency Grades for Heaters of the Petroleum Industry</t>
        </is>
      </c>
      <c r="I136" s="610" t="inlineStr">
        <is>
          <t>N/A</t>
        </is>
      </c>
      <c r="J136" s="610"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6" s="610" t="inlineStr">
        <is>
          <t>Energy efficiency</t>
        </is>
      </c>
      <c r="L136" s="610" t="inlineStr">
        <is>
          <t>Direct</t>
        </is>
      </c>
      <c r="M136" s="610" t="inlineStr">
        <is>
          <t>national</t>
        </is>
      </c>
      <c r="N136" s="610" t="inlineStr">
        <is>
          <t>N/A</t>
        </is>
      </c>
      <c r="O136" s="610" t="inlineStr">
        <is>
          <t>30/06/2010</t>
        </is>
      </c>
      <c r="P136" s="610" t="inlineStr">
        <is>
          <t>01/12/2010</t>
        </is>
      </c>
      <c r="Q136" s="610" t="inlineStr">
        <is>
          <t>N/A</t>
        </is>
      </c>
      <c r="R136" s="610" t="inlineStr">
        <is>
          <t>N/A</t>
        </is>
      </c>
      <c r="S136" s="610" t="inlineStr">
        <is>
          <t>N/A</t>
        </is>
      </c>
      <c r="T136" s="610">
        <f>IF(P136="","In force",IF(P136="N/A","In force",IF(TODAY()&lt;DATE(VALUE(RIGHT(P136,4)),VALUE(MID(P136,4,2)),VALUE(LEFT(P136,2))),"Scheduled",IF(Q136="","In force",IF(Q136="N/A","In force",IF(TODAY()&lt;DATE(VALUE(RIGHT(Q136,4)),VALUE(MID(Q136,4,2)),VALUE(LEFT(Q136,2))),"In force","Ended"))))))</f>
        <v/>
      </c>
      <c r="U136" s="610" t="inlineStr">
        <is>
          <t>State Administration for Market Regulation; Standardization Administration of China</t>
        </is>
      </c>
      <c r="V136" s="610" t="inlineStr">
        <is>
          <t>Heaters of the petroleum industry</t>
        </is>
      </c>
      <c r="W136" s="610" t="inlineStr">
        <is>
          <t>new</t>
        </is>
      </c>
      <c r="X136" s="610" t="inlineStr">
        <is>
          <t>Heaters used in onshore oil and gas fields and long-distance pipelines at altitudes up to 3,500 m, using gas or liquid (oil) energy as fuel with a rated heat load in the range of 40 kW to 12,000 kW. Excludes heaters using solid energy as fuel.</t>
        </is>
      </c>
      <c r="Y136" s="610" t="inlineStr">
        <is>
          <t>N/A</t>
        </is>
      </c>
      <c r="Z136" s="610" t="inlineStr">
        <is>
          <t>N/A</t>
        </is>
      </c>
      <c r="AA136" s="610" t="inlineStr">
        <is>
          <t>Firms</t>
        </is>
      </c>
      <c r="AB136" s="610" t="inlineStr">
        <is>
          <t>Manufacturers and importers producing, importing or selling petroleum industry heaters within China.</t>
        </is>
      </c>
      <c r="AC136" s="610" t="inlineStr">
        <is>
          <t>Production; Sale; Import</t>
        </is>
      </c>
      <c r="AD136" s="610" t="inlineStr">
        <is>
          <t>Production, import and sale of petroleum industry heaters. Products must meet the standard's minimum allowable energy efficiency values (Grade 3) before they can enter the market.</t>
        </is>
      </c>
      <c r="AE136" s="610" t="inlineStr">
        <is>
          <t>Grade 3</t>
        </is>
      </c>
      <c r="AF136" s="610" t="inlineStr">
        <is>
          <t>Energy efficiency grade</t>
        </is>
      </c>
      <c r="AG136" s="610"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H136" s="610"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6" s="610" t="inlineStr">
        <is>
          <t>N/A</t>
        </is>
      </c>
      <c r="AJ136" s="610" t="inlineStr">
        <is>
          <t>N/A</t>
        </is>
      </c>
      <c r="AK136" s="610" t="inlineStr">
        <is>
          <t>Inspections or audits conducted by government authorities or third parties</t>
        </is>
      </c>
      <c r="AL136" s="610" t="inlineStr">
        <is>
          <t>Market regulatory authorities conduct energy efficiency label supervision inspections and product quality supervision spot checks on petroleum industry heater products.</t>
        </is>
      </c>
      <c r="AM136" s="610" t="inlineStr">
        <is>
          <t>Compliance requirements; Testing</t>
        </is>
      </c>
      <c r="AN136" s="610"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6" s="610"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P136" s="610"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Q136" s="610" t="inlineStr">
        <is>
          <t>N/A</t>
        </is>
      </c>
      <c r="AR136" s="610" t="inlineStr">
        <is>
          <t>N/A</t>
        </is>
      </c>
      <c r="AS136" s="610" t="inlineStr">
        <is>
          <t>B06; C19</t>
        </is>
      </c>
      <c r="AT136" s="610" t="inlineStr">
        <is>
          <t>CO2</t>
        </is>
      </c>
      <c r="AU136" s="610" t="inlineStr">
        <is>
          <t>Positive</t>
        </is>
      </c>
      <c r="AV136" s="610" t="inlineStr">
        <is>
          <t>Energy conservation; Industrial development</t>
        </is>
      </c>
      <c r="AW136" s="610" t="inlineStr">
        <is>
          <t>GB 24848-2010 Minimum Allowable Values of Energy Efficiency and Energy Efficiency Grades for Heaters of the Petroleum Industry</t>
        </is>
      </c>
      <c r="AX136" s="610" t="inlineStr">
        <is>
          <t>https://openstd.samr.gov.cn/bzgk/std/newGbInfo?hcno=D5CF87EDA655CE977D8CAAAE2CEA0A8E</t>
        </is>
      </c>
      <c r="AY136" s="610" t="inlineStr">
        <is>
          <t>N/A</t>
        </is>
      </c>
      <c r="AZ136" s="610" t="inlineStr"/>
    </row>
    <row r="137">
      <c r="A137" s="610" t="inlineStr">
        <is>
          <t>CHNPRFMEBI01S000</t>
        </is>
      </c>
      <c r="B137" s="610" t="inlineStr">
        <is>
          <t>Instrument</t>
        </is>
      </c>
      <c r="C137" s="610" t="inlineStr">
        <is>
          <t>Performance standard</t>
        </is>
      </c>
      <c r="D137" s="610" t="inlineStr">
        <is>
          <t>Minimum Energy Performance Standards (MEPS) for buildings</t>
        </is>
      </c>
      <c r="E137" s="610" t="inlineStr">
        <is>
          <t>Buildings</t>
        </is>
      </c>
      <c r="F137" s="610" t="inlineStr">
        <is>
          <t>New construction; Existing building renovation; Renewable energy building applications</t>
        </is>
      </c>
      <c r="G137" s="610" t="inlineStr">
        <is>
          <t>建筑节能与可再生能源利用通用规范</t>
        </is>
      </c>
      <c r="H137" s="610" t="inlineStr">
        <is>
          <t>General Code for Energy Efficiency and Renewable Energy Application in Buildings</t>
        </is>
      </c>
      <c r="I137" s="610" t="inlineStr">
        <is>
          <t>N/A</t>
        </is>
      </c>
      <c r="J137" s="610"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7" s="610" t="inlineStr">
        <is>
          <t>Energy efficiency</t>
        </is>
      </c>
      <c r="L137" s="610" t="inlineStr">
        <is>
          <t>Direct</t>
        </is>
      </c>
      <c r="M137" s="610" t="inlineStr">
        <is>
          <t>national</t>
        </is>
      </c>
      <c r="N137" s="610" t="inlineStr">
        <is>
          <t>N/A</t>
        </is>
      </c>
      <c r="O137" s="610" t="inlineStr">
        <is>
          <t>08/09/2021</t>
        </is>
      </c>
      <c r="P137" s="610" t="inlineStr">
        <is>
          <t>01/04/2022</t>
        </is>
      </c>
      <c r="Q137" s="610" t="inlineStr">
        <is>
          <t>N/A</t>
        </is>
      </c>
      <c r="R137" s="610" t="inlineStr">
        <is>
          <t>N/A</t>
        </is>
      </c>
      <c r="S137" s="610" t="inlineStr">
        <is>
          <t>N/A</t>
        </is>
      </c>
      <c r="T137" s="610">
        <f>IF(P137="","In force",IF(P137="N/A","In force",IF(TODAY()&lt;DATE(VALUE(RIGHT(P137,4)),VALUE(MID(P137,4,2)),VALUE(LEFT(P137,2))),"Scheduled",IF(Q137="","In force",IF(Q137="N/A","In force",IF(TODAY()&lt;DATE(VALUE(RIGHT(Q137,4)),VALUE(MID(Q137,4,2)),VALUE(LEFT(Q137,2))),"In force","Ended"))))))</f>
        <v/>
      </c>
      <c r="U137" s="610" t="inlineStr">
        <is>
          <t>Ministry of Housing and Urban-Rural Development; State Administration for Market Regulation; Standardization Administration of China</t>
        </is>
      </c>
      <c r="V137" s="610" t="inlineStr">
        <is>
          <t>New, expanded and renovated civil and industrial buildings</t>
        </is>
      </c>
      <c r="W137" s="610" t="inlineStr">
        <is>
          <t>new; existing</t>
        </is>
      </c>
      <c r="X137" s="610"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Y137" s="610" t="inlineStr">
        <is>
          <t>N/A</t>
        </is>
      </c>
      <c r="Z137" s="610" t="inlineStr">
        <is>
          <t>N/A</t>
        </is>
      </c>
      <c r="AA137" s="610" t="inlineStr">
        <is>
          <t>Firms; Governments</t>
        </is>
      </c>
      <c r="AB137" s="610" t="inlineStr">
        <is>
          <t>Building developers (construction entities), design institutes, construction contractors, project supervisors, construction drawing review agencies, and building owners (including government owners of public institution buildings).</t>
        </is>
      </c>
      <c r="AC137" s="610" t="inlineStr">
        <is>
          <t>New construction; Renovation; Expansion; Operation</t>
        </is>
      </c>
      <c r="AD137" s="610"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E137" s="610" t="inlineStr">
        <is>
          <t>N/A</t>
        </is>
      </c>
      <c r="AF137" s="610" t="inlineStr">
        <is>
          <t>N/A</t>
        </is>
      </c>
      <c r="AG137" s="610"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H137" s="610"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I137" s="610" t="inlineStr">
        <is>
          <t>N/A</t>
        </is>
      </c>
      <c r="AJ137" s="610" t="inlineStr">
        <is>
          <t>N/A</t>
        </is>
      </c>
      <c r="AK137" s="610" t="inlineStr">
        <is>
          <t>Inspections or audits conducted by government authorities or third parties</t>
        </is>
      </c>
      <c r="AL137" s="610"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M137" s="610" t="inlineStr">
        <is>
          <t>Compliance order; Monetary penalties</t>
        </is>
      </c>
      <c r="AN137" s="610"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O137" s="610"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P137" s="610"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Q137" s="610"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R137" s="610" t="inlineStr">
        <is>
          <t>22.1% (Source: ibid.; share of national energy-related CO₂ emissions; this mandatory construction code covers all newly constructed and renovated civil and industrial buildings)</t>
        </is>
      </c>
      <c r="AS137" s="610" t="inlineStr">
        <is>
          <t>F41; F42; F43; M71; M72</t>
        </is>
      </c>
      <c r="AT137" s="610" t="inlineStr">
        <is>
          <t>CO2</t>
        </is>
      </c>
      <c r="AU137" s="610" t="inlineStr">
        <is>
          <t>Positive</t>
        </is>
      </c>
      <c r="AV137" s="610" t="inlineStr">
        <is>
          <t>Energy conservation; Renewable energy development</t>
        </is>
      </c>
      <c r="AW137" s="610" t="inlineStr">
        <is>
          <t>GB 55015-2021 General Code for Energy Efficiency and Renewable Energy Application in Buildings</t>
        </is>
      </c>
      <c r="AX137" s="610" t="inlineStr">
        <is>
          <t>https://www.mohurd.gov.cn/gongkai/zc/wjk/art/2021/art_17339_762460.html</t>
        </is>
      </c>
      <c r="AY137" s="610" t="inlineStr">
        <is>
          <t>N/A</t>
        </is>
      </c>
      <c r="AZ137" s="610" t="inlineStr"/>
    </row>
    <row r="138">
      <c r="A138" s="610" t="inlineStr">
        <is>
          <t>CHNPRFMEBI02S000</t>
        </is>
      </c>
      <c r="B138" s="610" t="inlineStr">
        <is>
          <t>Instrument</t>
        </is>
      </c>
      <c r="C138" s="610" t="inlineStr">
        <is>
          <t>Performance standard</t>
        </is>
      </c>
      <c r="D138" s="610" t="inlineStr">
        <is>
          <t>Minimum Energy Performance Standards (MEPS) for buildings</t>
        </is>
      </c>
      <c r="E138" s="610" t="inlineStr">
        <is>
          <t>Buildings</t>
        </is>
      </c>
      <c r="F138" s="610" t="inlineStr">
        <is>
          <t>Data centres; ICT infrastructure</t>
        </is>
      </c>
      <c r="G138" s="610" t="inlineStr">
        <is>
          <t>数据中心能效限定值及能效等级</t>
        </is>
      </c>
      <c r="H138" s="610" t="inlineStr">
        <is>
          <t>Minimum Allowable Values of Energy Efficiency and Energy Efficiency Grades for Data Centers</t>
        </is>
      </c>
      <c r="I138" s="610" t="inlineStr">
        <is>
          <t>N/A</t>
        </is>
      </c>
      <c r="J138" s="610"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8" s="610" t="inlineStr">
        <is>
          <t>Energy efficiency</t>
        </is>
      </c>
      <c r="L138" s="610" t="inlineStr">
        <is>
          <t>Direct</t>
        </is>
      </c>
      <c r="M138" s="610" t="inlineStr">
        <is>
          <t>national</t>
        </is>
      </c>
      <c r="N138" s="610" t="inlineStr">
        <is>
          <t>N/A</t>
        </is>
      </c>
      <c r="O138" s="610" t="inlineStr">
        <is>
          <t>11/10/2021</t>
        </is>
      </c>
      <c r="P138" s="610" t="inlineStr">
        <is>
          <t>01/11/2022</t>
        </is>
      </c>
      <c r="Q138" s="610" t="inlineStr">
        <is>
          <t>N/A</t>
        </is>
      </c>
      <c r="R138" s="610" t="inlineStr">
        <is>
          <t>N/A</t>
        </is>
      </c>
      <c r="S138" s="610"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T138" s="610">
        <f>IF(P138="","In force",IF(P138="N/A","In force",IF(TODAY()&lt;DATE(VALUE(RIGHT(P138,4)),VALUE(MID(P138,4,2)),VALUE(LEFT(P138,2))),"Scheduled",IF(Q138="","In force",IF(Q138="N/A","In force",IF(TODAY()&lt;DATE(VALUE(RIGHT(Q138,4)),VALUE(MID(Q138,4,2)),VALUE(LEFT(Q138,2))),"In force","Ended"))))))</f>
        <v/>
      </c>
      <c r="U138" s="610" t="inlineStr">
        <is>
          <t>State Administration for Market Regulation; Standardization Administration of China; Ministry of Industry and Information Technology</t>
        </is>
      </c>
      <c r="V138" s="610" t="inlineStr">
        <is>
          <t>Data centres</t>
        </is>
      </c>
      <c r="W138" s="610" t="inlineStr">
        <is>
          <t>new; existing</t>
        </is>
      </c>
      <c r="X138" s="610"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Y138" s="610" t="inlineStr">
        <is>
          <t>N/A</t>
        </is>
      </c>
      <c r="Z138" s="610" t="inlineStr">
        <is>
          <t>PUE ≤ 1.50 (Grade 3, minimum allowable value); PUE ≤ 1.30 (Grade 2); PUE ≤ 1.20 (Grade 1)</t>
        </is>
      </c>
      <c r="AA138" s="610" t="inlineStr">
        <is>
          <t>Firms; Governments</t>
        </is>
      </c>
      <c r="AB138" s="610" t="inlineStr">
        <is>
          <t>Data centre operators (including telecom operators, internet enterprises, cloud service providers and third-party IDC operators), as well as operation and maintenance departments of data centres owned by government agencies and public institutions.</t>
        </is>
      </c>
      <c r="AC138" s="610" t="inlineStr">
        <is>
          <t>New construction; Operation</t>
        </is>
      </c>
      <c r="AD138" s="610"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E138" s="610" t="inlineStr">
        <is>
          <t>Grade 3 (PUE ≤ 1.50)</t>
        </is>
      </c>
      <c r="AF138" s="610" t="inlineStr">
        <is>
          <t>Energy efficiency grade (PUE)</t>
        </is>
      </c>
      <c r="AG138" s="610"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H138" s="610"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I138" s="610" t="inlineStr">
        <is>
          <t>Power Usage Effectiveness (PUE) = total data centre electricity consumption / IT equipment electricity consumption (measured and calculated per the standard's Annex A methodology)</t>
        </is>
      </c>
      <c r="AJ138" s="610" t="inlineStr">
        <is>
          <t>N/A</t>
        </is>
      </c>
      <c r="AK138" s="610" t="inlineStr">
        <is>
          <t>Inspections or audits conducted by government authorities or third parties</t>
        </is>
      </c>
      <c r="AL138" s="610"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M138" s="610" t="inlineStr">
        <is>
          <t>Compliance order; Monetary penalties</t>
        </is>
      </c>
      <c r="AN138" s="610"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O138" s="610"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P138" s="610"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Q138" s="610"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R138" s="610" t="inlineStr">
        <is>
          <t>~1.68% (Source: ibid.; data centre electricity as share of national electricity consumption — note this is electricity share, not direct CO₂ share; standard applies to all data centres except edge data centres with fewer than 100 standard racks)</t>
        </is>
      </c>
      <c r="AS138" s="610" t="inlineStr">
        <is>
          <t>J61; J63</t>
        </is>
      </c>
      <c r="AT138" s="610" t="inlineStr">
        <is>
          <t>CO2</t>
        </is>
      </c>
      <c r="AU138" s="610" t="inlineStr">
        <is>
          <t>Positive</t>
        </is>
      </c>
      <c r="AV138" s="610" t="inlineStr">
        <is>
          <t>Energy conservation; Industrial development</t>
        </is>
      </c>
      <c r="AW138" s="610" t="inlineStr">
        <is>
          <t>GB 40879-2021 Minimum Allowable Values of Energy Efficiency and Energy Efficiency Grades for Data Centers</t>
        </is>
      </c>
      <c r="AX138" s="610" t="inlineStr">
        <is>
          <t>https://openstd.samr.gov.cn/bzgk/std/newGbInfo?hcno=4AAF5CA9387980A1FEA1FA47ABA503BA</t>
        </is>
      </c>
      <c r="AY138" s="610" t="inlineStr">
        <is>
          <t>N/A</t>
        </is>
      </c>
      <c r="AZ138" s="610" t="inlineStr"/>
    </row>
    <row r="139">
      <c r="A139" s="610" t="inlineStr">
        <is>
          <t>CHNPRFMWHI01S000</t>
        </is>
      </c>
      <c r="B139" s="610" t="inlineStr">
        <is>
          <t>Instrument</t>
        </is>
      </c>
      <c r="C139" s="610" t="inlineStr">
        <is>
          <t>Performance standard</t>
        </is>
      </c>
      <c r="D139" s="610" t="inlineStr">
        <is>
          <t>Minimum Energy Performance Standards (MEPS) for water heating systems</t>
        </is>
      </c>
      <c r="E139" s="610" t="inlineStr">
        <is>
          <t>Buildings</t>
        </is>
      </c>
      <c r="F139" s="610" t="inlineStr">
        <is>
          <t>Building hot water</t>
        </is>
      </c>
      <c r="G139" s="610" t="inlineStr">
        <is>
          <t>家用太阳能热水系统能效限定值及能效等级</t>
        </is>
      </c>
      <c r="H139" s="610" t="inlineStr">
        <is>
          <t>Minimum Allowable Values of Energy Efficiency and Energy Efficiency Grades for Domestic Solar Water Heating Systems</t>
        </is>
      </c>
      <c r="I139" s="610" t="inlineStr">
        <is>
          <t>N/A</t>
        </is>
      </c>
      <c r="J139" s="610"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39" s="610" t="inlineStr">
        <is>
          <t>Energy efficiency</t>
        </is>
      </c>
      <c r="L139" s="610" t="inlineStr">
        <is>
          <t>Direct</t>
        </is>
      </c>
      <c r="M139" s="610" t="inlineStr">
        <is>
          <t>national</t>
        </is>
      </c>
      <c r="N139" s="610" t="inlineStr">
        <is>
          <t>N/A</t>
        </is>
      </c>
      <c r="O139" s="610" t="inlineStr">
        <is>
          <t>19/07/2011</t>
        </is>
      </c>
      <c r="P139" s="610" t="inlineStr">
        <is>
          <t>01/08/2012</t>
        </is>
      </c>
      <c r="Q139" s="610" t="inlineStr">
        <is>
          <t>N/A</t>
        </is>
      </c>
      <c r="R139" s="610" t="inlineStr">
        <is>
          <t>01/08/2025</t>
        </is>
      </c>
      <c r="S139" s="610" t="inlineStr">
        <is>
          <t>On 1 August 2025, GB 26969-2025 was published, replacing GB 26969-2011, and will take effect on 1 August 2026. The new edition updates the energy efficiency grade indicators and test methods.</t>
        </is>
      </c>
      <c r="T139" s="610">
        <f>IF(P139="","In force",IF(P139="N/A","In force",IF(TODAY()&lt;DATE(VALUE(RIGHT(P139,4)),VALUE(MID(P139,4,2)),VALUE(LEFT(P139,2))),"Scheduled",IF(Q139="","In force",IF(Q139="N/A","In force",IF(TODAY()&lt;DATE(VALUE(RIGHT(Q139,4)),VALUE(MID(Q139,4,2)),VALUE(LEFT(Q139,2))),"In force","Ended"))))))</f>
        <v/>
      </c>
      <c r="U139" s="610" t="inlineStr">
        <is>
          <t>State Administration for Market Regulation; Standardization Administration of China</t>
        </is>
      </c>
      <c r="V139" s="610" t="inlineStr">
        <is>
          <t>Domestic solar water heating systems</t>
        </is>
      </c>
      <c r="W139" s="610" t="inlineStr">
        <is>
          <t>new</t>
        </is>
      </c>
      <c r="X139" s="610" t="inlineStr">
        <is>
          <t>Solar water heating systems with a storage tank volume not exceeding 0.6 m³.</t>
        </is>
      </c>
      <c r="Y139" s="610" t="inlineStr">
        <is>
          <t>N/A</t>
        </is>
      </c>
      <c r="Z139" s="610" t="inlineStr">
        <is>
          <t>N/A</t>
        </is>
      </c>
      <c r="AA139" s="610" t="inlineStr">
        <is>
          <t>Firms</t>
        </is>
      </c>
      <c r="AB139" s="610" t="inlineStr">
        <is>
          <t>Manufacturers and importers producing, importing or selling domestic solar water heating systems within China.</t>
        </is>
      </c>
      <c r="AC139" s="610" t="inlineStr">
        <is>
          <t>Production; Sale; Import</t>
        </is>
      </c>
      <c r="AD139" s="610" t="inlineStr">
        <is>
          <t>Production, import and sale of domestic solar water heating systems. Products must meet the standard's minimum allowable energy efficiency values (Grade 3) before they can enter the market.</t>
        </is>
      </c>
      <c r="AE139" s="610" t="inlineStr">
        <is>
          <t>Grade 3</t>
        </is>
      </c>
      <c r="AF139" s="610" t="inlineStr">
        <is>
          <t>Energy efficiency grade</t>
        </is>
      </c>
      <c r="AG139" s="610"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H139" s="610"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9" s="610" t="inlineStr">
        <is>
          <t>N/A</t>
        </is>
      </c>
      <c r="AJ139" s="610" t="inlineStr">
        <is>
          <t>N/A</t>
        </is>
      </c>
      <c r="AK139" s="610" t="inlineStr">
        <is>
          <t>Inspections or audits conducted by government authorities or third parties</t>
        </is>
      </c>
      <c r="AL139" s="610" t="inlineStr">
        <is>
          <t>Market regulatory authorities conduct energy efficiency label supervision inspections and product quality supervision spot checks on domestic solar water heating system products.</t>
        </is>
      </c>
      <c r="AM139" s="610" t="inlineStr">
        <is>
          <t>Compliance requirements; Testing</t>
        </is>
      </c>
      <c r="AN139" s="610"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9" s="610"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P139" s="610"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Q139" s="610" t="inlineStr">
        <is>
          <t>N/A</t>
        </is>
      </c>
      <c r="AR139" s="610" t="inlineStr">
        <is>
          <t>N/A</t>
        </is>
      </c>
      <c r="AS139" s="610" t="inlineStr">
        <is>
          <t>C27</t>
        </is>
      </c>
      <c r="AT139" s="610" t="inlineStr">
        <is>
          <t>CO2</t>
        </is>
      </c>
      <c r="AU139" s="610" t="inlineStr">
        <is>
          <t>Positive</t>
        </is>
      </c>
      <c r="AV139" s="610" t="inlineStr">
        <is>
          <t>Renewable energy development; Energy conservation</t>
        </is>
      </c>
      <c r="AW139" s="610" t="inlineStr">
        <is>
          <t>GB 26969-2011 Minimum Allowable Values of Energy Efficiency and Energy Efficiency Grades for Domestic Solar Water Heating Systems</t>
        </is>
      </c>
      <c r="AX139" s="610" t="inlineStr">
        <is>
          <t>https://openstd.samr.gov.cn/bzgk/std/newGbInfo?hcno=1A15DA50EE92BFDCC34B5B269E68292B</t>
        </is>
      </c>
      <c r="AY139" s="610" t="inlineStr">
        <is>
          <t>GB 26969-2025 (new edition, effective 1 August 2026): https://openstd.samr.gov.cn/bzgk/std/newGbInfo?hcno=509A441DA661725B635FFAC80723E2FA</t>
        </is>
      </c>
      <c r="AZ139" s="610" t="inlineStr"/>
    </row>
    <row r="140">
      <c r="A140" s="610" t="inlineStr">
        <is>
          <t>CHNPRFMWHI02S000</t>
        </is>
      </c>
      <c r="B140" s="610" t="inlineStr">
        <is>
          <t>Instrument</t>
        </is>
      </c>
      <c r="C140" s="610" t="inlineStr">
        <is>
          <t>Performance standard</t>
        </is>
      </c>
      <c r="D140" s="610" t="inlineStr">
        <is>
          <t>Minimum Energy Performance Standards (MEPS) for water heating systems</t>
        </is>
      </c>
      <c r="E140" s="610" t="inlineStr">
        <is>
          <t>Buildings</t>
        </is>
      </c>
      <c r="F140" s="610" t="inlineStr">
        <is>
          <t>Building hot water; Building heating</t>
        </is>
      </c>
      <c r="G140" s="610" t="inlineStr">
        <is>
          <t>家用燃气快速热水器和燃气采暖热水炉能效限定值及能效等级</t>
        </is>
      </c>
      <c r="H140" s="610" t="inlineStr">
        <is>
          <t>Minimum Allowable Values of Energy Efficiency and Energy Efficiency Grades for Domestic Gas Instantaneous Water Heaters and Gas Fired Heating and Hot Water Combi-Boilers</t>
        </is>
      </c>
      <c r="I140" s="610" t="inlineStr">
        <is>
          <t>N/A</t>
        </is>
      </c>
      <c r="J140" s="610"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0" s="610" t="inlineStr">
        <is>
          <t>Energy efficiency</t>
        </is>
      </c>
      <c r="L140" s="610" t="inlineStr">
        <is>
          <t>Direct</t>
        </is>
      </c>
      <c r="M140" s="610" t="inlineStr">
        <is>
          <t>national</t>
        </is>
      </c>
      <c r="N140" s="610" t="inlineStr">
        <is>
          <t>N/A</t>
        </is>
      </c>
      <c r="O140" s="610" t="inlineStr">
        <is>
          <t>01/06/2006</t>
        </is>
      </c>
      <c r="P140" s="610" t="inlineStr">
        <is>
          <t>01/01/2007</t>
        </is>
      </c>
      <c r="Q140" s="610" t="inlineStr">
        <is>
          <t>N/A</t>
        </is>
      </c>
      <c r="R140" s="610" t="inlineStr">
        <is>
          <t>15/05/2015</t>
        </is>
      </c>
      <c r="S140" s="610" t="inlineStr">
        <is>
          <t>On 15 May 2015, GB 20665-2015 was published, replacing GB 20665-2006, changing the energy efficiency grade indicator from a single fixed limit value to setting both a larger-value lower limit and a smaller-value lower limit.</t>
        </is>
      </c>
      <c r="T140" s="610">
        <f>IF(P140="","In force",IF(P140="N/A","In force",IF(TODAY()&lt;DATE(VALUE(RIGHT(P140,4)),VALUE(MID(P140,4,2)),VALUE(LEFT(P140,2))),"Scheduled",IF(Q140="","In force",IF(Q140="N/A","In force",IF(TODAY()&lt;DATE(VALUE(RIGHT(Q140,4)),VALUE(MID(Q140,4,2)),VALUE(LEFT(Q140,2))),"In force","Ended"))))))</f>
        <v/>
      </c>
      <c r="U140" s="610" t="inlineStr">
        <is>
          <t>State Administration for Market Regulation; Standardization Administration of China</t>
        </is>
      </c>
      <c r="V140" s="610" t="inlineStr">
        <is>
          <t>Domestic gas instantaneous water heaters and gas fired heating and hot water combi-boilers</t>
        </is>
      </c>
      <c r="W140" s="610" t="inlineStr">
        <is>
          <t>new</t>
        </is>
      </c>
      <c r="X140" s="610" t="inlineStr">
        <is>
          <t>Domestic gas instantaneous water heaters (including condensing type) and gas fired heating and hot water combi-boilers (including condensing type) using only gas as the energy source with a heat load not exceeding 70 kW. Excludes gas storage water heaters.</t>
        </is>
      </c>
      <c r="Y140" s="610" t="inlineStr">
        <is>
          <t>N/A</t>
        </is>
      </c>
      <c r="Z140" s="610" t="inlineStr">
        <is>
          <t>N/A</t>
        </is>
      </c>
      <c r="AA140" s="610" t="inlineStr">
        <is>
          <t>Firms</t>
        </is>
      </c>
      <c r="AB140" s="610" t="inlineStr">
        <is>
          <t>Manufacturers and importers producing, importing or selling domestic gas instantaneous water heaters and gas fired heating and hot water combi-boilers within China.</t>
        </is>
      </c>
      <c r="AC140" s="610" t="inlineStr">
        <is>
          <t>Production; Sale; Import</t>
        </is>
      </c>
      <c r="AD140" s="610" t="inlineStr">
        <is>
          <t>Production, import and sale of domestic gas instantaneous water heaters and gas fired heating and hot water combi-boilers. Products must meet the standard's minimum allowable energy efficiency values (Grade 3) before they can enter the market.</t>
        </is>
      </c>
      <c r="AE140" s="610" t="inlineStr">
        <is>
          <t>Grade 3</t>
        </is>
      </c>
      <c r="AF140" s="610" t="inlineStr">
        <is>
          <t>Energy efficiency grade</t>
        </is>
      </c>
      <c r="AG140" s="610"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H140" s="610"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0" s="610" t="inlineStr">
        <is>
          <t>N/A</t>
        </is>
      </c>
      <c r="AJ140" s="610" t="inlineStr">
        <is>
          <t>N/A</t>
        </is>
      </c>
      <c r="AK140" s="610" t="inlineStr">
        <is>
          <t>Inspections or audits conducted by government authorities or third parties</t>
        </is>
      </c>
      <c r="AL140" s="610" t="inlineStr">
        <is>
          <t>Market regulatory authorities conduct energy efficiency label supervision inspections and product quality supervision spot checks on domestic gas instantaneous water heater and gas fired heating and hot water combi-boiler products.</t>
        </is>
      </c>
      <c r="AM140" s="610" t="inlineStr">
        <is>
          <t>Compliance requirements; Testing</t>
        </is>
      </c>
      <c r="AN140" s="610"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0" s="610" t="inlineStr">
        <is>
          <t>The state encourages production and use of Grade 1 and Grade 2 high-efficiency gas water heaters and combi-boilers; promotes the market uptake of high-efficiency gas appliances through energy-saving product certification.</t>
        </is>
      </c>
      <c r="AP140" s="610" t="inlineStr">
        <is>
          <t>The state encourages production and use of Grade 1 and Grade 2 high-efficiency gas water heaters and combi-boilers; promotes the market uptake of high-efficiency gas appliances through energy-saving product certification.</t>
        </is>
      </c>
      <c r="AQ140" s="610" t="inlineStr">
        <is>
          <t>N/A</t>
        </is>
      </c>
      <c r="AR140" s="610" t="inlineStr">
        <is>
          <t>N/A</t>
        </is>
      </c>
      <c r="AS140" s="610" t="inlineStr">
        <is>
          <t>C27</t>
        </is>
      </c>
      <c r="AT140" s="610" t="inlineStr">
        <is>
          <t>CO2</t>
        </is>
      </c>
      <c r="AU140" s="610" t="inlineStr">
        <is>
          <t>Positive</t>
        </is>
      </c>
      <c r="AV140" s="610" t="inlineStr">
        <is>
          <t>Energy conservation; Industrial development</t>
        </is>
      </c>
      <c r="AW140" s="610" t="inlineStr">
        <is>
          <t>GB 20665-2015 Minimum Allowable Values of Energy Efficiency and Energy Efficiency Grades for Domestic Gas Instantaneous Water Heaters and Gas Fired Heating and Hot Water Combi-Boilers</t>
        </is>
      </c>
      <c r="AX140" s="610" t="inlineStr">
        <is>
          <t>https://openstd.samr.gov.cn/bzgk/std/newGbInfo?hcno=75D38814EF3EE95E56E53DC00CF759C6</t>
        </is>
      </c>
      <c r="AY140" s="610" t="inlineStr">
        <is>
          <t>GB 20665-2006 (superseded): https://openstd.samr.gov.cn/bzgk/std/newGbInfo?hcno=D64EC2F5A23E36B0BC4B8B9E1E8E391A</t>
        </is>
      </c>
      <c r="AZ140" s="610" t="inlineStr"/>
    </row>
    <row r="141">
      <c r="A141" s="610" t="inlineStr">
        <is>
          <t>CHNPRFMWHI03S000</t>
        </is>
      </c>
      <c r="B141" s="610" t="inlineStr">
        <is>
          <t>Instrument</t>
        </is>
      </c>
      <c r="C141" s="610" t="inlineStr">
        <is>
          <t>Performance standard</t>
        </is>
      </c>
      <c r="D141" s="610" t="inlineStr">
        <is>
          <t>Minimum Energy Performance Standards (MEPS) for water heating systems</t>
        </is>
      </c>
      <c r="E141" s="610" t="inlineStr">
        <is>
          <t>Buildings</t>
        </is>
      </c>
      <c r="F141" s="610" t="inlineStr">
        <is>
          <t>Building hot water</t>
        </is>
      </c>
      <c r="G141" s="610" t="inlineStr">
        <is>
          <t>热泵热水机（器）能效限定值及能效等级</t>
        </is>
      </c>
      <c r="H141" s="610" t="inlineStr">
        <is>
          <t>Minimum Allowable Values of Energy Efficiency and Energy Efficiency Grades for Heat Pump Water Heaters</t>
        </is>
      </c>
      <c r="I141" s="610" t="inlineStr">
        <is>
          <t>N/A</t>
        </is>
      </c>
      <c r="J141" s="610"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1" s="610" t="inlineStr">
        <is>
          <t>Energy efficiency</t>
        </is>
      </c>
      <c r="L141" s="610" t="inlineStr">
        <is>
          <t>Direct</t>
        </is>
      </c>
      <c r="M141" s="610" t="inlineStr">
        <is>
          <t>national</t>
        </is>
      </c>
      <c r="N141" s="610" t="inlineStr">
        <is>
          <t>N/A</t>
        </is>
      </c>
      <c r="O141" s="610" t="inlineStr">
        <is>
          <t>09/06/2013</t>
        </is>
      </c>
      <c r="P141" s="610" t="inlineStr">
        <is>
          <t>01/10/2013</t>
        </is>
      </c>
      <c r="Q141" s="610" t="inlineStr">
        <is>
          <t>N/A</t>
        </is>
      </c>
      <c r="R141" s="610" t="inlineStr">
        <is>
          <t>N/A</t>
        </is>
      </c>
      <c r="S141" s="610" t="inlineStr">
        <is>
          <t>N/A</t>
        </is>
      </c>
      <c r="T141" s="610">
        <f>IF(P141="","In force",IF(P141="N/A","In force",IF(TODAY()&lt;DATE(VALUE(RIGHT(P141,4)),VALUE(MID(P141,4,2)),VALUE(LEFT(P141,2))),"Scheduled",IF(Q141="","In force",IF(Q141="N/A","In force",IF(TODAY()&lt;DATE(VALUE(RIGHT(Q141,4)),VALUE(MID(Q141,4,2)),VALUE(LEFT(Q141,2))),"In force","Ended"))))))</f>
        <v/>
      </c>
      <c r="U141" s="610" t="inlineStr">
        <is>
          <t>State Administration for Market Regulation; Standardization Administration of China</t>
        </is>
      </c>
      <c r="V141" s="610" t="inlineStr">
        <is>
          <t>Heat pump water heaters</t>
        </is>
      </c>
      <c r="W141" s="610" t="inlineStr">
        <is>
          <t>new</t>
        </is>
      </c>
      <c r="X141" s="610" t="inlineStr">
        <is>
          <t>Heat pump water heaters using motor-driven vapour compression refrigeration cycles with air as the heat source for the purpose of providing hot water. Does not currently apply to water-source heat pump water heaters.</t>
        </is>
      </c>
      <c r="Y141" s="610" t="inlineStr">
        <is>
          <t>N/A</t>
        </is>
      </c>
      <c r="Z141" s="610" t="inlineStr">
        <is>
          <t>N/A</t>
        </is>
      </c>
      <c r="AA141" s="610" t="inlineStr">
        <is>
          <t>Firms</t>
        </is>
      </c>
      <c r="AB141" s="610" t="inlineStr">
        <is>
          <t>Manufacturers and importers producing, importing or selling heat pump water heaters within China.</t>
        </is>
      </c>
      <c r="AC141" s="610" t="inlineStr">
        <is>
          <t>Production; Sale; Import</t>
        </is>
      </c>
      <c r="AD141" s="610" t="inlineStr">
        <is>
          <t>Production, import and sale of heat pump water heaters. Products must meet the standard's minimum allowable energy efficiency values (Grade 5) before they can enter the market.</t>
        </is>
      </c>
      <c r="AE141" s="610" t="inlineStr">
        <is>
          <t>Grade 5</t>
        </is>
      </c>
      <c r="AF141" s="610" t="inlineStr">
        <is>
          <t>Energy efficiency grade</t>
        </is>
      </c>
      <c r="AG141" s="610"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H141" s="610"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I141" s="610" t="inlineStr">
        <is>
          <t>N/A</t>
        </is>
      </c>
      <c r="AJ141" s="610" t="inlineStr">
        <is>
          <t>N/A</t>
        </is>
      </c>
      <c r="AK141" s="610" t="inlineStr">
        <is>
          <t>Inspections or audits conducted by government authorities or third parties</t>
        </is>
      </c>
      <c r="AL141" s="610" t="inlineStr">
        <is>
          <t>Market regulatory authorities conduct energy efficiency label supervision inspections and product quality supervision spot checks on heat pump water heater products.</t>
        </is>
      </c>
      <c r="AM141" s="610" t="inlineStr">
        <is>
          <t>Compliance requirements; Testing</t>
        </is>
      </c>
      <c r="AN141" s="610"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1" s="610" t="inlineStr">
        <is>
          <t>The state encourages production and use of Grade 1 and Grade 2 high-efficiency heat pump water heaters; promotes the market uptake of high-efficiency heat pump water heating products through energy-saving product certification.</t>
        </is>
      </c>
      <c r="AP141" s="610" t="inlineStr">
        <is>
          <t>The state encourages production and use of Grade 1 and Grade 2 high-efficiency heat pump water heaters; promotes the market uptake of high-efficiency heat pump water heating products through energy-saving product certification.</t>
        </is>
      </c>
      <c r="AQ141" s="610" t="inlineStr">
        <is>
          <t>N/A</t>
        </is>
      </c>
      <c r="AR141" s="610" t="inlineStr">
        <is>
          <t>N/A</t>
        </is>
      </c>
      <c r="AS141" s="610" t="inlineStr">
        <is>
          <t>C27</t>
        </is>
      </c>
      <c r="AT141" s="610" t="inlineStr">
        <is>
          <t>CO2</t>
        </is>
      </c>
      <c r="AU141" s="610" t="inlineStr">
        <is>
          <t>Positive</t>
        </is>
      </c>
      <c r="AV141" s="610" t="inlineStr">
        <is>
          <t>Renewable energy development; Energy conservation; Industrial development</t>
        </is>
      </c>
      <c r="AW141" s="610" t="inlineStr">
        <is>
          <t>GB 29541-2013 Minimum Allowable Values of Energy Efficiency and Energy Efficiency Grades for Heat Pump Water Heaters</t>
        </is>
      </c>
      <c r="AX141" s="610" t="inlineStr">
        <is>
          <t>https://openstd.samr.gov.cn/bzgk/std/newGbInfo?hcno=7126B1BAD015F37BAFBFE1EC5242B55C</t>
        </is>
      </c>
      <c r="AY141" s="610" t="inlineStr">
        <is>
          <t>N/A</t>
        </is>
      </c>
      <c r="AZ141" s="610" t="inlineStr"/>
    </row>
    <row r="142">
      <c r="A142" s="610" t="inlineStr">
        <is>
          <t>CHNPRFMWHI04S000</t>
        </is>
      </c>
      <c r="B142" s="610" t="inlineStr">
        <is>
          <t>Instrument</t>
        </is>
      </c>
      <c r="C142" s="610" t="inlineStr">
        <is>
          <t>Performance standard</t>
        </is>
      </c>
      <c r="D142" s="610" t="inlineStr">
        <is>
          <t>Minimum Energy Performance Standards (MEPS) for water heating systems</t>
        </is>
      </c>
      <c r="E142" s="610" t="inlineStr">
        <is>
          <t>Buildings</t>
        </is>
      </c>
      <c r="F142" s="610" t="inlineStr">
        <is>
          <t>Building hot water</t>
        </is>
      </c>
      <c r="G142" s="610" t="inlineStr">
        <is>
          <t>储水式电热水器能效限定值及能效等级</t>
        </is>
      </c>
      <c r="H142" s="610" t="inlineStr">
        <is>
          <t>Minimum Allowable Values of Energy Efficiency and Energy Efficiency Grades for Electrical Storage Water Heaters</t>
        </is>
      </c>
      <c r="I142" s="610" t="inlineStr">
        <is>
          <t>N/A</t>
        </is>
      </c>
      <c r="J142" s="610"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2" s="610" t="inlineStr">
        <is>
          <t>Energy efficiency</t>
        </is>
      </c>
      <c r="L142" s="610" t="inlineStr">
        <is>
          <t>Direct</t>
        </is>
      </c>
      <c r="M142" s="610" t="inlineStr">
        <is>
          <t>national</t>
        </is>
      </c>
      <c r="N142" s="610" t="inlineStr">
        <is>
          <t>N/A</t>
        </is>
      </c>
      <c r="O142" s="610" t="inlineStr">
        <is>
          <t>01/04/2008</t>
        </is>
      </c>
      <c r="P142" s="610" t="inlineStr">
        <is>
          <t>01/11/2008</t>
        </is>
      </c>
      <c r="Q142" s="610" t="inlineStr">
        <is>
          <t>N/A</t>
        </is>
      </c>
      <c r="R142" s="610" t="inlineStr">
        <is>
          <t>N/A</t>
        </is>
      </c>
      <c r="S142" s="610" t="inlineStr">
        <is>
          <t>N/A</t>
        </is>
      </c>
      <c r="T142" s="610">
        <f>IF(P142="","In force",IF(P142="N/A","In force",IF(TODAY()&lt;DATE(VALUE(RIGHT(P142,4)),VALUE(MID(P142,4,2)),VALUE(LEFT(P142,2))),"Scheduled",IF(Q142="","In force",IF(Q142="N/A","In force",IF(TODAY()&lt;DATE(VALUE(RIGHT(Q142,4)),VALUE(MID(Q142,4,2)),VALUE(LEFT(Q142,2))),"In force","Ended"))))))</f>
        <v/>
      </c>
      <c r="U142" s="610" t="inlineStr">
        <is>
          <t>State Administration for Market Regulation; Standardization Administration of China</t>
        </is>
      </c>
      <c r="V142" s="610" t="inlineStr">
        <is>
          <t>Electrical storage water heaters</t>
        </is>
      </c>
      <c r="W142" s="610" t="inlineStr">
        <is>
          <t>new</t>
        </is>
      </c>
      <c r="X142" s="610" t="inlineStr">
        <is>
          <t>Electrical storage water heater products.</t>
        </is>
      </c>
      <c r="Y142" s="610" t="inlineStr">
        <is>
          <t>N/A</t>
        </is>
      </c>
      <c r="Z142" s="610" t="inlineStr">
        <is>
          <t>N/A</t>
        </is>
      </c>
      <c r="AA142" s="610" t="inlineStr">
        <is>
          <t>Firms</t>
        </is>
      </c>
      <c r="AB142" s="610" t="inlineStr">
        <is>
          <t>Manufacturers and importers producing, importing or selling electrical storage water heaters within China.</t>
        </is>
      </c>
      <c r="AC142" s="610" t="inlineStr">
        <is>
          <t>Production; Sale; Import</t>
        </is>
      </c>
      <c r="AD142" s="610" t="inlineStr">
        <is>
          <t>Production, import and sale of electrical storage water heaters. Products must meet the standard's minimum allowable energy efficiency values (Grade 5) before they can enter the market.</t>
        </is>
      </c>
      <c r="AE142" s="610" t="inlineStr">
        <is>
          <t>Grade 5</t>
        </is>
      </c>
      <c r="AF142" s="610" t="inlineStr">
        <is>
          <t>Energy efficiency grade</t>
        </is>
      </c>
      <c r="AG142" s="610"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H142" s="610"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I142" s="610" t="inlineStr">
        <is>
          <t>N/A</t>
        </is>
      </c>
      <c r="AJ142" s="610" t="inlineStr">
        <is>
          <t>N/A</t>
        </is>
      </c>
      <c r="AK142" s="610" t="inlineStr">
        <is>
          <t>Inspections or audits conducted by government authorities or third parties</t>
        </is>
      </c>
      <c r="AL142" s="610" t="inlineStr">
        <is>
          <t>Market regulatory authorities conduct energy efficiency label supervision inspections and product quality supervision spot checks on electrical storage water heater products.</t>
        </is>
      </c>
      <c r="AM142" s="610" t="inlineStr">
        <is>
          <t>Compliance requirements; Testing</t>
        </is>
      </c>
      <c r="AN142" s="610"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2" s="610" t="inlineStr">
        <is>
          <t>The state encourages production and use of Grade 1 and Grade 2 high-efficiency electrical storage water heaters; promotes the market uptake of high-efficiency electric water heater products through energy-saving product certification.</t>
        </is>
      </c>
      <c r="AP142" s="610" t="inlineStr">
        <is>
          <t>The state encourages production and use of Grade 1 and Grade 2 high-efficiency electrical storage water heaters; promotes the market uptake of high-efficiency electric water heater products through energy-saving product certification.</t>
        </is>
      </c>
      <c r="AQ142" s="610" t="inlineStr">
        <is>
          <t>N/A</t>
        </is>
      </c>
      <c r="AR142" s="610" t="inlineStr">
        <is>
          <t>N/A</t>
        </is>
      </c>
      <c r="AS142" s="610" t="inlineStr">
        <is>
          <t>C27</t>
        </is>
      </c>
      <c r="AT142" s="610" t="inlineStr">
        <is>
          <t>CO2</t>
        </is>
      </c>
      <c r="AU142" s="610" t="inlineStr">
        <is>
          <t>Positive</t>
        </is>
      </c>
      <c r="AV142" s="610" t="inlineStr">
        <is>
          <t>Energy conservation; Industrial development</t>
        </is>
      </c>
      <c r="AW142" s="610" t="inlineStr">
        <is>
          <t>GB 21519-2008 Minimum Allowable Values of Energy Efficiency and Energy Efficiency Grades for Electrical Storage Water Heaters</t>
        </is>
      </c>
      <c r="AX142" s="610" t="inlineStr">
        <is>
          <t>https://openstd.samr.gov.cn/bzgk/std/newGbInfo?hcno=3A2D24067F5907267BE8B16C96A650DB</t>
        </is>
      </c>
      <c r="AY142" s="610" t="inlineStr">
        <is>
          <t>N/A</t>
        </is>
      </c>
      <c r="AZ142" s="610" t="inlineStr"/>
    </row>
    <row r="143">
      <c r="A143" s="610" t="inlineStr">
        <is>
          <t>CHNPRFMECI01S000</t>
        </is>
      </c>
      <c r="B143" s="610" t="inlineStr">
        <is>
          <t>Instrument</t>
        </is>
      </c>
      <c r="C143" s="610" t="inlineStr">
        <is>
          <t>Performance standard</t>
        </is>
      </c>
      <c r="D143" s="610" t="inlineStr">
        <is>
          <t>Minimum Energy Performance Standards (MEPS) for cooking systems</t>
        </is>
      </c>
      <c r="E143" s="610" t="inlineStr">
        <is>
          <t>Buildings</t>
        </is>
      </c>
      <c r="F143" s="610" t="inlineStr">
        <is>
          <t>Household kitchens; Commercial kitchens</t>
        </is>
      </c>
      <c r="G143" s="610" t="inlineStr">
        <is>
          <t>家用和类似用途厨房电器能效限定值及能效等级</t>
        </is>
      </c>
      <c r="H143" s="610" t="inlineStr">
        <is>
          <t>Minimum Allowable Values of Energy Efficiency and Energy Efficiency Grades for Household and Similar Kitchen Appliances</t>
        </is>
      </c>
      <c r="I143" s="610" t="inlineStr">
        <is>
          <t>N/A</t>
        </is>
      </c>
      <c r="J143" s="610"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3" s="610" t="inlineStr">
        <is>
          <t>Energy efficiency</t>
        </is>
      </c>
      <c r="L143" s="610" t="inlineStr">
        <is>
          <t>Direct</t>
        </is>
      </c>
      <c r="M143" s="610" t="inlineStr">
        <is>
          <t>national</t>
        </is>
      </c>
      <c r="N143" s="610" t="inlineStr">
        <is>
          <t>N/A</t>
        </is>
      </c>
      <c r="O143" s="610" t="inlineStr">
        <is>
          <t>18/02/2008</t>
        </is>
      </c>
      <c r="P143" s="610" t="inlineStr">
        <is>
          <t>01/09/2008</t>
        </is>
      </c>
      <c r="Q143" s="610" t="inlineStr">
        <is>
          <t>N/A</t>
        </is>
      </c>
      <c r="R143" s="610" t="inlineStr">
        <is>
          <t>23/08/2024</t>
        </is>
      </c>
      <c r="S143" s="610" t="inlineStr">
        <is>
          <t>N/A</t>
        </is>
      </c>
      <c r="T143" s="610">
        <f>IF(P143="","In force",IF(P143="N/A","In force",IF(TODAY()&lt;DATE(VALUE(RIGHT(P143,4)),VALUE(MID(P143,4,2)),VALUE(LEFT(P143,2))),"Scheduled",IF(Q143="","In force",IF(Q143="N/A","In force",IF(TODAY()&lt;DATE(VALUE(RIGHT(Q143,4)),VALUE(MID(Q143,4,2)),VALUE(LEFT(Q143,2))),"In force","Ended"))))))</f>
        <v/>
      </c>
      <c r="U143" s="610" t="inlineStr">
        <is>
          <t>State Administration for Market Regulation; Standardization Administration of China</t>
        </is>
      </c>
      <c r="V143" s="610" t="inlineStr">
        <is>
          <t>Household and similar kitchen appliances</t>
        </is>
      </c>
      <c r="W143" s="610" t="inlineStr">
        <is>
          <t>new</t>
        </is>
      </c>
      <c r="X143" s="610"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Y143" s="610" t="inlineStr">
        <is>
          <t>N/A</t>
        </is>
      </c>
      <c r="Z143" s="610" t="inlineStr">
        <is>
          <t>N/A</t>
        </is>
      </c>
      <c r="AA143" s="610" t="inlineStr">
        <is>
          <t>Firms</t>
        </is>
      </c>
      <c r="AB143" s="610" t="inlineStr">
        <is>
          <t>Manufacturers and importers producing, importing or selling the above six categories of kitchen appliance products within China.</t>
        </is>
      </c>
      <c r="AC143" s="610" t="inlineStr">
        <is>
          <t>Production; Sale; Import</t>
        </is>
      </c>
      <c r="AD143" s="610" t="inlineStr">
        <is>
          <t>Production, import and sale of the above six categories of kitchen appliance products. Products must meet the standard's minimum allowable energy efficiency values (Grade 3) before they can enter the market.</t>
        </is>
      </c>
      <c r="AE143" s="610" t="inlineStr">
        <is>
          <t>Grade 3</t>
        </is>
      </c>
      <c r="AF143" s="610" t="inlineStr">
        <is>
          <t>Energy efficiency grade</t>
        </is>
      </c>
      <c r="AG143" s="610"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H143" s="610"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I143" s="610" t="inlineStr">
        <is>
          <t>N/A</t>
        </is>
      </c>
      <c r="AJ143" s="610" t="inlineStr">
        <is>
          <t>N/A</t>
        </is>
      </c>
      <c r="AK143" s="610" t="inlineStr">
        <is>
          <t>Inspections or audits conducted by government authorities or third parties</t>
        </is>
      </c>
      <c r="AL143" s="610"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M143" s="610" t="inlineStr">
        <is>
          <t>Compliance order; Monetary penalties</t>
        </is>
      </c>
      <c r="AN143" s="610"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O143" s="610" t="inlineStr">
        <is>
          <t>The state encourages production and use of Grade 1 and Grade 2 high-efficiency kitchen appliance products; promotes the market uptake of high-efficiency kitchen appliances through energy-saving product certification and green public procurement.</t>
        </is>
      </c>
      <c r="AP143" s="610" t="inlineStr">
        <is>
          <t>The state encourages production and use of Grade 1 and Grade 2 high-efficiency kitchen appliance products; promotes the market uptake of high-efficiency kitchen appliances through energy-saving product certification and green public procurement.</t>
        </is>
      </c>
      <c r="AQ143" s="610" t="inlineStr">
        <is>
          <t>N/A</t>
        </is>
      </c>
      <c r="AR143" s="610" t="inlineStr">
        <is>
          <t>N/A</t>
        </is>
      </c>
      <c r="AS143" s="610" t="inlineStr">
        <is>
          <t>C27</t>
        </is>
      </c>
      <c r="AT143" s="610" t="inlineStr">
        <is>
          <t>CO2</t>
        </is>
      </c>
      <c r="AU143" s="610" t="inlineStr">
        <is>
          <t>Positive</t>
        </is>
      </c>
      <c r="AV143" s="610" t="inlineStr">
        <is>
          <t>Energy conservation; Industrial development</t>
        </is>
      </c>
      <c r="AW143" s="610" t="inlineStr">
        <is>
          <t>GB 21456-2024 Minimum Allowable Values of Energy Efficiency and Energy Efficiency Grades for Household and Similar Kitchen Appliances</t>
        </is>
      </c>
      <c r="AX143" s="610" t="inlineStr">
        <is>
          <t>https://openstd.samr.gov.cn/bzgk/std/newGbInfo?hcno=F966E2FC4C7AB718356847B0DB1045E4</t>
        </is>
      </c>
      <c r="AY143" s="610" t="inlineStr">
        <is>
          <t>https://openstd.samr.gov.cn/bzgk/gb/newGbInfo?hcno=52B4F1B4AF23FC48DB20AD0A3EA935A4(GB 21456-2014)</t>
        </is>
      </c>
      <c r="AZ143" s="610" t="inlineStr"/>
    </row>
    <row r="144">
      <c r="A144" s="610" t="inlineStr">
        <is>
          <t>CHNPRFMECI02S000</t>
        </is>
      </c>
      <c r="B144" s="610" t="inlineStr">
        <is>
          <t>Instrument</t>
        </is>
      </c>
      <c r="C144" s="610" t="inlineStr">
        <is>
          <t>Performance standard</t>
        </is>
      </c>
      <c r="D144" s="610" t="inlineStr">
        <is>
          <t>Minimum Energy Performance Standards (MEPS) for cooking systems</t>
        </is>
      </c>
      <c r="E144" s="610" t="inlineStr">
        <is>
          <t>Buildings</t>
        </is>
      </c>
      <c r="F144" s="610" t="inlineStr">
        <is>
          <t>Commercial kitchens; Food services</t>
        </is>
      </c>
      <c r="G144" s="610" t="inlineStr">
        <is>
          <t>商用电磁灶能效限定值及能效等级</t>
        </is>
      </c>
      <c r="H144" s="610" t="inlineStr">
        <is>
          <t>Minimum Allowable Values of Energy Efficiency and Energy Efficiency Grades for Commercial Induction Cookers</t>
        </is>
      </c>
      <c r="I144" s="610" t="inlineStr">
        <is>
          <t>N/A</t>
        </is>
      </c>
      <c r="J144" s="610"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4" s="610" t="inlineStr">
        <is>
          <t>Energy efficiency</t>
        </is>
      </c>
      <c r="L144" s="610" t="inlineStr">
        <is>
          <t>Direct</t>
        </is>
      </c>
      <c r="M144" s="610" t="inlineStr">
        <is>
          <t>national</t>
        </is>
      </c>
      <c r="N144" s="610" t="inlineStr">
        <is>
          <t>N/A</t>
        </is>
      </c>
      <c r="O144" s="610" t="inlineStr">
        <is>
          <t>11/10/2021</t>
        </is>
      </c>
      <c r="P144" s="610" t="inlineStr">
        <is>
          <t>01/11/2022</t>
        </is>
      </c>
      <c r="Q144" s="610" t="inlineStr">
        <is>
          <t>N/A</t>
        </is>
      </c>
      <c r="R144" s="610" t="inlineStr">
        <is>
          <t>N/A</t>
        </is>
      </c>
      <c r="S144" s="610" t="inlineStr">
        <is>
          <t>N/A</t>
        </is>
      </c>
      <c r="T144" s="610">
        <f>IF(P144="","In force",IF(P144="N/A","In force",IF(TODAY()&lt;DATE(VALUE(RIGHT(P144,4)),VALUE(MID(P144,4,2)),VALUE(LEFT(P144,2))),"Scheduled",IF(Q144="","In force",IF(Q144="N/A","In force",IF(TODAY()&lt;DATE(VALUE(RIGHT(Q144,4)),VALUE(MID(Q144,4,2)),VALUE(LEFT(Q144,2))),"In force","Ended"))))))</f>
        <v/>
      </c>
      <c r="U144" s="610" t="inlineStr">
        <is>
          <t>State Administration for Market Regulation; Standardization Administration of China</t>
        </is>
      </c>
      <c r="V144" s="610" t="inlineStr">
        <is>
          <t>Commercial induction cookers</t>
        </is>
      </c>
      <c r="W144" s="610" t="inlineStr">
        <is>
          <t>new</t>
        </is>
      </c>
      <c r="X144" s="610"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Y144" s="610" t="inlineStr">
        <is>
          <t>N/A</t>
        </is>
      </c>
      <c r="Z144" s="610" t="inlineStr">
        <is>
          <t>N/A</t>
        </is>
      </c>
      <c r="AA144" s="610" t="inlineStr">
        <is>
          <t>Firms</t>
        </is>
      </c>
      <c r="AB144" s="610" t="inlineStr">
        <is>
          <t>Manufacturers and importers producing, importing or selling commercial induction cooker products within China.</t>
        </is>
      </c>
      <c r="AC144" s="610" t="inlineStr">
        <is>
          <t>Production; Sale; Import</t>
        </is>
      </c>
      <c r="AD144" s="610" t="inlineStr">
        <is>
          <t>Production, import and sale of commercial induction cooker products. Products must meet the standard's minimum allowable energy efficiency values before they can enter the market.</t>
        </is>
      </c>
      <c r="AE144" s="610" t="inlineStr">
        <is>
          <t>Grade 3</t>
        </is>
      </c>
      <c r="AF144" s="610" t="inlineStr">
        <is>
          <t>Energy efficiency grade (thermal efficiency)</t>
        </is>
      </c>
      <c r="AG144" s="610"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H144" s="610"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I144" s="610" t="inlineStr">
        <is>
          <t>N/A</t>
        </is>
      </c>
      <c r="AJ144" s="610" t="inlineStr">
        <is>
          <t>N/A</t>
        </is>
      </c>
      <c r="AK144" s="610" t="inlineStr">
        <is>
          <t>Inspections or audits conducted by government authorities or third parties</t>
        </is>
      </c>
      <c r="AL144" s="610"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M144" s="610" t="inlineStr">
        <is>
          <t>Compliance order; Monetary penalties</t>
        </is>
      </c>
      <c r="AN144" s="610"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O144" s="610"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P144" s="610"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Q144" s="610" t="inlineStr">
        <is>
          <t>N/A</t>
        </is>
      </c>
      <c r="AR144" s="610" t="inlineStr">
        <is>
          <t>N/A</t>
        </is>
      </c>
      <c r="AS144" s="610" t="inlineStr">
        <is>
          <t>C27; I56</t>
        </is>
      </c>
      <c r="AT144" s="610" t="inlineStr">
        <is>
          <t>CO2</t>
        </is>
      </c>
      <c r="AU144" s="610" t="inlineStr">
        <is>
          <t>Positive</t>
        </is>
      </c>
      <c r="AV144" s="610" t="inlineStr">
        <is>
          <t>Energy conservation; Industrial development</t>
        </is>
      </c>
      <c r="AW144" s="610" t="inlineStr">
        <is>
          <t>GB 40876-2021 Minimum Allowable Values of Energy Efficiency and Energy Efficiency Grades for Commercial Induction Cookers</t>
        </is>
      </c>
      <c r="AX144" s="610" t="inlineStr">
        <is>
          <t>https://openstd.samr.gov.cn/bzgk/std/newGbInfo?hcno=F41CB500B7F8DABB9EA55F2A29AD326B</t>
        </is>
      </c>
      <c r="AY144" s="610" t="inlineStr">
        <is>
          <t>N/A</t>
        </is>
      </c>
      <c r="AZ144" s="610" t="inlineStr"/>
    </row>
    <row r="145">
      <c r="A145" s="610" t="inlineStr">
        <is>
          <t>CHNPRFMECI03S000</t>
        </is>
      </c>
      <c r="B145" s="610" t="inlineStr">
        <is>
          <t>Instrument</t>
        </is>
      </c>
      <c r="C145" s="610" t="inlineStr">
        <is>
          <t>Performance standard</t>
        </is>
      </c>
      <c r="D145" s="610" t="inlineStr">
        <is>
          <t>Minimum Energy Performance Standards (MEPS) for cooking systems</t>
        </is>
      </c>
      <c r="E145" s="610" t="inlineStr">
        <is>
          <t>Buildings</t>
        </is>
      </c>
      <c r="F145" s="610" t="inlineStr">
        <is>
          <t>Household kitchens; Commercial kitchens; Food services</t>
        </is>
      </c>
      <c r="G145" s="610" t="inlineStr">
        <is>
          <t>燃气灶具能效限定值及能效等级</t>
        </is>
      </c>
      <c r="H145" s="610" t="inlineStr">
        <is>
          <t>Minimum Allowable Values of Energy Efficiency and Energy Efficiency Grades for Gas Cooking Appliances</t>
        </is>
      </c>
      <c r="I145" s="610" t="inlineStr">
        <is>
          <t>N/A</t>
        </is>
      </c>
      <c r="J145" s="610"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5" s="610" t="inlineStr">
        <is>
          <t>Energy efficiency</t>
        </is>
      </c>
      <c r="L145" s="610" t="inlineStr">
        <is>
          <t>Direct</t>
        </is>
      </c>
      <c r="M145" s="610" t="inlineStr">
        <is>
          <t>national</t>
        </is>
      </c>
      <c r="N145" s="610" t="inlineStr">
        <is>
          <t>N/A</t>
        </is>
      </c>
      <c r="O145" s="610" t="inlineStr">
        <is>
          <t>27/03/2014</t>
        </is>
      </c>
      <c r="P145" s="610" t="inlineStr">
        <is>
          <t>01/04/2015</t>
        </is>
      </c>
      <c r="Q145" s="610" t="inlineStr">
        <is>
          <t>N/A</t>
        </is>
      </c>
      <c r="R145" s="610" t="inlineStr">
        <is>
          <t>28/02/2025</t>
        </is>
      </c>
      <c r="S145" s="610"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T145" s="610">
        <f>IF(P145="","In force",IF(P145="N/A","In force",IF(TODAY()&lt;DATE(VALUE(RIGHT(P145,4)),VALUE(MID(P145,4,2)),VALUE(LEFT(P145,2))),"Scheduled",IF(Q145="","In force",IF(Q145="N/A","In force",IF(TODAY()&lt;DATE(VALUE(RIGHT(Q145,4)),VALUE(MID(Q145,4,2)),VALUE(LEFT(Q145,2))),"In force","Ended"))))))</f>
        <v/>
      </c>
      <c r="U145" s="610" t="inlineStr">
        <is>
          <t>State Administration for Market Regulation; Standardization Administration of China</t>
        </is>
      </c>
      <c r="V145" s="610" t="inlineStr">
        <is>
          <t>Gas cooking appliances</t>
        </is>
      </c>
      <c r="W145" s="610" t="inlineStr">
        <is>
          <t>new</t>
        </is>
      </c>
      <c r="X145" s="610"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Y145" s="610" t="inlineStr">
        <is>
          <t>N/A</t>
        </is>
      </c>
      <c r="Z145" s="610" t="inlineStr">
        <is>
          <t>N/A</t>
        </is>
      </c>
      <c r="AA145" s="610" t="inlineStr">
        <is>
          <t>Firms</t>
        </is>
      </c>
      <c r="AB145" s="610" t="inlineStr">
        <is>
          <t>Manufacturers and importers producing, importing or selling household and commercial gas cooking appliance products within China.</t>
        </is>
      </c>
      <c r="AC145" s="610" t="inlineStr">
        <is>
          <t>Production; Sale; Import</t>
        </is>
      </c>
      <c r="AD145" s="610" t="inlineStr">
        <is>
          <t>Production, import and sale of household and commercial gas cooking appliance products. Products must meet the standard's minimum allowable energy efficiency values before they can enter the market.</t>
        </is>
      </c>
      <c r="AE145" s="610" t="inlineStr">
        <is>
          <t>Grade 3</t>
        </is>
      </c>
      <c r="AF145" s="610" t="inlineStr">
        <is>
          <t>Energy efficiency grade (thermal efficiency)</t>
        </is>
      </c>
      <c r="AG145" s="610"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H145" s="610"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I145" s="610" t="inlineStr">
        <is>
          <t>N/A</t>
        </is>
      </c>
      <c r="AJ145" s="610" t="inlineStr">
        <is>
          <t>N/A</t>
        </is>
      </c>
      <c r="AK145" s="610" t="inlineStr">
        <is>
          <t>Inspections or audits conducted by government authorities or third parties</t>
        </is>
      </c>
      <c r="AL145" s="610"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M145" s="610" t="inlineStr">
        <is>
          <t>Compliance order; Monetary penalties</t>
        </is>
      </c>
      <c r="AN145" s="610"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O145" s="610" t="inlineStr">
        <is>
          <t>The state encourages production and use of Grade 1 and Grade 2 high-efficiency gas cooking appliance products; promotes the market uptake of high-efficiency gas cooking appliances through energy-saving product certification and green public procurement.</t>
        </is>
      </c>
      <c r="AP145" s="610" t="inlineStr">
        <is>
          <t>The state encourages production and use of Grade 1 and Grade 2 high-efficiency gas cooking appliance products; promotes the market uptake of high-efficiency gas cooking appliances through energy-saving product certification and green public procurement.</t>
        </is>
      </c>
      <c r="AQ145" s="610" t="inlineStr">
        <is>
          <t>N/A</t>
        </is>
      </c>
      <c r="AR145" s="610" t="inlineStr">
        <is>
          <t>N/A</t>
        </is>
      </c>
      <c r="AS145" s="610" t="inlineStr">
        <is>
          <t>C27; I56</t>
        </is>
      </c>
      <c r="AT145" s="610" t="inlineStr">
        <is>
          <t>CO2</t>
        </is>
      </c>
      <c r="AU145" s="610" t="inlineStr">
        <is>
          <t>Positive</t>
        </is>
      </c>
      <c r="AV145" s="610" t="inlineStr">
        <is>
          <t>Energy conservation; Industrial development</t>
        </is>
      </c>
      <c r="AW145" s="610" t="inlineStr">
        <is>
          <t>GB 30720-2025 Minimum Allowable Values of Energy Efficiency and Energy Efficiency Grades for Gas Cooking Appliances</t>
        </is>
      </c>
      <c r="AX145" s="610" t="inlineStr">
        <is>
          <t>https://openstd.samr.gov.cn/bzgk/std/newGbInfo?hcno=A08D277916FB2DA497FD348DD124C148</t>
        </is>
      </c>
      <c r="AY145" s="610" t="inlineStr">
        <is>
          <t>https://openstd.samr.gov.cn/bzgk/std/newGbInfo?hcno=6AAE80A07698D1E42B6C8ED512D84868(GB 30720-2014); https://openstd.samr.gov.cn/bzgk/gb/newGbInfo?hcno=DF575E5EED1AD054D11FD3ACAC964190 (GB 30531-2014)</t>
        </is>
      </c>
      <c r="AZ145" s="610" t="inlineStr"/>
    </row>
    <row r="146">
      <c r="A146" s="610" t="inlineStr">
        <is>
          <t>CHNPRFMELI01S000</t>
        </is>
      </c>
      <c r="B146" s="610" t="inlineStr">
        <is>
          <t>Instrument</t>
        </is>
      </c>
      <c r="C146" s="610" t="inlineStr">
        <is>
          <t>Performance standard</t>
        </is>
      </c>
      <c r="D146" s="610" t="inlineStr">
        <is>
          <t>Minimum Energy Performance Standards (MEPS) for lighting systems</t>
        </is>
      </c>
      <c r="E146" s="610" t="inlineStr">
        <is>
          <t>Industry</t>
        </is>
      </c>
      <c r="F146" s="610" t="inlineStr">
        <is>
          <t>Fluorescent lamp products for general lighting</t>
        </is>
      </c>
      <c r="G146" s="610" t="inlineStr">
        <is>
          <t>普通照明用荧光灯能效限定值及能效等级</t>
        </is>
      </c>
      <c r="H146" s="610" t="inlineStr">
        <is>
          <t>Minimum Allowable Values of Energy Efficiency and Energy Efficiency Grades of Fluorescent Lamps for General Lighting</t>
        </is>
      </c>
      <c r="I146" s="610" t="inlineStr">
        <is>
          <t>N/A</t>
        </is>
      </c>
      <c r="J146" s="610"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6" s="610" t="inlineStr">
        <is>
          <t>Energy efficiency</t>
        </is>
      </c>
      <c r="L146" s="610" t="inlineStr">
        <is>
          <t>Direct</t>
        </is>
      </c>
      <c r="M146" s="610" t="inlineStr">
        <is>
          <t>national</t>
        </is>
      </c>
      <c r="N146" s="610" t="inlineStr">
        <is>
          <t>N/A</t>
        </is>
      </c>
      <c r="O146" s="610" t="inlineStr">
        <is>
          <t>09/06/2013</t>
        </is>
      </c>
      <c r="P146" s="610" t="inlineStr">
        <is>
          <t>01/10/2013</t>
        </is>
      </c>
      <c r="Q146" s="610" t="inlineStr">
        <is>
          <t>N/A</t>
        </is>
      </c>
      <c r="R146" s="610" t="inlineStr">
        <is>
          <t>29/12/2022</t>
        </is>
      </c>
      <c r="S146" s="610" t="inlineStr">
        <is>
          <t>On 29 December 2022, GB 19044-2022 was published, replacing GB 19044-2013, expanding the scope to include electrodeless fluorescent lamps and self-ballasted electrodeless fluorescent lamps, and raising energy efficiency values across all grades.</t>
        </is>
      </c>
      <c r="T146" s="610">
        <f>IF(P146="","In force",IF(P146="N/A","In force",IF(TODAY()&lt;DATE(VALUE(RIGHT(P146,4)),VALUE(MID(P146,4,2)),VALUE(LEFT(P146,2))),"Scheduled",IF(Q146="","In force",IF(Q146="N/A","In force",IF(TODAY()&lt;DATE(VALUE(RIGHT(Q146,4)),VALUE(MID(Q146,4,2)),VALUE(LEFT(Q146,2))),"In force","Ended"))))))</f>
        <v/>
      </c>
      <c r="U146" s="610" t="inlineStr">
        <is>
          <t>State Administration for Market Regulation; Standardization Administration of China</t>
        </is>
      </c>
      <c r="V146" s="610" t="inlineStr">
        <is>
          <t>Fluorescent lamps for general lighting</t>
        </is>
      </c>
      <c r="W146" s="610" t="inlineStr">
        <is>
          <t>new</t>
        </is>
      </c>
      <c r="X146" s="610"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Y146" s="610" t="inlineStr">
        <is>
          <t>N/A</t>
        </is>
      </c>
      <c r="Z146" s="610" t="inlineStr">
        <is>
          <t>N/A</t>
        </is>
      </c>
      <c r="AA146" s="610" t="inlineStr">
        <is>
          <t>Firms</t>
        </is>
      </c>
      <c r="AB146" s="610" t="inlineStr">
        <is>
          <t>Manufacturers and importers producing, importing or selling fluorescent lamp products for general lighting within China.</t>
        </is>
      </c>
      <c r="AC146" s="610" t="inlineStr">
        <is>
          <t>Production; Sale; Import</t>
        </is>
      </c>
      <c r="AD146" s="610" t="inlineStr">
        <is>
          <t>Production, import and sale of fluorescent lamp products for general lighting. Products must meet the standard's minimum allowable energy efficiency values (Grade 3) before they can enter the market.</t>
        </is>
      </c>
      <c r="AE146" s="610" t="inlineStr">
        <is>
          <t>Grade 3</t>
        </is>
      </c>
      <c r="AF146" s="610" t="inlineStr">
        <is>
          <t>Energy efficiency grade</t>
        </is>
      </c>
      <c r="AG146" s="610"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H146" s="610"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6" s="610" t="inlineStr">
        <is>
          <t>N/A</t>
        </is>
      </c>
      <c r="AJ146" s="610" t="inlineStr">
        <is>
          <t>N/A</t>
        </is>
      </c>
      <c r="AK146" s="610" t="inlineStr">
        <is>
          <t>Inspections or audits conducted by government authorities or third parties</t>
        </is>
      </c>
      <c r="AL146" s="610" t="inlineStr">
        <is>
          <t>Market regulatory authorities conduct energy efficiency label supervision inspections and product quality supervision spot checks on fluorescent lamp products.</t>
        </is>
      </c>
      <c r="AM146" s="610" t="inlineStr">
        <is>
          <t>Compliance order; Monetary penalties</t>
        </is>
      </c>
      <c r="AN146" s="610" t="inlineStr">
        <is>
          <t>For production, import or sale of fluorescent lamp products not conforming to the mandatory energy efficiency standard, market regulatory authorities shall order cessation of production, import and sale, confiscate illegal gains and impose fines.</t>
        </is>
      </c>
      <c r="AO146" s="610" t="inlineStr">
        <is>
          <t>The state encourages production and use of Grade 1 and Grade 2 high-efficiency fluorescent lamp products; promotes the market uptake of high-efficiency lighting products through energy-saving product certification.</t>
        </is>
      </c>
      <c r="AP146" s="610" t="inlineStr">
        <is>
          <t>The state encourages production and use of Grade 1 and Grade 2 high-efficiency fluorescent lamp products; promotes the market uptake of high-efficiency lighting products through energy-saving product certification.</t>
        </is>
      </c>
      <c r="AQ146" s="610" t="inlineStr">
        <is>
          <t>N/A</t>
        </is>
      </c>
      <c r="AR146" s="610" t="inlineStr">
        <is>
          <t>N/A</t>
        </is>
      </c>
      <c r="AS146" s="610" t="inlineStr">
        <is>
          <t>C27</t>
        </is>
      </c>
      <c r="AT146" s="610" t="inlineStr">
        <is>
          <t>CO2</t>
        </is>
      </c>
      <c r="AU146" s="610" t="inlineStr">
        <is>
          <t>Positive</t>
        </is>
      </c>
      <c r="AV146" s="610" t="inlineStr">
        <is>
          <t>Energy conservation; Industrial development</t>
        </is>
      </c>
      <c r="AW146" s="610" t="inlineStr">
        <is>
          <t>GB 19044-2022 Minimum Allowable Values of Energy Efficiency and Energy Efficiency Grades of Fluorescent Lamps for General Lighting</t>
        </is>
      </c>
      <c r="AX146" s="610" t="inlineStr">
        <is>
          <t>https://openstd.samr.gov.cn/bzgk/std/newGbInfo?hcno=BFA70AFB28EC97BD4D037DDB48DD951B</t>
        </is>
      </c>
      <c r="AY146" s="610" t="inlineStr">
        <is>
          <t>GB 19044-2013 (superseded): https://openstd.samr.gov.cn/bzgk/gb/newGbInfo?hcno=3C402BFF875C000A2582F2FB6029C8C8</t>
        </is>
      </c>
      <c r="AZ146" s="610" t="inlineStr"/>
    </row>
    <row r="147">
      <c r="A147" s="610" t="inlineStr">
        <is>
          <t>CHNPRFMELI02S000</t>
        </is>
      </c>
      <c r="B147" s="610" t="inlineStr">
        <is>
          <t>Instrument</t>
        </is>
      </c>
      <c r="C147" s="610" t="inlineStr">
        <is>
          <t>Performance standard</t>
        </is>
      </c>
      <c r="D147" s="610" t="inlineStr">
        <is>
          <t>Minimum Energy Performance Standards (MEPS) for lighting systems</t>
        </is>
      </c>
      <c r="E147" s="610" t="inlineStr">
        <is>
          <t>Industry; Business</t>
        </is>
      </c>
      <c r="F147" s="610" t="inlineStr">
        <is>
          <t>Ballasts for gas discharge lamps for general lighting</t>
        </is>
      </c>
      <c r="G147" s="610" t="inlineStr">
        <is>
          <t>普通照明用气体放电灯用镇流器能效限定值及能效等级</t>
        </is>
      </c>
      <c r="H147" s="610" t="inlineStr">
        <is>
          <t>Minimum Allowable Values of Energy Efficiency and Energy Efficiency Grades of Ballasts for Gas Discharge Lamps for General Lighting</t>
        </is>
      </c>
      <c r="I147" s="610" t="inlineStr">
        <is>
          <t>N/A</t>
        </is>
      </c>
      <c r="J147" s="610"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7" s="610" t="inlineStr">
        <is>
          <t>Energy efficiency</t>
        </is>
      </c>
      <c r="L147" s="610" t="inlineStr">
        <is>
          <t>Direct</t>
        </is>
      </c>
      <c r="M147" s="610" t="inlineStr">
        <is>
          <t>national</t>
        </is>
      </c>
      <c r="N147" s="610" t="inlineStr">
        <is>
          <t>N/A</t>
        </is>
      </c>
      <c r="O147" s="610" t="inlineStr">
        <is>
          <t>11/05/2012</t>
        </is>
      </c>
      <c r="P147" s="610" t="inlineStr">
        <is>
          <t>01/09/2012</t>
        </is>
      </c>
      <c r="Q147" s="610" t="inlineStr">
        <is>
          <t>N/A</t>
        </is>
      </c>
      <c r="R147" s="610" t="inlineStr">
        <is>
          <t>29/12/2022</t>
        </is>
      </c>
      <c r="S147" s="610" t="inlineStr">
        <is>
          <t>On 29 December 2022, GB 17896-2022 was published, replacing GB 17896-2012, expanding the scope to ballasts for metal-halide lamps and high-pressure sodium lamps, and raising energy efficiency values across all grades.</t>
        </is>
      </c>
      <c r="T147" s="610">
        <f>IF(P147="","In force",IF(P147="N/A","In force",IF(TODAY()&lt;DATE(VALUE(RIGHT(P147,4)),VALUE(MID(P147,4,2)),VALUE(LEFT(P147,2))),"Scheduled",IF(Q147="","In force",IF(Q147="N/A","In force",IF(TODAY()&lt;DATE(VALUE(RIGHT(Q147,4)),VALUE(MID(Q147,4,2)),VALUE(LEFT(Q147,2))),"In force","Ended"))))))</f>
        <v/>
      </c>
      <c r="U147" s="610" t="inlineStr">
        <is>
          <t>State Administration for Market Regulation; Standardization Administration of China</t>
        </is>
      </c>
      <c r="V147" s="610" t="inlineStr">
        <is>
          <t>Ballasts for gas discharge lamps</t>
        </is>
      </c>
      <c r="W147" s="610" t="inlineStr">
        <is>
          <t>new</t>
        </is>
      </c>
      <c r="X147" s="610" t="inlineStr">
        <is>
          <t>Ballasts and associated ballasts used with fluorescent lamps, electrodeless fluorescent lamps, metal-halide lamps and high-pressure sodium lamps, supplied by power source with rated voltage 220 V and frequency 50 Hz.</t>
        </is>
      </c>
      <c r="Y147" s="610" t="inlineStr">
        <is>
          <t>N/A</t>
        </is>
      </c>
      <c r="Z147" s="610" t="inlineStr">
        <is>
          <t>N/A</t>
        </is>
      </c>
      <c r="AA147" s="610" t="inlineStr">
        <is>
          <t>Firms</t>
        </is>
      </c>
      <c r="AB147" s="610" t="inlineStr">
        <is>
          <t>Manufacturers and importers producing, importing or selling ballast products for gas discharge lamps within China.</t>
        </is>
      </c>
      <c r="AC147" s="610" t="inlineStr">
        <is>
          <t>Production; Sale; Import</t>
        </is>
      </c>
      <c r="AD147" s="610" t="inlineStr">
        <is>
          <t>Production, import and sale of ballast products for gas discharge lamps. Products must meet the standard's minimum allowable energy efficiency values (Grade 3) before they can enter the market.</t>
        </is>
      </c>
      <c r="AE147" s="610" t="inlineStr">
        <is>
          <t>Grade 3</t>
        </is>
      </c>
      <c r="AF147" s="610" t="inlineStr">
        <is>
          <t>Energy efficiency grade</t>
        </is>
      </c>
      <c r="AG147" s="610"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H147" s="610"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7" s="610" t="inlineStr">
        <is>
          <t>N/A</t>
        </is>
      </c>
      <c r="AJ147" s="610" t="inlineStr">
        <is>
          <t>N/A</t>
        </is>
      </c>
      <c r="AK147" s="610" t="inlineStr">
        <is>
          <t>Inspections or audits conducted by government authorities or third parties</t>
        </is>
      </c>
      <c r="AL147" s="610" t="inlineStr">
        <is>
          <t>Market regulatory authorities conduct energy efficiency label supervision inspections and product quality supervision spot checks on ballast products.</t>
        </is>
      </c>
      <c r="AM147" s="610" t="inlineStr">
        <is>
          <t>Compliance order; Monetary penalties</t>
        </is>
      </c>
      <c r="AN147" s="610" t="inlineStr">
        <is>
          <t>For production, import or sale of ballast products not conforming to the mandatory energy efficiency standard, market regulatory authorities shall order cessation of production, import and sale, confiscate illegal gains and impose fines.</t>
        </is>
      </c>
      <c r="AO147" s="610" t="inlineStr">
        <is>
          <t>The state encourages production and use of Grade 1 and Grade 2 high-efficiency ballast products; promotes the market uptake of high-efficiency ballasts through energy-saving product certification.</t>
        </is>
      </c>
      <c r="AP147" s="610" t="inlineStr">
        <is>
          <t>The state encourages production and use of Grade 1 and Grade 2 high-efficiency ballast products; promotes the market uptake of high-efficiency ballasts through energy-saving product certification.</t>
        </is>
      </c>
      <c r="AQ147" s="610" t="inlineStr">
        <is>
          <t>N/A</t>
        </is>
      </c>
      <c r="AR147" s="610" t="inlineStr">
        <is>
          <t>N/A</t>
        </is>
      </c>
      <c r="AS147" s="610" t="inlineStr">
        <is>
          <t>C27</t>
        </is>
      </c>
      <c r="AT147" s="610" t="inlineStr">
        <is>
          <t>CO2</t>
        </is>
      </c>
      <c r="AU147" s="610" t="inlineStr">
        <is>
          <t>Positive</t>
        </is>
      </c>
      <c r="AV147" s="610" t="inlineStr">
        <is>
          <t>Energy conservation; Industrial development</t>
        </is>
      </c>
      <c r="AW147" s="610" t="inlineStr">
        <is>
          <t>GB 17896-2022 Minimum Allowable Values of Energy Efficiency and Energy Efficiency Grades of Ballasts for Gas Discharge Lamps for General Lighting</t>
        </is>
      </c>
      <c r="AX147" s="610" t="inlineStr">
        <is>
          <t>https://openstd.samr.gov.cn/bzgk/std/newGbInfo?hcno=457A4B24896B86FB9B1135B2CE03B358</t>
        </is>
      </c>
      <c r="AY147" s="610" t="inlineStr">
        <is>
          <t>GB 17896-2012 (superseded): https://openstd.samr.gov.cn/bzgk/std/newGbInfo?hcno=0C3D4E4CE75360322AEE7E63ED3F7711</t>
        </is>
      </c>
      <c r="AZ147" s="610" t="inlineStr"/>
    </row>
    <row r="148">
      <c r="A148" s="610" t="inlineStr">
        <is>
          <t>CHNPRFMELI03S000</t>
        </is>
      </c>
      <c r="B148" s="610" t="inlineStr">
        <is>
          <t>Instrument</t>
        </is>
      </c>
      <c r="C148" s="610" t="inlineStr">
        <is>
          <t>Performance standard</t>
        </is>
      </c>
      <c r="D148" s="610" t="inlineStr">
        <is>
          <t>Minimum Energy Performance Standards (MEPS) for lighting systems</t>
        </is>
      </c>
      <c r="E148" s="610" t="inlineStr">
        <is>
          <t>Industry</t>
        </is>
      </c>
      <c r="F148" s="610" t="inlineStr">
        <is>
          <t>LED flat panel luminaire products for general lighting</t>
        </is>
      </c>
      <c r="G148" s="610" t="inlineStr">
        <is>
          <t>普通照明用 LED 平板灯能效限定值及能效等级</t>
        </is>
      </c>
      <c r="H148" s="610" t="inlineStr">
        <is>
          <t>Minimum Allowable Values of Energy Efficiency and Energy Efficiency Grades of LED Flat Panel Luminaires for General Lighting</t>
        </is>
      </c>
      <c r="I148" s="610" t="inlineStr">
        <is>
          <t>N/A</t>
        </is>
      </c>
      <c r="J148" s="610"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8" s="610" t="inlineStr">
        <is>
          <t>Energy efficiency</t>
        </is>
      </c>
      <c r="L148" s="610" t="inlineStr">
        <is>
          <t>Direct</t>
        </is>
      </c>
      <c r="M148" s="610" t="inlineStr">
        <is>
          <t>national</t>
        </is>
      </c>
      <c r="N148" s="610" t="inlineStr">
        <is>
          <t>N/A</t>
        </is>
      </c>
      <c r="O148" s="610" t="inlineStr">
        <is>
          <t>31/12/2019</t>
        </is>
      </c>
      <c r="P148" s="610" t="inlineStr">
        <is>
          <t>01/01/2021</t>
        </is>
      </c>
      <c r="Q148" s="610" t="inlineStr">
        <is>
          <t>N/A</t>
        </is>
      </c>
      <c r="R148" s="610" t="inlineStr">
        <is>
          <t>N/A</t>
        </is>
      </c>
      <c r="S148" s="610" t="inlineStr">
        <is>
          <t>N/A</t>
        </is>
      </c>
      <c r="T148" s="610">
        <f>IF(P148="","In force",IF(P148="N/A","In force",IF(TODAY()&lt;DATE(VALUE(RIGHT(P148,4)),VALUE(MID(P148,4,2)),VALUE(LEFT(P148,2))),"Scheduled",IF(Q148="","In force",IF(Q148="N/A","In force",IF(TODAY()&lt;DATE(VALUE(RIGHT(Q148,4)),VALUE(MID(Q148,4,2)),VALUE(LEFT(Q148,2))),"In force","Ended"))))))</f>
        <v/>
      </c>
      <c r="U148" s="610" t="inlineStr">
        <is>
          <t>State Administration for Market Regulation; Standardization Administration of China</t>
        </is>
      </c>
      <c r="V148" s="610" t="inlineStr">
        <is>
          <t>LED flat panel luminaires</t>
        </is>
      </c>
      <c r="W148" s="610" t="inlineStr">
        <is>
          <t>new</t>
        </is>
      </c>
      <c r="X148" s="610"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Y148" s="610" t="inlineStr">
        <is>
          <t>N/A</t>
        </is>
      </c>
      <c r="Z148" s="610" t="inlineStr">
        <is>
          <t>N/A</t>
        </is>
      </c>
      <c r="AA148" s="610" t="inlineStr">
        <is>
          <t>Firms</t>
        </is>
      </c>
      <c r="AB148" s="610" t="inlineStr">
        <is>
          <t>Manufacturers and importers producing, importing or selling LED flat panel luminaire products within China.</t>
        </is>
      </c>
      <c r="AC148" s="610" t="inlineStr">
        <is>
          <t>Production; Sale; Import</t>
        </is>
      </c>
      <c r="AD148" s="610" t="inlineStr">
        <is>
          <t>Production, import and sale of LED flat panel luminaire products. Products must meet the standard's minimum allowable energy efficiency values (Grade 3) before they can enter the market.</t>
        </is>
      </c>
      <c r="AE148" s="610" t="inlineStr">
        <is>
          <t>Grade 3</t>
        </is>
      </c>
      <c r="AF148" s="610" t="inlineStr">
        <is>
          <t>Energy efficiency grade</t>
        </is>
      </c>
      <c r="AG148" s="610"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H148" s="610"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8" s="610" t="inlineStr">
        <is>
          <t>N/A</t>
        </is>
      </c>
      <c r="AJ148" s="610" t="inlineStr">
        <is>
          <t>N/A</t>
        </is>
      </c>
      <c r="AK148" s="610" t="inlineStr">
        <is>
          <t>Inspections or audits conducted by government authorities or third parties</t>
        </is>
      </c>
      <c r="AL148" s="610" t="inlineStr">
        <is>
          <t>Market regulatory authorities conduct energy efficiency label supervision inspections and product quality supervision spot checks on LED flat panel luminaire products.</t>
        </is>
      </c>
      <c r="AM148" s="610" t="inlineStr">
        <is>
          <t>Compliance order; Monetary penalties</t>
        </is>
      </c>
      <c r="AN148" s="610" t="inlineStr">
        <is>
          <t>For production, import or sale of LED flat panel luminaire products not conforming to the mandatory energy efficiency standard, market regulatory authorities shall order cessation of production, import and sale, confiscate illegal gains and impose fines.</t>
        </is>
      </c>
      <c r="AO148" s="610" t="inlineStr">
        <is>
          <t>The state encourages production and use of Grade 1 and Grade 2 high-efficiency LED flat panel luminaire products; promotes the market uptake of high-efficiency LED lighting products through energy-saving product certification.</t>
        </is>
      </c>
      <c r="AP148" s="610" t="inlineStr">
        <is>
          <t>The state encourages production and use of Grade 1 and Grade 2 high-efficiency LED flat panel luminaire products; promotes the market uptake of high-efficiency LED lighting products through energy-saving product certification.</t>
        </is>
      </c>
      <c r="AQ148" s="610" t="inlineStr">
        <is>
          <t>N/A</t>
        </is>
      </c>
      <c r="AR148" s="610" t="inlineStr">
        <is>
          <t>N/A</t>
        </is>
      </c>
      <c r="AS148" s="610" t="inlineStr">
        <is>
          <t>C27</t>
        </is>
      </c>
      <c r="AT148" s="610" t="inlineStr">
        <is>
          <t>CO2</t>
        </is>
      </c>
      <c r="AU148" s="610" t="inlineStr">
        <is>
          <t>Positive</t>
        </is>
      </c>
      <c r="AV148" s="610" t="inlineStr">
        <is>
          <t>Energy conservation; Industrial development</t>
        </is>
      </c>
      <c r="AW148" s="610" t="inlineStr">
        <is>
          <t>GB 38450-2019 Minimum Allowable Values of Energy Efficiency and Energy Efficiency Grades of LED Flat Panel Luminaires for General Lighting</t>
        </is>
      </c>
      <c r="AX148" s="610" t="inlineStr">
        <is>
          <t>https://openstd.samr.gov.cn/bzgk/std/newGbInfo?hcno=0A491803E2AE7670CD30ABB7049EF1F6</t>
        </is>
      </c>
      <c r="AY148" s="610" t="inlineStr">
        <is>
          <t>N/A</t>
        </is>
      </c>
      <c r="AZ148" s="610" t="inlineStr"/>
    </row>
    <row r="149">
      <c r="A149" s="610" t="inlineStr">
        <is>
          <t>CHNPRFMELI04S000</t>
        </is>
      </c>
      <c r="B149" s="610" t="inlineStr">
        <is>
          <t>Instrument</t>
        </is>
      </c>
      <c r="C149" s="610" t="inlineStr">
        <is>
          <t>Performance standard</t>
        </is>
      </c>
      <c r="D149" s="610" t="inlineStr">
        <is>
          <t>Minimum Energy Performance Standards (MEPS) for lighting systems</t>
        </is>
      </c>
      <c r="E149" s="610" t="inlineStr">
        <is>
          <t>Industry</t>
        </is>
      </c>
      <c r="F149" s="610" t="inlineStr">
        <is>
          <t>LED products for indoor lighting</t>
        </is>
      </c>
      <c r="G149" s="610" t="inlineStr">
        <is>
          <t>室内照明用 LED 产品能效限定值及能效等级</t>
        </is>
      </c>
      <c r="H149" s="610" t="inlineStr">
        <is>
          <t>Minimum Allowable Values of Energy Efficiency and Energy Efficiency Grades of LED Products for Indoor Lighting</t>
        </is>
      </c>
      <c r="I149" s="610" t="inlineStr">
        <is>
          <t>N/A</t>
        </is>
      </c>
      <c r="J149" s="610"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49" s="610" t="inlineStr">
        <is>
          <t>Energy efficiency</t>
        </is>
      </c>
      <c r="L149" s="610" t="inlineStr">
        <is>
          <t>Direct</t>
        </is>
      </c>
      <c r="M149" s="610" t="inlineStr">
        <is>
          <t>national</t>
        </is>
      </c>
      <c r="N149" s="610" t="inlineStr">
        <is>
          <t>N/A</t>
        </is>
      </c>
      <c r="O149" s="610" t="inlineStr">
        <is>
          <t>18/12/2013</t>
        </is>
      </c>
      <c r="P149" s="610" t="inlineStr">
        <is>
          <t>01/09/2014</t>
        </is>
      </c>
      <c r="Q149" s="610" t="inlineStr">
        <is>
          <t>N/A</t>
        </is>
      </c>
      <c r="R149" s="610" t="inlineStr">
        <is>
          <t>04/04/2019</t>
        </is>
      </c>
      <c r="S149" s="610" t="inlineStr">
        <is>
          <t>On 4 April 2019, GB 30255-2019 was published, replacing GB 30255-2013, expanding the scope to LED downlights and directional integrated LED lamps, and raising energy efficiency values while adding colour rendering index and lumen maintenance requirements.</t>
        </is>
      </c>
      <c r="T149" s="610">
        <f>IF(P149="","In force",IF(P149="N/A","In force",IF(TODAY()&lt;DATE(VALUE(RIGHT(P149,4)),VALUE(MID(P149,4,2)),VALUE(LEFT(P149,2))),"Scheduled",IF(Q149="","In force",IF(Q149="N/A","In force",IF(TODAY()&lt;DATE(VALUE(RIGHT(Q149,4)),VALUE(MID(Q149,4,2)),VALUE(LEFT(Q149,2))),"In force","Ended"))))))</f>
        <v/>
      </c>
      <c r="U149" s="610" t="inlineStr">
        <is>
          <t>State Administration for Market Regulation; Standardization Administration of China</t>
        </is>
      </c>
      <c r="V149" s="610" t="inlineStr">
        <is>
          <t>LED products for indoor lighting</t>
        </is>
      </c>
      <c r="W149" s="610" t="inlineStr">
        <is>
          <t>new</t>
        </is>
      </c>
      <c r="X149" s="610"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Y149" s="610" t="inlineStr">
        <is>
          <t>N/A</t>
        </is>
      </c>
      <c r="Z149" s="610" t="inlineStr">
        <is>
          <t>N/A</t>
        </is>
      </c>
      <c r="AA149" s="610" t="inlineStr">
        <is>
          <t>Firms</t>
        </is>
      </c>
      <c r="AB149" s="610" t="inlineStr">
        <is>
          <t>Manufacturers and importers producing, importing or selling indoor LED lighting products within China.</t>
        </is>
      </c>
      <c r="AC149" s="610" t="inlineStr">
        <is>
          <t>Production; Sale; Import</t>
        </is>
      </c>
      <c r="AD149" s="610" t="inlineStr">
        <is>
          <t>Production, import and sale of indoor LED lighting products. Products must meet the standard's minimum allowable energy efficiency values (Grade 3) before they can enter the market.</t>
        </is>
      </c>
      <c r="AE149" s="610" t="inlineStr">
        <is>
          <t>Grade 3</t>
        </is>
      </c>
      <c r="AF149" s="610" t="inlineStr">
        <is>
          <t>Energy efficiency grade</t>
        </is>
      </c>
      <c r="AG149" s="610"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H149" s="610"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I149" s="610" t="inlineStr">
        <is>
          <t>N/A</t>
        </is>
      </c>
      <c r="AJ149" s="610" t="inlineStr">
        <is>
          <t>N/A</t>
        </is>
      </c>
      <c r="AK149" s="610" t="inlineStr">
        <is>
          <t>Inspections or audits conducted by government authorities or third parties</t>
        </is>
      </c>
      <c r="AL149" s="610" t="inlineStr">
        <is>
          <t>Market regulatory authorities conduct energy efficiency label supervision inspections and product quality supervision spot checks on indoor LED lighting products.</t>
        </is>
      </c>
      <c r="AM149" s="610" t="inlineStr">
        <is>
          <t>Compliance order; Monetary penalties</t>
        </is>
      </c>
      <c r="AN149" s="610" t="inlineStr">
        <is>
          <t>For production, import or sale of indoor LED lighting products not conforming to the mandatory energy efficiency standard, market regulatory authorities shall order cessation of production, import and sale, confiscate illegal gains and impose fines.</t>
        </is>
      </c>
      <c r="AO149" s="610" t="inlineStr">
        <is>
          <t>The state encourages production and use of Grade 1 and Grade 2 high-efficiency indoor LED lighting products; promotes the market uptake of high-efficiency LED lighting products through energy-saving product certification and green procurement.</t>
        </is>
      </c>
      <c r="AP149" s="610" t="inlineStr">
        <is>
          <t>The state encourages production and use of Grade 1 and Grade 2 high-efficiency indoor LED lighting products; promotes the market uptake of high-efficiency LED lighting products through energy-saving product certification and green procurement.</t>
        </is>
      </c>
      <c r="AQ149" s="610" t="inlineStr">
        <is>
          <t>N/A</t>
        </is>
      </c>
      <c r="AR149" s="610" t="inlineStr">
        <is>
          <t>N/A</t>
        </is>
      </c>
      <c r="AS149" s="610" t="inlineStr">
        <is>
          <t>C27</t>
        </is>
      </c>
      <c r="AT149" s="610" t="inlineStr">
        <is>
          <t>CO2</t>
        </is>
      </c>
      <c r="AU149" s="610" t="inlineStr">
        <is>
          <t>Positive</t>
        </is>
      </c>
      <c r="AV149" s="610" t="inlineStr">
        <is>
          <t>Energy conservation; Industrial development</t>
        </is>
      </c>
      <c r="AW149" s="610" t="inlineStr">
        <is>
          <t>GB 30255-2019 Minimum Allowable Values of Energy Efficiency and Energy Efficiency Grades of LED Products for Indoor Lighting</t>
        </is>
      </c>
      <c r="AX149" s="610" t="inlineStr">
        <is>
          <t>https://openstd.samr.gov.cn/bzgk/std/newGbInfo?hcno=4BEB317A9F75B860E0630320F5D80374</t>
        </is>
      </c>
      <c r="AY149" s="610" t="inlineStr">
        <is>
          <t>GB 30255-2013 (superseded): https://openstd.samr.gov.cn/bzgk/std/newGbInfo?hcno=D96319301123AFD0D059D7250A109E71</t>
        </is>
      </c>
      <c r="AZ149" s="610" t="inlineStr"/>
    </row>
    <row r="150">
      <c r="A150" s="610" t="inlineStr">
        <is>
          <t>CHNPRFMELI05S000</t>
        </is>
      </c>
      <c r="B150" s="610" t="inlineStr">
        <is>
          <t>Instrument</t>
        </is>
      </c>
      <c r="C150" s="610" t="inlineStr">
        <is>
          <t>Performance standard</t>
        </is>
      </c>
      <c r="D150" s="610" t="inlineStr">
        <is>
          <t>Minimum Energy Performance Standards (MEPS) for lighting systems</t>
        </is>
      </c>
      <c r="E150" s="610" t="inlineStr">
        <is>
          <t>Transport</t>
        </is>
      </c>
      <c r="F150" s="610" t="inlineStr">
        <is>
          <t>Road and tunnel lighting</t>
        </is>
      </c>
      <c r="G150" s="610" t="inlineStr">
        <is>
          <t>道路和隧道照明用 LED 灯具能效限定值及能效等级</t>
        </is>
      </c>
      <c r="H150" s="610" t="inlineStr">
        <is>
          <t>Minimum Allowable Values of Energy Efficiency and Energy Efficiency Grades of LED Luminaires for Road and Tunnel Lighting</t>
        </is>
      </c>
      <c r="I150" s="610" t="inlineStr">
        <is>
          <t>N/A</t>
        </is>
      </c>
      <c r="J150" s="610"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0" s="610" t="inlineStr">
        <is>
          <t>Energy efficiency</t>
        </is>
      </c>
      <c r="L150" s="610" t="inlineStr">
        <is>
          <t>Direct</t>
        </is>
      </c>
      <c r="M150" s="610" t="inlineStr">
        <is>
          <t>national</t>
        </is>
      </c>
      <c r="N150" s="610" t="inlineStr">
        <is>
          <t>N/A</t>
        </is>
      </c>
      <c r="O150" s="610" t="inlineStr">
        <is>
          <t>04/04/2019</t>
        </is>
      </c>
      <c r="P150" s="610" t="inlineStr">
        <is>
          <t>01/11/2020</t>
        </is>
      </c>
      <c r="Q150" s="610" t="inlineStr">
        <is>
          <t>N/A</t>
        </is>
      </c>
      <c r="R150" s="610" t="inlineStr">
        <is>
          <t>N/A</t>
        </is>
      </c>
      <c r="S150" s="610" t="inlineStr">
        <is>
          <t>N/A</t>
        </is>
      </c>
      <c r="T150" s="610">
        <f>IF(P150="","In force",IF(P150="N/A","In force",IF(TODAY()&lt;DATE(VALUE(RIGHT(P150,4)),VALUE(MID(P150,4,2)),VALUE(LEFT(P150,2))),"Scheduled",IF(Q150="","In force",IF(Q150="N/A","In force",IF(TODAY()&lt;DATE(VALUE(RIGHT(Q150,4)),VALUE(MID(Q150,4,2)),VALUE(LEFT(Q150,2))),"In force","Ended"))))))</f>
        <v/>
      </c>
      <c r="U150" s="610" t="inlineStr">
        <is>
          <t>State Administration for Market Regulation; Standardization Administration of China</t>
        </is>
      </c>
      <c r="V150" s="610" t="inlineStr">
        <is>
          <t>Road and tunnel LED luminaires</t>
        </is>
      </c>
      <c r="W150" s="610" t="inlineStr">
        <is>
          <t>new</t>
        </is>
      </c>
      <c r="X150" s="610"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Y150" s="610" t="inlineStr">
        <is>
          <t>N/A</t>
        </is>
      </c>
      <c r="Z150" s="610" t="inlineStr">
        <is>
          <t>N/A</t>
        </is>
      </c>
      <c r="AA150" s="610" t="inlineStr">
        <is>
          <t>Firms</t>
        </is>
      </c>
      <c r="AB150" s="610" t="inlineStr">
        <is>
          <t>Manufacturers and importers producing, importing or selling road and tunnel LED luminaires within China.</t>
        </is>
      </c>
      <c r="AC150" s="610" t="inlineStr">
        <is>
          <t>Production; Sale; Import</t>
        </is>
      </c>
      <c r="AD150" s="610" t="inlineStr">
        <is>
          <t>Production, import and sale of road and tunnel LED luminaires. Products must meet the standard's minimum allowable energy efficiency values (Grade 3) before they can enter the market.</t>
        </is>
      </c>
      <c r="AE150" s="610" t="inlineStr">
        <is>
          <t>Grade 3</t>
        </is>
      </c>
      <c r="AF150" s="610" t="inlineStr">
        <is>
          <t>Energy efficiency grade</t>
        </is>
      </c>
      <c r="AG150" s="610"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H150" s="610"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I150" s="610" t="inlineStr">
        <is>
          <t>N/A</t>
        </is>
      </c>
      <c r="AJ150" s="610" t="inlineStr">
        <is>
          <t>N/A</t>
        </is>
      </c>
      <c r="AK150" s="610" t="inlineStr">
        <is>
          <t>Inspections or audits conducted by government authorities or third parties</t>
        </is>
      </c>
      <c r="AL150" s="610" t="inlineStr">
        <is>
          <t>Market regulatory authorities conduct energy efficiency label supervision inspections and product quality supervision spot checks on road and tunnel LED luminaire products.</t>
        </is>
      </c>
      <c r="AM150" s="610" t="inlineStr">
        <is>
          <t>Compliance order; Monetary penalties</t>
        </is>
      </c>
      <c r="AN150" s="610" t="inlineStr">
        <is>
          <t>For production, import or sale of road and tunnel LED luminaires not conforming to the mandatory energy efficiency standard, market regulatory authorities shall order cessation of production, import and sale, confiscate illegal gains and impose fines.</t>
        </is>
      </c>
      <c r="AO150" s="610"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P150" s="610"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Q150" s="610" t="inlineStr">
        <is>
          <t>N/A</t>
        </is>
      </c>
      <c r="AR150" s="610" t="inlineStr">
        <is>
          <t>N/A</t>
        </is>
      </c>
      <c r="AS150" s="610" t="inlineStr">
        <is>
          <t>C27</t>
        </is>
      </c>
      <c r="AT150" s="610" t="inlineStr">
        <is>
          <t>CO2</t>
        </is>
      </c>
      <c r="AU150" s="610" t="inlineStr">
        <is>
          <t>Positive</t>
        </is>
      </c>
      <c r="AV150" s="610" t="inlineStr">
        <is>
          <t>Energy conservation; Industrial development</t>
        </is>
      </c>
      <c r="AW150" s="610" t="inlineStr">
        <is>
          <t>GB 37478-2019 Minimum Allowable Values of Energy Efficiency and Energy Efficiency Grades of LED Luminaires for Road and Tunnel Lighting</t>
        </is>
      </c>
      <c r="AX150" s="610" t="inlineStr">
        <is>
          <t>https://openstd.samr.gov.cn/bzgk/std/newGbInfo?hcno=A9707971EC81F8FE912F5A4AED47F4FE</t>
        </is>
      </c>
      <c r="AY150" s="610" t="inlineStr">
        <is>
          <t>N/A</t>
        </is>
      </c>
      <c r="AZ150" s="610" t="inlineStr"/>
    </row>
    <row r="151">
      <c r="A151" s="610" t="inlineStr">
        <is>
          <t>CHNPRFMELI06S000</t>
        </is>
      </c>
      <c r="B151" s="610" t="inlineStr">
        <is>
          <t>Instrument</t>
        </is>
      </c>
      <c r="C151" s="610" t="inlineStr">
        <is>
          <t>Performance standard</t>
        </is>
      </c>
      <c r="D151" s="610" t="inlineStr">
        <is>
          <t>Minimum Energy Performance Standards (MEPS) for lighting systems</t>
        </is>
      </c>
      <c r="E151" s="610" t="inlineStr">
        <is>
          <t>Industry; Business</t>
        </is>
      </c>
      <c r="F151" s="610" t="inlineStr">
        <is>
          <t>General lighting and industrial lighting</t>
        </is>
      </c>
      <c r="G151" s="610" t="inlineStr">
        <is>
          <t>金属卤化物灯能效限定值及能效等级</t>
        </is>
      </c>
      <c r="H151" s="610" t="inlineStr">
        <is>
          <t>Minimum Allowable Values of Energy Efficiency and Energy Efficiency Grades for Metal-Halide Lamps</t>
        </is>
      </c>
      <c r="I151" s="610" t="inlineStr">
        <is>
          <t>N/A</t>
        </is>
      </c>
      <c r="J151" s="610"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1" s="610" t="inlineStr">
        <is>
          <t>Energy efficiency</t>
        </is>
      </c>
      <c r="L151" s="610" t="inlineStr">
        <is>
          <t>Direct</t>
        </is>
      </c>
      <c r="M151" s="610" t="inlineStr">
        <is>
          <t>national</t>
        </is>
      </c>
      <c r="N151" s="610" t="inlineStr">
        <is>
          <t>N/A</t>
        </is>
      </c>
      <c r="O151" s="610" t="inlineStr">
        <is>
          <t>09/01/2006</t>
        </is>
      </c>
      <c r="P151" s="610" t="inlineStr">
        <is>
          <t>01/07/2006</t>
        </is>
      </c>
      <c r="Q151" s="610" t="inlineStr">
        <is>
          <t>N/A</t>
        </is>
      </c>
      <c r="R151" s="610" t="inlineStr">
        <is>
          <t>10/12/2015</t>
        </is>
      </c>
      <c r="S151" s="610" t="inlineStr">
        <is>
          <t>On 10 December 2015, GB 20054-2015 was published, replacing GB 20054-2006, expanding the scope to ceramic metal-halide lamps and raising energy efficiency values across all grades.</t>
        </is>
      </c>
      <c r="T151" s="610">
        <f>IF(P151="","In force",IF(P151="N/A","In force",IF(TODAY()&lt;DATE(VALUE(RIGHT(P151,4)),VALUE(MID(P151,4,2)),VALUE(LEFT(P151,2))),"Scheduled",IF(Q151="","In force",IF(Q151="N/A","In force",IF(TODAY()&lt;DATE(VALUE(RIGHT(Q151,4)),VALUE(MID(Q151,4,2)),VALUE(LEFT(Q151,2))),"In force","Ended"))))))</f>
        <v/>
      </c>
      <c r="U151" s="610" t="inlineStr">
        <is>
          <t>State Administration for Market Regulation; Standardization Administration of China</t>
        </is>
      </c>
      <c r="V151" s="610" t="inlineStr">
        <is>
          <t>Metal-halide lamps</t>
        </is>
      </c>
      <c r="W151" s="610" t="inlineStr">
        <is>
          <t>new</t>
        </is>
      </c>
      <c r="X151" s="610" t="inlineStr">
        <is>
          <t>Metal-halide lamp products, including single-ended metal-halide lamps (175 W–1 500 W), double-ended metal-halide lamps (70 W–250 W), and ceramic metal-halide lamps (20 W–400 W).</t>
        </is>
      </c>
      <c r="Y151" s="610" t="inlineStr">
        <is>
          <t>N/A</t>
        </is>
      </c>
      <c r="Z151" s="610" t="inlineStr">
        <is>
          <t>N/A</t>
        </is>
      </c>
      <c r="AA151" s="610" t="inlineStr">
        <is>
          <t>Firms</t>
        </is>
      </c>
      <c r="AB151" s="610" t="inlineStr">
        <is>
          <t>Manufacturers and importers producing, importing or selling metal-halide lamp products within China.</t>
        </is>
      </c>
      <c r="AC151" s="610" t="inlineStr">
        <is>
          <t>Production; Sale; Import</t>
        </is>
      </c>
      <c r="AD151" s="610" t="inlineStr">
        <is>
          <t>Production, import and sale of metal-halide lamp products. Products must meet the standard's minimum allowable energy efficiency values (Grade 3) before they can enter the market.</t>
        </is>
      </c>
      <c r="AE151" s="610" t="inlineStr">
        <is>
          <t>Grade 3</t>
        </is>
      </c>
      <c r="AF151" s="610" t="inlineStr">
        <is>
          <t>Energy efficiency grade</t>
        </is>
      </c>
      <c r="AG151" s="610"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H151" s="610"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1" s="610" t="inlineStr">
        <is>
          <t>N/A</t>
        </is>
      </c>
      <c r="AJ151" s="610" t="inlineStr">
        <is>
          <t>N/A</t>
        </is>
      </c>
      <c r="AK151" s="610" t="inlineStr">
        <is>
          <t>Inspections or audits conducted by government authorities or third parties</t>
        </is>
      </c>
      <c r="AL151" s="610" t="inlineStr">
        <is>
          <t>Market regulatory authorities conduct energy efficiency label supervision inspections and product quality supervision spot checks on metal-halide lamp products.</t>
        </is>
      </c>
      <c r="AM151" s="610" t="inlineStr">
        <is>
          <t>Compliance order; Monetary penalties</t>
        </is>
      </c>
      <c r="AN151" s="610" t="inlineStr">
        <is>
          <t>For production, import or sale of metal-halide lamp products not conforming to the mandatory energy efficiency standard, market regulatory authorities shall order cessation of production, import and sale, confiscate illegal gains and impose fines.</t>
        </is>
      </c>
      <c r="AO151" s="610" t="inlineStr">
        <is>
          <t>The state encourages production and use of Grade 1 and Grade 2 high-efficiency metal-halide lamp products; promotes the market uptake of high-efficiency lighting products through energy-saving product certification.</t>
        </is>
      </c>
      <c r="AP151" s="610" t="inlineStr">
        <is>
          <t>The state encourages production and use of Grade 1 and Grade 2 high-efficiency metal-halide lamp products; promotes the market uptake of high-efficiency lighting products through energy-saving product certification.</t>
        </is>
      </c>
      <c r="AQ151" s="610" t="inlineStr">
        <is>
          <t>N/A</t>
        </is>
      </c>
      <c r="AR151" s="610" t="inlineStr">
        <is>
          <t>N/A</t>
        </is>
      </c>
      <c r="AS151" s="610" t="inlineStr">
        <is>
          <t>C27</t>
        </is>
      </c>
      <c r="AT151" s="610" t="inlineStr">
        <is>
          <t>CO2</t>
        </is>
      </c>
      <c r="AU151" s="610" t="inlineStr">
        <is>
          <t>Positive</t>
        </is>
      </c>
      <c r="AV151" s="610" t="inlineStr">
        <is>
          <t>Energy conservation; Industrial development</t>
        </is>
      </c>
      <c r="AW151" s="610" t="inlineStr">
        <is>
          <t>GB 20054-2015 Minimum Allowable Values of Energy Efficiency and Energy Efficiency Grades for Metal-Halide Lamps</t>
        </is>
      </c>
      <c r="AX151" s="610" t="inlineStr">
        <is>
          <t>https://openstd.samr.gov.cn/bzgk/gb/newGbInfo?hcno=2F0F9222CCE78515A0BDF7AE60AF0828</t>
        </is>
      </c>
      <c r="AY151" s="610" t="inlineStr">
        <is>
          <t>GB 20054-2006 (superseded): https://std.samr.gov.cn/gb/search/gbDetailed?id=71F772D7C577D3A7E05397BE0A0AB82A</t>
        </is>
      </c>
      <c r="AZ151" s="610" t="inlineStr"/>
    </row>
    <row r="152">
      <c r="A152" s="610" t="inlineStr">
        <is>
          <t>CHNPRFMELI07S000</t>
        </is>
      </c>
      <c r="B152" s="610" t="inlineStr">
        <is>
          <t>Instrument</t>
        </is>
      </c>
      <c r="C152" s="610" t="inlineStr">
        <is>
          <t>Performance standard</t>
        </is>
      </c>
      <c r="D152" s="610" t="inlineStr">
        <is>
          <t>Minimum Energy Performance Standards (MEPS) for lighting systems</t>
        </is>
      </c>
      <c r="E152" s="610" t="inlineStr">
        <is>
          <t>Industry</t>
        </is>
      </c>
      <c r="F152" s="610" t="inlineStr">
        <is>
          <t>Tungsten halogen lamp products for general lighting</t>
        </is>
      </c>
      <c r="G152" s="610" t="inlineStr">
        <is>
          <t>普通照明用卤钨灯能效限定值及节能评价值</t>
        </is>
      </c>
      <c r="H152" s="610" t="inlineStr">
        <is>
          <t>Minimum Allowable Values of Energy Efficiency and Evaluating Values of Energy Conservation of Tungsten Halogen Lamps for General Lighting</t>
        </is>
      </c>
      <c r="I152" s="610" t="inlineStr">
        <is>
          <t>N/A</t>
        </is>
      </c>
      <c r="J152" s="610"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2" s="610" t="inlineStr">
        <is>
          <t>Energy efficiency</t>
        </is>
      </c>
      <c r="L152" s="610" t="inlineStr">
        <is>
          <t>Direct</t>
        </is>
      </c>
      <c r="M152" s="610" t="inlineStr">
        <is>
          <t>national</t>
        </is>
      </c>
      <c r="N152" s="610" t="inlineStr">
        <is>
          <t>N/A</t>
        </is>
      </c>
      <c r="O152" s="610" t="inlineStr">
        <is>
          <t>10/10/2014</t>
        </is>
      </c>
      <c r="P152" s="610" t="inlineStr">
        <is>
          <t>01/09/2015</t>
        </is>
      </c>
      <c r="Q152" s="610" t="inlineStr">
        <is>
          <t>N/A</t>
        </is>
      </c>
      <c r="R152" s="610" t="inlineStr">
        <is>
          <t>N/A</t>
        </is>
      </c>
      <c r="S152" s="610" t="inlineStr">
        <is>
          <t>N/A</t>
        </is>
      </c>
      <c r="T152" s="610">
        <f>IF(P152="","In force",IF(P152="N/A","In force",IF(TODAY()&lt;DATE(VALUE(RIGHT(P152,4)),VALUE(MID(P152,4,2)),VALUE(LEFT(P152,2))),"Scheduled",IF(Q152="","In force",IF(Q152="N/A","In force",IF(TODAY()&lt;DATE(VALUE(RIGHT(Q152,4)),VALUE(MID(Q152,4,2)),VALUE(LEFT(Q152,2))),"In force","Ended"))))))</f>
        <v/>
      </c>
      <c r="U152" s="610" t="inlineStr">
        <is>
          <t>State Administration for Market Regulation; Standardization Administration of China</t>
        </is>
      </c>
      <c r="V152" s="610" t="inlineStr">
        <is>
          <t>Tungsten halogen lamps for general lighting</t>
        </is>
      </c>
      <c r="W152" s="610" t="inlineStr">
        <is>
          <t>new</t>
        </is>
      </c>
      <c r="X152" s="610" t="inlineStr">
        <is>
          <t>Tungsten halogen lamp products for household, commercial and similar general lighting applications.</t>
        </is>
      </c>
      <c r="Y152" s="610" t="inlineStr">
        <is>
          <t>N/A</t>
        </is>
      </c>
      <c r="Z152" s="610" t="inlineStr">
        <is>
          <t>N/A</t>
        </is>
      </c>
      <c r="AA152" s="610" t="inlineStr">
        <is>
          <t>Firms</t>
        </is>
      </c>
      <c r="AB152" s="610" t="inlineStr">
        <is>
          <t>Manufacturers and importers producing, importing or selling tungsten halogen lamp products for general lighting within China.</t>
        </is>
      </c>
      <c r="AC152" s="610" t="inlineStr">
        <is>
          <t>Production; Sale; Import</t>
        </is>
      </c>
      <c r="AD152" s="610" t="inlineStr">
        <is>
          <t>Production, import and sale of tungsten halogen lamp products for general lighting. Products must meet the standard's minimum allowable energy efficiency values before they can enter the market.</t>
        </is>
      </c>
      <c r="AE152" s="610" t="inlineStr">
        <is>
          <t>Grade 3</t>
        </is>
      </c>
      <c r="AF152" s="610" t="inlineStr">
        <is>
          <t>Energy efficiency grade</t>
        </is>
      </c>
      <c r="AG152" s="610"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H152" s="610"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I152" s="610" t="inlineStr">
        <is>
          <t>N/A</t>
        </is>
      </c>
      <c r="AJ152" s="610" t="inlineStr">
        <is>
          <t>N/A</t>
        </is>
      </c>
      <c r="AK152" s="610" t="inlineStr">
        <is>
          <t>Inspections or audits conducted by government authorities or third parties</t>
        </is>
      </c>
      <c r="AL152" s="610" t="inlineStr">
        <is>
          <t>Market regulatory authorities conduct energy efficiency label supervision inspections and product quality supervision spot checks on tungsten halogen lamp products.</t>
        </is>
      </c>
      <c r="AM152" s="610" t="inlineStr">
        <is>
          <t>Compliance order; Monetary penalties</t>
        </is>
      </c>
      <c r="AN152" s="610" t="inlineStr">
        <is>
          <t>For production, import or sale of tungsten halogen lamp products not conforming to the mandatory energy efficiency standard, market regulatory authorities shall order cessation of production, import and sale, confiscate illegal gains and impose fines.</t>
        </is>
      </c>
      <c r="AO152" s="610" t="inlineStr">
        <is>
          <t>The state encourages production and use of tungsten halogen lamp products that meet the evaluating values of energy conservation; guides consumers to choose high-efficiency lighting products.</t>
        </is>
      </c>
      <c r="AP152" s="610" t="inlineStr">
        <is>
          <t>The state encourages production and use of tungsten halogen lamp products that meet the evaluating values of energy conservation; guides consumers to choose high-efficiency lighting products.</t>
        </is>
      </c>
      <c r="AQ152" s="610" t="inlineStr">
        <is>
          <t>N/A</t>
        </is>
      </c>
      <c r="AR152" s="610" t="inlineStr">
        <is>
          <t>N/A</t>
        </is>
      </c>
      <c r="AS152" s="610" t="inlineStr">
        <is>
          <t>C27</t>
        </is>
      </c>
      <c r="AT152" s="610" t="inlineStr">
        <is>
          <t>CO2</t>
        </is>
      </c>
      <c r="AU152" s="610" t="inlineStr">
        <is>
          <t>Positive</t>
        </is>
      </c>
      <c r="AV152" s="610" t="inlineStr">
        <is>
          <t>Energy conservation; Industrial development</t>
        </is>
      </c>
      <c r="AW152" s="610" t="inlineStr">
        <is>
          <t>GB 31276-2014 Minimum Allowable Values of Energy Efficiency and Evaluating Values of Energy Conservation of Tungsten Halogen Lamps for General Lighting</t>
        </is>
      </c>
      <c r="AX152" s="610" t="inlineStr">
        <is>
          <t>https://openstd.samr.gov.cn/bzgk/std/newGbInfo?hcno=BE2116F517C3A96819AA79060EC50755</t>
        </is>
      </c>
      <c r="AY152" s="610" t="inlineStr">
        <is>
          <t>N/A</t>
        </is>
      </c>
      <c r="AZ152" s="610" t="inlineStr"/>
    </row>
    <row r="153">
      <c r="A153" s="610" t="inlineStr">
        <is>
          <t>CHNPRFMELI08S000</t>
        </is>
      </c>
      <c r="B153" s="610" t="inlineStr">
        <is>
          <t>Instrument</t>
        </is>
      </c>
      <c r="C153" s="610" t="inlineStr">
        <is>
          <t>Performance standard</t>
        </is>
      </c>
      <c r="D153" s="610" t="inlineStr">
        <is>
          <t>Minimum Energy Performance Standards (MEPS) for lighting systems</t>
        </is>
      </c>
      <c r="E153" s="610" t="inlineStr">
        <is>
          <t>Transport</t>
        </is>
      </c>
      <c r="F153" s="610" t="inlineStr">
        <is>
          <t>Road and outdoor lighting</t>
        </is>
      </c>
      <c r="G153" s="610" t="inlineStr">
        <is>
          <t>高压钠灯能效限定值及能效等级</t>
        </is>
      </c>
      <c r="H153" s="610" t="inlineStr">
        <is>
          <t>Minimum Allowable Values of Energy Efficiency and Energy Efficiency Grades for High-Pressure Sodium Vapour Lamps</t>
        </is>
      </c>
      <c r="I153" s="610" t="inlineStr">
        <is>
          <t>N/A</t>
        </is>
      </c>
      <c r="J153" s="610"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3" s="610" t="inlineStr">
        <is>
          <t>Energy efficiency</t>
        </is>
      </c>
      <c r="L153" s="610" t="inlineStr">
        <is>
          <t>Direct</t>
        </is>
      </c>
      <c r="M153" s="610" t="inlineStr">
        <is>
          <t>national</t>
        </is>
      </c>
      <c r="N153" s="610" t="inlineStr">
        <is>
          <t>N/A</t>
        </is>
      </c>
      <c r="O153" s="610" t="inlineStr">
        <is>
          <t>05/08/2004</t>
        </is>
      </c>
      <c r="P153" s="610" t="inlineStr">
        <is>
          <t>01/02/2005</t>
        </is>
      </c>
      <c r="Q153" s="610" t="inlineStr">
        <is>
          <t>N/A</t>
        </is>
      </c>
      <c r="R153" s="610" t="inlineStr">
        <is>
          <t>N/A</t>
        </is>
      </c>
      <c r="S153" s="610" t="inlineStr">
        <is>
          <t>N/A</t>
        </is>
      </c>
      <c r="T153" s="610">
        <f>IF(P153="","In force",IF(P153="N/A","In force",IF(TODAY()&lt;DATE(VALUE(RIGHT(P153,4)),VALUE(MID(P153,4,2)),VALUE(LEFT(P153,2))),"Scheduled",IF(Q153="","In force",IF(Q153="N/A","In force",IF(TODAY()&lt;DATE(VALUE(RIGHT(Q153,4)),VALUE(MID(Q153,4,2)),VALUE(LEFT(Q153,2))),"In force","Ended"))))))</f>
        <v/>
      </c>
      <c r="U153" s="610" t="inlineStr">
        <is>
          <t>State Administration for Market Regulation; Standardization Administration of China</t>
        </is>
      </c>
      <c r="V153" s="610" t="inlineStr">
        <is>
          <t>High-pressure sodium vapour lamps</t>
        </is>
      </c>
      <c r="W153" s="610" t="inlineStr">
        <is>
          <t>new</t>
        </is>
      </c>
      <c r="X153" s="610" t="inlineStr">
        <is>
          <t>High-pressure sodium vapour lamp products used in road lighting, plazas, outdoor areas, industrial facilities and similar applications.</t>
        </is>
      </c>
      <c r="Y153" s="610" t="inlineStr">
        <is>
          <t>N/A</t>
        </is>
      </c>
      <c r="Z153" s="610" t="inlineStr">
        <is>
          <t>N/A</t>
        </is>
      </c>
      <c r="AA153" s="610" t="inlineStr">
        <is>
          <t>Firms</t>
        </is>
      </c>
      <c r="AB153" s="610" t="inlineStr">
        <is>
          <t>Manufacturers and importers producing, importing or selling high-pressure sodium vapour lamp products within China.</t>
        </is>
      </c>
      <c r="AC153" s="610" t="inlineStr">
        <is>
          <t>Production; Sale; Import</t>
        </is>
      </c>
      <c r="AD153" s="610" t="inlineStr">
        <is>
          <t>Production, import and sale of high-pressure sodium vapour lamp products. Products must meet the standard's minimum allowable energy efficiency values (Grade 3) before they can enter the market.</t>
        </is>
      </c>
      <c r="AE153" s="610" t="inlineStr">
        <is>
          <t>Grade 3</t>
        </is>
      </c>
      <c r="AF153" s="610" t="inlineStr">
        <is>
          <t>Energy efficiency grade</t>
        </is>
      </c>
      <c r="AG153" s="610"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H153" s="610"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3" s="610" t="inlineStr">
        <is>
          <t>N/A</t>
        </is>
      </c>
      <c r="AJ153" s="610" t="inlineStr">
        <is>
          <t>N/A</t>
        </is>
      </c>
      <c r="AK153" s="610" t="inlineStr">
        <is>
          <t>Inspections or audits conducted by government authorities or third parties</t>
        </is>
      </c>
      <c r="AL153" s="610" t="inlineStr">
        <is>
          <t>Market regulatory authorities conduct energy efficiency label supervision inspections and product quality supervision spot checks on high-pressure sodium vapour lamp products.</t>
        </is>
      </c>
      <c r="AM153" s="610" t="inlineStr">
        <is>
          <t>Compliance order; Monetary penalties</t>
        </is>
      </c>
      <c r="AN153" s="610"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O153" s="610" t="inlineStr">
        <is>
          <t>The state encourages production and use of Grade 1 and Grade 2 high-efficiency high-pressure sodium vapour lamp products; promotes the market uptake of high-efficiency road lighting products through energy-saving product certification.</t>
        </is>
      </c>
      <c r="AP153" s="610" t="inlineStr">
        <is>
          <t>The state encourages production and use of Grade 1 and Grade 2 high-efficiency high-pressure sodium vapour lamp products; promotes the market uptake of high-efficiency road lighting products through energy-saving product certification.</t>
        </is>
      </c>
      <c r="AQ153" s="610" t="inlineStr">
        <is>
          <t>N/A</t>
        </is>
      </c>
      <c r="AR153" s="610" t="inlineStr">
        <is>
          <t>N/A</t>
        </is>
      </c>
      <c r="AS153" s="610" t="inlineStr">
        <is>
          <t>C27</t>
        </is>
      </c>
      <c r="AT153" s="610" t="inlineStr">
        <is>
          <t>CO2</t>
        </is>
      </c>
      <c r="AU153" s="610" t="inlineStr">
        <is>
          <t>Positive</t>
        </is>
      </c>
      <c r="AV153" s="610" t="inlineStr">
        <is>
          <t>Energy conservation; Industrial development</t>
        </is>
      </c>
      <c r="AW153" s="610" t="inlineStr">
        <is>
          <t>GB 19573-2004 Minimum Allowable Values of Energy Efficiency and Energy Efficiency Grades for High-Pressure Sodium Vapour Lamps</t>
        </is>
      </c>
      <c r="AX153" s="610" t="inlineStr">
        <is>
          <t>https://openstd.samr.gov.cn/bzgk/std/newGbInfo?hcno=F6239829E39BBAA8F5BA34869B029ABD</t>
        </is>
      </c>
      <c r="AY153" s="610" t="inlineStr">
        <is>
          <t>N/A</t>
        </is>
      </c>
      <c r="AZ153" s="610" t="inlineStr"/>
    </row>
    <row r="154">
      <c r="A154" s="610" t="inlineStr">
        <is>
          <t>CHNPRFFECI01S000</t>
        </is>
      </c>
      <c r="B154" s="610" t="inlineStr">
        <is>
          <t>Instrument</t>
        </is>
      </c>
      <c r="C154" s="610" t="inlineStr">
        <is>
          <t>Performance standard</t>
        </is>
      </c>
      <c r="D154" s="610" t="inlineStr">
        <is>
          <t>Fuel economy standard</t>
        </is>
      </c>
      <c r="E154" s="610" t="inlineStr">
        <is>
          <t>Transport</t>
        </is>
      </c>
      <c r="F154" s="610" t="inlineStr">
        <is>
          <t>Light-duty passenger cars</t>
        </is>
      </c>
      <c r="G154" s="610" t="inlineStr">
        <is>
          <t>电动汽车能量消耗量限值</t>
        </is>
      </c>
      <c r="H154" s="610" t="inlineStr">
        <is>
          <t>Electric Vehicle Energy Consumption Limit</t>
        </is>
      </c>
      <c r="I154" s="610" t="inlineStr">
        <is>
          <t>N/A</t>
        </is>
      </c>
      <c r="J154" s="610"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4" s="610" t="inlineStr">
        <is>
          <t>Energy efficiency; Electrification</t>
        </is>
      </c>
      <c r="L154" s="610" t="inlineStr">
        <is>
          <t>Direct</t>
        </is>
      </c>
      <c r="M154" s="610" t="inlineStr">
        <is>
          <t>national</t>
        </is>
      </c>
      <c r="N154" s="610" t="inlineStr">
        <is>
          <t>N/A</t>
        </is>
      </c>
      <c r="O154" s="610" t="inlineStr">
        <is>
          <t>28/12/2018</t>
        </is>
      </c>
      <c r="P154" s="610" t="inlineStr">
        <is>
          <t>01/07/2019</t>
        </is>
      </c>
      <c r="Q154" s="610" t="inlineStr">
        <is>
          <t>N/A</t>
        </is>
      </c>
      <c r="R154" s="610" t="inlineStr">
        <is>
          <t>30/05/2025</t>
        </is>
      </c>
      <c r="S154" s="610" t="inlineStr">
        <is>
          <t>On 30 May 2025, GB 36980.1-2025 was published replacing GB/T 36980-2018, upgrading the recommended standard to a mandatory standard, tightening limits by approximately 11%, effective 1 January 2026.</t>
        </is>
      </c>
      <c r="T154" s="610">
        <f>IF(P154="","In force",IF(P154="N/A","In force",IF(TODAY()&lt;DATE(VALUE(RIGHT(P154,4)),VALUE(MID(P154,4,2)),VALUE(LEFT(P154,2))),"Scheduled",IF(Q154="","In force",IF(Q154="N/A","In force",IF(TODAY()&lt;DATE(VALUE(RIGHT(Q154,4)),VALUE(MID(Q154,4,2)),VALUE(LEFT(Q154,2))),"In force","Ended"))))))</f>
        <v/>
      </c>
      <c r="U154" s="610" t="inlineStr">
        <is>
          <t>Ministry of Industry and Information Technology; State Administration for Market Regulation; Standardization Administration of China</t>
        </is>
      </c>
      <c r="V154" s="610" t="inlineStr">
        <is>
          <t>Battery-electric passenger cars</t>
        </is>
      </c>
      <c r="W154" s="610" t="inlineStr">
        <is>
          <t>New; existing</t>
        </is>
      </c>
      <c r="X154" s="610" t="inlineStr">
        <is>
          <t>M1 category battery-electric passenger cars that use on-board power supply as the sole or primary power source, with a maximum design gross mass not exceeding 3,500 kg. Stepwise limits are applied by kerb mass group.</t>
        </is>
      </c>
      <c r="Y154" s="610" t="inlineStr">
        <is>
          <t>N/A</t>
        </is>
      </c>
      <c r="Z154" s="610" t="inlineStr">
        <is>
          <t>N/A</t>
        </is>
      </c>
      <c r="AA154" s="610" t="inlineStr">
        <is>
          <t>Firms</t>
        </is>
      </c>
      <c r="AB154" s="610" t="inlineStr">
        <is>
          <t>Automobile manufacturing enterprises that produce and sell battery-electric passenger cars within China.</t>
        </is>
      </c>
      <c r="AC154" s="610" t="inlineStr">
        <is>
          <t>Type approval; Production; Sales</t>
        </is>
      </c>
      <c r="AD154" s="610" t="inlineStr">
        <is>
          <t>Type approval and sales activities for battery-electric passenger cars. New models applying for type approval must comply with the new limits from 1 January 2026; models already granted type approval must comply from 1 January 2028.</t>
        </is>
      </c>
      <c r="AE154" s="610" t="inlineStr">
        <is>
          <t>Stepwise by vehicle mass</t>
        </is>
      </c>
      <c r="AF154" s="610" t="inlineStr">
        <is>
          <t>kWh/100km</t>
        </is>
      </c>
      <c r="AG154" s="610"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H154" s="610"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I154" s="610" t="inlineStr">
        <is>
          <t>N/A</t>
        </is>
      </c>
      <c r="AJ154" s="610" t="inlineStr">
        <is>
          <t>N/A</t>
        </is>
      </c>
      <c r="AK154" s="610" t="inlineStr">
        <is>
          <t>Type approval and conformity inspection by government agencies; enterprise energy consumption data reporting</t>
        </is>
      </c>
      <c r="AL154" s="610"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M154" s="610" t="inlineStr">
        <is>
          <t>Compliance order; Fines; Prohibition of production and sales</t>
        </is>
      </c>
      <c r="AN154" s="610"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O154" s="610"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P154" s="610"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Q154" s="610" t="inlineStr">
        <is>
          <t>N/A</t>
        </is>
      </c>
      <c r="AR154" s="610" t="inlineStr">
        <is>
          <t>N/A</t>
        </is>
      </c>
      <c r="AS154" s="610" t="inlineStr">
        <is>
          <t>C29</t>
        </is>
      </c>
      <c r="AT154" s="610" t="inlineStr">
        <is>
          <t>CO2</t>
        </is>
      </c>
      <c r="AU154" s="610" t="inlineStr">
        <is>
          <t>Positive</t>
        </is>
      </c>
      <c r="AV154" s="610" t="inlineStr">
        <is>
          <t>Energy conservation</t>
        </is>
      </c>
      <c r="AW154" s="610" t="inlineStr">
        <is>
          <t>GB 36980.1-2025 Energy Consumption Limits for Electric Vehicles — Part 1: Passenger Cars</t>
        </is>
      </c>
      <c r="AX154" s="610" t="inlineStr">
        <is>
          <t>https://openstd.samr.gov.cn/bzgk/std/newGbInfo?hcno=957BCBA7091D453922DE63158D8419AB</t>
        </is>
      </c>
      <c r="AY154" s="610" t="inlineStr">
        <is>
          <t>GB/T 36980-2018 (previous edition): https://openstd.samr.gov.cn/bzgk/std/newGbInfo?hcno=C572EE48E680FB763D856F07EC26C09D</t>
        </is>
      </c>
      <c r="AZ154" s="610" t="inlineStr"/>
    </row>
    <row r="155">
      <c r="A155" s="610" t="inlineStr">
        <is>
          <t>CHNPRFFECI02S000</t>
        </is>
      </c>
      <c r="B155" s="610" t="inlineStr">
        <is>
          <t>Instrument</t>
        </is>
      </c>
      <c r="C155" s="610" t="inlineStr">
        <is>
          <t>Performance standard</t>
        </is>
      </c>
      <c r="D155" s="610" t="inlineStr">
        <is>
          <t>Fuel economy standard</t>
        </is>
      </c>
      <c r="E155" s="610" t="inlineStr">
        <is>
          <t>Transport</t>
        </is>
      </c>
      <c r="F155" s="610" t="inlineStr">
        <is>
          <t>Light-duty passenger cars</t>
        </is>
      </c>
      <c r="G155" s="610" t="inlineStr">
        <is>
          <t>插电式混合动力汽车能量消耗限值</t>
        </is>
      </c>
      <c r="H155" s="610" t="inlineStr">
        <is>
          <t>Plug-in Hybrid Electric Vehicle Energy Consumption Limit</t>
        </is>
      </c>
      <c r="I155" s="610" t="inlineStr">
        <is>
          <t>N/A</t>
        </is>
      </c>
      <c r="J155" s="610"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5" s="610" t="inlineStr">
        <is>
          <t>Energy efficiency</t>
        </is>
      </c>
      <c r="L155" s="610" t="inlineStr">
        <is>
          <t>Direct</t>
        </is>
      </c>
      <c r="M155" s="610" t="inlineStr">
        <is>
          <t>national</t>
        </is>
      </c>
      <c r="N155" s="610" t="inlineStr">
        <is>
          <t>N/A</t>
        </is>
      </c>
      <c r="O155" s="610" t="inlineStr">
        <is>
          <t>28/12/2018</t>
        </is>
      </c>
      <c r="P155" s="610" t="inlineStr">
        <is>
          <t>01/07/2019</t>
        </is>
      </c>
      <c r="Q155" s="610" t="inlineStr">
        <is>
          <t>N/A</t>
        </is>
      </c>
      <c r="R155" s="610" t="inlineStr">
        <is>
          <t>30/05/2025</t>
        </is>
      </c>
      <c r="S155" s="610"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T155" s="610">
        <f>IF(P155="","In force",IF(P155="N/A","In force",IF(TODAY()&lt;DATE(VALUE(RIGHT(P155,4)),VALUE(MID(P155,4,2)),VALUE(LEFT(P155,2))),"Scheduled",IF(Q155="","In force",IF(Q155="N/A","In force",IF(TODAY()&lt;DATE(VALUE(RIGHT(Q155,4)),VALUE(MID(Q155,4,2)),VALUE(LEFT(Q155,2))),"In force","Ended"))))))</f>
        <v/>
      </c>
      <c r="U155" s="610" t="inlineStr">
        <is>
          <t>Ministry of Industry and Information Technology; State Administration for Market Regulation; Standardization Administration of China</t>
        </is>
      </c>
      <c r="V155" s="610" t="inlineStr">
        <is>
          <t>Plug-in hybrid electric passenger cars</t>
        </is>
      </c>
      <c r="W155" s="610" t="inlineStr">
        <is>
          <t>New; existing</t>
        </is>
      </c>
      <c r="X155" s="610"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Y155" s="610" t="inlineStr">
        <is>
          <t>N/A</t>
        </is>
      </c>
      <c r="Z155" s="610" t="inlineStr">
        <is>
          <t>N/A</t>
        </is>
      </c>
      <c r="AA155" s="610" t="inlineStr">
        <is>
          <t>Firms</t>
        </is>
      </c>
      <c r="AB155" s="610" t="inlineStr">
        <is>
          <t>Automobile manufacturing enterprises that produce and sell plug-in hybrid electric passenger cars within China.</t>
        </is>
      </c>
      <c r="AC155" s="610" t="inlineStr">
        <is>
          <t>Type approval; Production; Sales</t>
        </is>
      </c>
      <c r="AD155" s="610" t="inlineStr">
        <is>
          <t>Type approval and sales activities for plug-in hybrid passenger cars. Vehicle models must simultaneously meet the electric energy consumption limits in charge-depleting mode and the fuel consumption limits in charge-sustaining mode.</t>
        </is>
      </c>
      <c r="AE155" s="610" t="inlineStr">
        <is>
          <t>Stepwise by vehicle mass</t>
        </is>
      </c>
      <c r="AF155" s="610" t="inlineStr">
        <is>
          <t>kWh/100km; L/100km</t>
        </is>
      </c>
      <c r="AG155" s="610"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H155" s="610"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I155" s="610" t="inlineStr">
        <is>
          <t>N/A</t>
        </is>
      </c>
      <c r="AJ155" s="610" t="inlineStr">
        <is>
          <t>N/A</t>
        </is>
      </c>
      <c r="AK155" s="610" t="inlineStr">
        <is>
          <t>Type approval and conformity inspection by government agencies; enterprise energy consumption data reporting</t>
        </is>
      </c>
      <c r="AL155" s="610" t="inlineStr">
        <is>
          <t>The Ministry of Industry and Information Technology conducts type approval and conformity inspection for vehicles; automobile manufacturing enterprises are required to report vehicle energy consumption data.</t>
        </is>
      </c>
      <c r="AM155" s="610" t="inlineStr">
        <is>
          <t>Compliance order; Fines; Prohibition of production and sales</t>
        </is>
      </c>
      <c r="AN155" s="610"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O155" s="610"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P155" s="610"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Q155" s="610" t="inlineStr">
        <is>
          <t>N/A</t>
        </is>
      </c>
      <c r="AR155" s="610" t="inlineStr">
        <is>
          <t>N/A</t>
        </is>
      </c>
      <c r="AS155" s="610" t="inlineStr">
        <is>
          <t>C29</t>
        </is>
      </c>
      <c r="AT155" s="610" t="inlineStr">
        <is>
          <t>CO2</t>
        </is>
      </c>
      <c r="AU155" s="610" t="inlineStr">
        <is>
          <t>Positive</t>
        </is>
      </c>
      <c r="AV155" s="610" t="inlineStr">
        <is>
          <t>Energy conservation</t>
        </is>
      </c>
      <c r="AW155" s="610" t="inlineStr">
        <is>
          <t>GB 36980.1-2025 Energy Consumption Limits for Electric Vehicles — Part 1: Passenger Cars</t>
        </is>
      </c>
      <c r="AX155" s="610" t="inlineStr">
        <is>
          <t>https://openstd.samr.gov.cn/bzgk/std/newGbInfo?hcno=957BCBA7091D453922DE63158D8419AB</t>
        </is>
      </c>
      <c r="AY155" s="610" t="inlineStr">
        <is>
          <t>GB/T 36980-2018 (previous edition): https://openstd.samr.gov.cn/bzgk/std/newGbInfo?hcno=C572EE48E680FB763D856F07EC26C09D</t>
        </is>
      </c>
      <c r="AZ155" s="610" t="inlineStr"/>
    </row>
    <row r="156">
      <c r="A156" s="610" t="inlineStr">
        <is>
          <t>CHNPRFFECI03S000</t>
        </is>
      </c>
      <c r="B156" s="610" t="inlineStr">
        <is>
          <t>Instrument</t>
        </is>
      </c>
      <c r="C156" s="610" t="inlineStr">
        <is>
          <t>Performance standard</t>
        </is>
      </c>
      <c r="D156" s="610" t="inlineStr">
        <is>
          <t>Fuel economy standard</t>
        </is>
      </c>
      <c r="E156" s="610" t="inlineStr">
        <is>
          <t>Transport</t>
        </is>
      </c>
      <c r="F156" s="610" t="inlineStr">
        <is>
          <t>Light-duty passenger cars</t>
        </is>
      </c>
      <c r="G156" s="610" t="inlineStr">
        <is>
          <t>乘用车燃料消耗量限值</t>
        </is>
      </c>
      <c r="H156" s="610" t="inlineStr">
        <is>
          <t>Passenger Car Fuel Consumption Limit</t>
        </is>
      </c>
      <c r="I156" s="610" t="inlineStr">
        <is>
          <t>N/A</t>
        </is>
      </c>
      <c r="J156" s="610"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6" s="610" t="inlineStr">
        <is>
          <t>Energy efficiency</t>
        </is>
      </c>
      <c r="L156" s="610" t="inlineStr">
        <is>
          <t>Direct</t>
        </is>
      </c>
      <c r="M156" s="610" t="inlineStr">
        <is>
          <t>national</t>
        </is>
      </c>
      <c r="N156" s="610" t="inlineStr">
        <is>
          <t>N/A</t>
        </is>
      </c>
      <c r="O156" s="610" t="inlineStr">
        <is>
          <t>02/09/2004</t>
        </is>
      </c>
      <c r="P156" s="610" t="inlineStr">
        <is>
          <t>01/07/2005</t>
        </is>
      </c>
      <c r="Q156" s="610" t="inlineStr">
        <is>
          <t>N/A</t>
        </is>
      </c>
      <c r="R156" s="610" t="inlineStr">
        <is>
          <t>28/11/2024</t>
        </is>
      </c>
      <c r="S156" s="610" t="inlineStr">
        <is>
          <t>On 28 November 2024, GB 19578-2024 was published replacing GB 19578-2021, tightening limits by approximately 18%, effective 1 January 2026.</t>
        </is>
      </c>
      <c r="T156" s="610">
        <f>IF(P156="","In force",IF(P156="N/A","In force",IF(TODAY()&lt;DATE(VALUE(RIGHT(P156,4)),VALUE(MID(P156,4,2)),VALUE(LEFT(P156,2))),"Scheduled",IF(Q156="","In force",IF(Q156="N/A","In force",IF(TODAY()&lt;DATE(VALUE(RIGHT(Q156,4)),VALUE(MID(Q156,4,2)),VALUE(LEFT(Q156,2))),"In force","Ended"))))))</f>
        <v/>
      </c>
      <c r="U156" s="610" t="inlineStr">
        <is>
          <t>Ministry of Industry and Information Technology; State Administration for Market Regulation; Standardization Administration of China</t>
        </is>
      </c>
      <c r="V156" s="610" t="inlineStr">
        <is>
          <t>Conventional fuel passenger cars</t>
        </is>
      </c>
      <c r="W156" s="610" t="inlineStr">
        <is>
          <t>New; existing</t>
        </is>
      </c>
      <c r="X156" s="610"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Y156" s="610" t="inlineStr">
        <is>
          <t>N/A</t>
        </is>
      </c>
      <c r="Z156" s="610" t="inlineStr">
        <is>
          <t>N/A</t>
        </is>
      </c>
      <c r="AA156" s="610" t="inlineStr">
        <is>
          <t>Firms</t>
        </is>
      </c>
      <c r="AB156" s="610" t="inlineStr">
        <is>
          <t>Automobile manufacturing enterprises that produce and sell passenger cars within China.</t>
        </is>
      </c>
      <c r="AC156" s="610" t="inlineStr">
        <is>
          <t>Type approval; Production; Sales</t>
        </is>
      </c>
      <c r="AD156" s="610" t="inlineStr">
        <is>
          <t>Type approval and sales activities for passenger cars. New models applying for type approval must comply with GB 19578-2024 limits from 1 January 2026; models already granted type approval must comply within the transition period.</t>
        </is>
      </c>
      <c r="AE156" s="610" t="inlineStr">
        <is>
          <t>Stepwise by vehicle mass</t>
        </is>
      </c>
      <c r="AF156" s="610" t="inlineStr">
        <is>
          <t>L/100km</t>
        </is>
      </c>
      <c r="AG156" s="610"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H156" s="610"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I156" s="610" t="inlineStr">
        <is>
          <t>N/A</t>
        </is>
      </c>
      <c r="AJ156" s="610" t="inlineStr">
        <is>
          <t>N/A</t>
        </is>
      </c>
      <c r="AK156" s="610" t="inlineStr">
        <is>
          <t>Type approval and conformity inspection by government agencies; enterprise energy consumption data reporting</t>
        </is>
      </c>
      <c r="AL156" s="610" t="inlineStr">
        <is>
          <t>The Ministry of Industry and Information Technology conducts type approval and conformity inspection for vehicles; automobile manufacturing enterprises are required to report vehicle fuel consumption data and undergo energy conservation supervision.</t>
        </is>
      </c>
      <c r="AM156" s="610" t="inlineStr">
        <is>
          <t>Compliance order; Fines; Prohibition of production and sales</t>
        </is>
      </c>
      <c r="AN156" s="610"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6" s="610"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P156" s="610"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Q156" s="610" t="inlineStr">
        <is>
          <t>N/A</t>
        </is>
      </c>
      <c r="AR156" s="610" t="inlineStr">
        <is>
          <t>N/A</t>
        </is>
      </c>
      <c r="AS156" s="610" t="inlineStr">
        <is>
          <t>C29</t>
        </is>
      </c>
      <c r="AT156" s="610" t="inlineStr">
        <is>
          <t>CO2</t>
        </is>
      </c>
      <c r="AU156" s="610" t="inlineStr">
        <is>
          <t>Positive</t>
        </is>
      </c>
      <c r="AV156" s="610" t="inlineStr">
        <is>
          <t>Energy conservation; Pollution control</t>
        </is>
      </c>
      <c r="AW156" s="610" t="inlineStr">
        <is>
          <t>GB 19578-2024 Fuel Consumption Limits for Passenger Cars</t>
        </is>
      </c>
      <c r="AX156" s="610" t="inlineStr">
        <is>
          <t>https://openstd.samr.gov.cn/bzgk/std/newGbInfo?hcno=B9F662A5B1E5FA3AAC7914AECA3152DA</t>
        </is>
      </c>
      <c r="AY156" s="610" t="inlineStr">
        <is>
          <t>GB 19578-2021 (previous edition): https://openstd.samr.gov.cn/bzgk/std/newGbInfo?hcno=2C4E76A2B4D0D6D9E05397BE0A0A5A8F</t>
        </is>
      </c>
      <c r="AZ156" s="610" t="inlineStr"/>
    </row>
    <row r="157">
      <c r="A157" s="610" t="inlineStr">
        <is>
          <t>CHNPRFFECI04S000</t>
        </is>
      </c>
      <c r="B157" s="610" t="inlineStr">
        <is>
          <t>Instrument</t>
        </is>
      </c>
      <c r="C157" s="610" t="inlineStr">
        <is>
          <t>Performance standard</t>
        </is>
      </c>
      <c r="D157" s="610" t="inlineStr">
        <is>
          <t>Fuel economy standard</t>
        </is>
      </c>
      <c r="E157" s="610" t="inlineStr">
        <is>
          <t>Transport</t>
        </is>
      </c>
      <c r="F157" s="610" t="inlineStr">
        <is>
          <t>Light-duty commercial vehicles</t>
        </is>
      </c>
      <c r="G157" s="610" t="inlineStr">
        <is>
          <t>轻型商用车辆燃料消耗量限值</t>
        </is>
      </c>
      <c r="H157" s="610" t="inlineStr">
        <is>
          <t>Light-Duty Commercial Vehicle Fuel Consumption Limit</t>
        </is>
      </c>
      <c r="I157" s="610" t="inlineStr">
        <is>
          <t>N/A</t>
        </is>
      </c>
      <c r="J157" s="610"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7" s="610" t="inlineStr">
        <is>
          <t>Energy efficiency</t>
        </is>
      </c>
      <c r="L157" s="610" t="inlineStr">
        <is>
          <t>Direct</t>
        </is>
      </c>
      <c r="M157" s="610" t="inlineStr">
        <is>
          <t>national</t>
        </is>
      </c>
      <c r="N157" s="610" t="inlineStr">
        <is>
          <t>N/A</t>
        </is>
      </c>
      <c r="O157" s="610" t="inlineStr">
        <is>
          <t>30/07/2007</t>
        </is>
      </c>
      <c r="P157" s="610" t="inlineStr">
        <is>
          <t>01/01/2009</t>
        </is>
      </c>
      <c r="Q157" s="610" t="inlineStr">
        <is>
          <t>N/A</t>
        </is>
      </c>
      <c r="R157" s="610" t="inlineStr">
        <is>
          <t>23/08/2024</t>
        </is>
      </c>
      <c r="S157" s="610"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T157" s="610">
        <f>IF(P157="","In force",IF(P157="N/A","In force",IF(TODAY()&lt;DATE(VALUE(RIGHT(P157,4)),VALUE(MID(P157,4,2)),VALUE(LEFT(P157,2))),"Scheduled",IF(Q157="","In force",IF(Q157="N/A","In force",IF(TODAY()&lt;DATE(VALUE(RIGHT(Q157,4)),VALUE(MID(Q157,4,2)),VALUE(LEFT(Q157,2))),"In force","Ended"))))))</f>
        <v/>
      </c>
      <c r="U157" s="610" t="inlineStr">
        <is>
          <t>Ministry of Industry and Information Technology; State Administration for Market Regulation; Standardization Administration of China</t>
        </is>
      </c>
      <c r="V157" s="610" t="inlineStr">
        <is>
          <t>Light-duty commercial vehicles</t>
        </is>
      </c>
      <c r="W157" s="610" t="inlineStr">
        <is>
          <t>New; existing</t>
        </is>
      </c>
      <c r="X157" s="610"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Y157" s="610" t="inlineStr">
        <is>
          <t>N/A</t>
        </is>
      </c>
      <c r="Z157" s="610" t="inlineStr">
        <is>
          <t>N/A</t>
        </is>
      </c>
      <c r="AA157" s="610" t="inlineStr">
        <is>
          <t>Firms</t>
        </is>
      </c>
      <c r="AB157" s="610" t="inlineStr">
        <is>
          <t>Automobile manufacturing enterprises that produce and sell light-duty commercial vehicles within China.</t>
        </is>
      </c>
      <c r="AC157" s="610" t="inlineStr">
        <is>
          <t>Type approval; Production; Sales</t>
        </is>
      </c>
      <c r="AD157" s="610" t="inlineStr">
        <is>
          <t>Type approval and sales activities for light-duty commercial vehicles. New models applying for type approval must comply with GB 20997-2024 limits from 1 January 2026; models already granted type approval must comply within the transition period.</t>
        </is>
      </c>
      <c r="AE157" s="610" t="inlineStr">
        <is>
          <t>Stepwise by vehicle mass</t>
        </is>
      </c>
      <c r="AF157" s="610" t="inlineStr">
        <is>
          <t>L/100km</t>
        </is>
      </c>
      <c r="AG157" s="610"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H157" s="610"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I157" s="610" t="inlineStr">
        <is>
          <t>N/A</t>
        </is>
      </c>
      <c r="AJ157" s="610" t="inlineStr">
        <is>
          <t>N/A</t>
        </is>
      </c>
      <c r="AK157" s="610" t="inlineStr">
        <is>
          <t>Type approval and conformity inspection by government agencies; enterprise energy consumption data reporting</t>
        </is>
      </c>
      <c r="AL157" s="610"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M157" s="610" t="inlineStr">
        <is>
          <t>Compliance order; Fines; Prohibition of production and sales</t>
        </is>
      </c>
      <c r="AN157" s="610"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7" s="610"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P157" s="610"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Q157" s="610" t="inlineStr">
        <is>
          <t>N/A</t>
        </is>
      </c>
      <c r="AR157" s="610" t="inlineStr">
        <is>
          <t>N/A</t>
        </is>
      </c>
      <c r="AS157" s="610" t="inlineStr">
        <is>
          <t>C29</t>
        </is>
      </c>
      <c r="AT157" s="610" t="inlineStr">
        <is>
          <t>CO2</t>
        </is>
      </c>
      <c r="AU157" s="610" t="inlineStr">
        <is>
          <t>Positive</t>
        </is>
      </c>
      <c r="AV157" s="610" t="inlineStr">
        <is>
          <t>Energy conservation; Pollution control</t>
        </is>
      </c>
      <c r="AW157" s="610" t="inlineStr">
        <is>
          <t>GB 20997-2024 Fuel Consumption Limits and Evaluation Indicators for Light-Duty Commercial Vehicles</t>
        </is>
      </c>
      <c r="AX157" s="610" t="inlineStr">
        <is>
          <t>https://openstd.samr.gov.cn/bzgk/std/newGbInfo?hcno=47E98BA6D15D541E9F00FDD0A738C291</t>
        </is>
      </c>
      <c r="AY157" s="610" t="inlineStr">
        <is>
          <t>GB 20997-2015 (previous edition): https://openstd.samr.gov.cn/bzgk/std/newGbInfo?hcno=71F772D80F8CD3A7E05397BE0A0AB82A</t>
        </is>
      </c>
      <c r="AZ157" s="610" t="inlineStr"/>
    </row>
    <row r="158">
      <c r="A158" s="610" t="inlineStr">
        <is>
          <t>CHNPRFFECI05S000</t>
        </is>
      </c>
      <c r="B158" s="610" t="inlineStr">
        <is>
          <t>Instrument</t>
        </is>
      </c>
      <c r="C158" s="610" t="inlineStr">
        <is>
          <t>Performance standard</t>
        </is>
      </c>
      <c r="D158" s="610" t="inlineStr">
        <is>
          <t>Fuel economy standard</t>
        </is>
      </c>
      <c r="E158" s="610" t="inlineStr">
        <is>
          <t>Transport</t>
        </is>
      </c>
      <c r="F158" s="610" t="inlineStr">
        <is>
          <t>Heavy-duty commercial vehicles</t>
        </is>
      </c>
      <c r="G158" s="610" t="inlineStr">
        <is>
          <t>重型商用车辆燃料消耗量限值</t>
        </is>
      </c>
      <c r="H158" s="610" t="inlineStr">
        <is>
          <t>Heavy-Duty Commercial Vehicle Fuel Consumption Limit</t>
        </is>
      </c>
      <c r="I158" s="610" t="inlineStr">
        <is>
          <t>N/A</t>
        </is>
      </c>
      <c r="J158" s="610"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8" s="610" t="inlineStr">
        <is>
          <t>Energy efficiency</t>
        </is>
      </c>
      <c r="L158" s="610" t="inlineStr">
        <is>
          <t>Direct</t>
        </is>
      </c>
      <c r="M158" s="610" t="inlineStr">
        <is>
          <t>national</t>
        </is>
      </c>
      <c r="N158" s="610" t="inlineStr">
        <is>
          <t>N/A</t>
        </is>
      </c>
      <c r="O158" s="610" t="inlineStr">
        <is>
          <t>01/02/2014</t>
        </is>
      </c>
      <c r="P158" s="610" t="inlineStr">
        <is>
          <t>01/07/2014</t>
        </is>
      </c>
      <c r="Q158" s="610" t="inlineStr">
        <is>
          <t>N/A</t>
        </is>
      </c>
      <c r="R158" s="610" t="inlineStr">
        <is>
          <t>29/09/2024</t>
        </is>
      </c>
      <c r="S158" s="610" t="inlineStr">
        <is>
          <t>On 29 September 2024, GB 30510-2024 was published replacing GB 30510-2018, with limits tightened by approximately 10%, effective 1 July 2025 (new models) / 1 July 2027 (already certified models).</t>
        </is>
      </c>
      <c r="T158" s="610">
        <f>IF(P158="","In force",IF(P158="N/A","In force",IF(TODAY()&lt;DATE(VALUE(RIGHT(P158,4)),VALUE(MID(P158,4,2)),VALUE(LEFT(P158,2))),"Scheduled",IF(Q158="","In force",IF(Q158="N/A","In force",IF(TODAY()&lt;DATE(VALUE(RIGHT(Q158,4)),VALUE(MID(Q158,4,2)),VALUE(LEFT(Q158,2))),"In force","Ended"))))))</f>
        <v/>
      </c>
      <c r="U158" s="610" t="inlineStr">
        <is>
          <t>Ministry of Industry and Information Technology; State Administration for Market Regulation; Standardization Administration of China</t>
        </is>
      </c>
      <c r="V158" s="610" t="inlineStr">
        <is>
          <t>Heavy-duty commercial vehicles</t>
        </is>
      </c>
      <c r="W158" s="610" t="inlineStr">
        <is>
          <t>New; existing</t>
        </is>
      </c>
      <c r="X158" s="610" t="inlineStr">
        <is>
          <t>Commercial vehicles capable of using gasoline or diesel fuel, with a maximum design gross mass greater than 3,500 kg, including goods vehicles, semi-trailer tractors, buses, dump trucks and city buses. Excludes special-purpose vehicles.</t>
        </is>
      </c>
      <c r="Y158" s="610" t="inlineStr">
        <is>
          <t>N/A</t>
        </is>
      </c>
      <c r="Z158" s="610" t="inlineStr">
        <is>
          <t>N/A</t>
        </is>
      </c>
      <c r="AA158" s="610" t="inlineStr">
        <is>
          <t>Firms</t>
        </is>
      </c>
      <c r="AB158" s="610" t="inlineStr">
        <is>
          <t>Automobile manufacturing enterprises that produce and sell heavy-duty commercial vehicles within China.</t>
        </is>
      </c>
      <c r="AC158" s="610" t="inlineStr">
        <is>
          <t>Type approval; Production; Sales</t>
        </is>
      </c>
      <c r="AD158" s="610" t="inlineStr">
        <is>
          <t>Type approval and sales activities for heavy-duty commercial vehicles. New models applying for type approval must comply with GB 30510-2024 limits from 1 July 2025; models already granted type approval must comply from 1 July 2027.</t>
        </is>
      </c>
      <c r="AE158" s="610" t="inlineStr">
        <is>
          <t>By vehicle mass and type</t>
        </is>
      </c>
      <c r="AF158" s="610" t="inlineStr">
        <is>
          <t>L/100km</t>
        </is>
      </c>
      <c r="AG158" s="610" t="inlineStr">
        <is>
          <t>Fuel consumption limits are set by vehicle gross mass, model category and use group using a stepwise limit system. Depending on vehicle type and gross mass, the 2024 edition limits are 6% to 13% lower than the 2018 edition.</t>
        </is>
      </c>
      <c r="AH158" s="610"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I158" s="610" t="inlineStr">
        <is>
          <t>N/A</t>
        </is>
      </c>
      <c r="AJ158" s="610" t="inlineStr">
        <is>
          <t>N/A</t>
        </is>
      </c>
      <c r="AK158" s="610" t="inlineStr">
        <is>
          <t>Type approval and conformity inspection by government agencies; enterprise energy consumption data reporting</t>
        </is>
      </c>
      <c r="AL158" s="610" t="inlineStr">
        <is>
          <t>The Ministry of Industry and Information Technology conducts type approval and conformity inspection for vehicles; automobile manufacturing enterprises are required to report vehicle fuel consumption data and undergo energy conservation supervision.</t>
        </is>
      </c>
      <c r="AM158" s="610" t="inlineStr">
        <is>
          <t>Compliance order; Fines; Prohibition of production and sales</t>
        </is>
      </c>
      <c r="AN158" s="610"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8" s="610" t="inlineStr">
        <is>
          <t>The state encourages automobile manufacturing enterprises to develop and apply advanced energy-saving technologies to reduce heavy-duty commercial vehicle fuel consumption, promoting the upgrading of energy-saving technologies for commercial vehicles.</t>
        </is>
      </c>
      <c r="AP158" s="610" t="inlineStr">
        <is>
          <t>The state encourages automobile manufacturing enterprises to develop and apply advanced energy-saving technologies to reduce heavy-duty commercial vehicle fuel consumption, promoting the upgrading of energy-saving technologies for commercial vehicles.</t>
        </is>
      </c>
      <c r="AQ158" s="610" t="inlineStr">
        <is>
          <t>N/A</t>
        </is>
      </c>
      <c r="AR158" s="610" t="inlineStr">
        <is>
          <t>N/A</t>
        </is>
      </c>
      <c r="AS158" s="610" t="inlineStr">
        <is>
          <t>C29</t>
        </is>
      </c>
      <c r="AT158" s="610" t="inlineStr">
        <is>
          <t>CO2</t>
        </is>
      </c>
      <c r="AU158" s="610" t="inlineStr">
        <is>
          <t>Positive</t>
        </is>
      </c>
      <c r="AV158" s="610" t="inlineStr">
        <is>
          <t>Energy conservation; Pollution control</t>
        </is>
      </c>
      <c r="AW158" s="610" t="inlineStr">
        <is>
          <t>GB 30510-2024 Fuel Consumption Limits for Heavy-Duty Commercial Vehicles</t>
        </is>
      </c>
      <c r="AX158" s="610" t="inlineStr">
        <is>
          <t>https://openstd.samr.gov.cn/bzgk/std/newGbInfo?hcno=35651BC9CFA4506EB75F140E59A4F73D</t>
        </is>
      </c>
      <c r="AY158" s="610" t="inlineStr">
        <is>
          <t>GB 30510-2018 (previous edition): https://openstd.samr.gov.cn/bzgk/std/newGbInfo?hcno=0FECA2934941502E161716E7F2502E76</t>
        </is>
      </c>
      <c r="AZ158" s="610" t="inlineStr"/>
    </row>
    <row r="159">
      <c r="A159" s="610" t="inlineStr">
        <is>
          <t>CHNPRFMHSI01S000</t>
        </is>
      </c>
      <c r="B159" s="610" t="inlineStr">
        <is>
          <t>Instrument</t>
        </is>
      </c>
      <c r="C159" s="610" t="inlineStr">
        <is>
          <t>Performance standard</t>
        </is>
      </c>
      <c r="D159" s="610" t="inlineStr">
        <is>
          <t>Minimum Energy Performance Standards (MEPS) for spatial heating</t>
        </is>
      </c>
      <c r="E159" s="610" t="inlineStr">
        <is>
          <t>Buildings; Industry</t>
        </is>
      </c>
      <c r="F159" s="610" t="inlineStr">
        <is>
          <t>Building heating; Industrial heat supply</t>
        </is>
      </c>
      <c r="G159" s="610" t="inlineStr">
        <is>
          <t>热泵和冷水机组能效限定值及能效等级</t>
        </is>
      </c>
      <c r="H159" s="610" t="inlineStr">
        <is>
          <t>Minimum Allowable Values of the Energy Efficiency and Energy Efficiency Grades for Heat Pumps and Water Chillers</t>
        </is>
      </c>
      <c r="I159" s="610" t="inlineStr">
        <is>
          <t>N/A</t>
        </is>
      </c>
      <c r="J159" s="610"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59" s="610" t="inlineStr">
        <is>
          <t>Energy efficiency</t>
        </is>
      </c>
      <c r="L159" s="610" t="inlineStr">
        <is>
          <t>Direct</t>
        </is>
      </c>
      <c r="M159" s="610" t="inlineStr">
        <is>
          <t>national</t>
        </is>
      </c>
      <c r="N159" s="610" t="inlineStr">
        <is>
          <t>N/A</t>
        </is>
      </c>
      <c r="O159" s="610" t="inlineStr">
        <is>
          <t>01/03/2005</t>
        </is>
      </c>
      <c r="P159" s="610" t="inlineStr">
        <is>
          <t>01/01/2006</t>
        </is>
      </c>
      <c r="Q159" s="610" t="inlineStr">
        <is>
          <t>N/A</t>
        </is>
      </c>
      <c r="R159" s="610" t="inlineStr">
        <is>
          <t>29/04/2024</t>
        </is>
      </c>
      <c r="S159" s="610"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T159" s="610">
        <f>IF(P159="","In force",IF(P159="N/A","In force",IF(TODAY()&lt;DATE(VALUE(RIGHT(P159,4)),VALUE(MID(P159,4,2)),VALUE(LEFT(P159,2))),"Scheduled",IF(Q159="","In force",IF(Q159="N/A","In force",IF(TODAY()&lt;DATE(VALUE(RIGHT(Q159,4)),VALUE(MID(Q159,4,2)),VALUE(LEFT(Q159,2))),"In force","Ended"))))))</f>
        <v/>
      </c>
      <c r="U159" s="610" t="inlineStr">
        <is>
          <t>State Administration for Market Regulation; Standardization Administration of China</t>
        </is>
      </c>
      <c r="V159" s="610" t="inlineStr">
        <is>
          <t>Heat pumps and water chillers</t>
        </is>
      </c>
      <c r="W159" s="610" t="inlineStr">
        <is>
          <t>new</t>
        </is>
      </c>
      <c r="X159" s="610"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Y159" s="610" t="inlineStr">
        <is>
          <t>N/A</t>
        </is>
      </c>
      <c r="Z159" s="610" t="inlineStr">
        <is>
          <t>N/A</t>
        </is>
      </c>
      <c r="AA159" s="610" t="inlineStr">
        <is>
          <t>Firms</t>
        </is>
      </c>
      <c r="AB159" s="610" t="inlineStr">
        <is>
          <t>Manufacturers and importers producing, importing or selling heat pump and water chiller products within China.</t>
        </is>
      </c>
      <c r="AC159" s="610" t="inlineStr">
        <is>
          <t>Production; Sale; Import</t>
        </is>
      </c>
      <c r="AD159" s="610" t="inlineStr">
        <is>
          <t>Production, import and sale of heat pump and water chiller products. Products must meet the standard's minimum allowable energy efficiency values (Grade 3) before they can enter the market.</t>
        </is>
      </c>
      <c r="AE159" s="610" t="inlineStr">
        <is>
          <t>Grade 3</t>
        </is>
      </c>
      <c r="AF159" s="610" t="inlineStr">
        <is>
          <t>Energy efficiency grade</t>
        </is>
      </c>
      <c r="AG159" s="610"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H159" s="610"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9" s="610" t="inlineStr">
        <is>
          <t>N/A</t>
        </is>
      </c>
      <c r="AJ159" s="610" t="inlineStr">
        <is>
          <t>N/A</t>
        </is>
      </c>
      <c r="AK159" s="610" t="inlineStr">
        <is>
          <t>Inspections or audits conducted by government authorities or third parties</t>
        </is>
      </c>
      <c r="AL159" s="610" t="inlineStr">
        <is>
          <t>Market regulatory authorities conduct energy efficiency label supervision inspections and product quality supervision spot checks on heat pump and water chiller products.</t>
        </is>
      </c>
      <c r="AM159" s="610" t="inlineStr">
        <is>
          <t>Compliance requirements; Testing</t>
        </is>
      </c>
      <c r="AN159" s="610"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59" s="610" t="inlineStr">
        <is>
          <t>The state encourages production and use of Grade 1 and Grade 2 high-efficiency heat pump and water chiller products; promotes the market uptake of high-efficiency HVAC equipment through energy-saving product certification and green building promotion.</t>
        </is>
      </c>
      <c r="AP159" s="610" t="inlineStr">
        <is>
          <t>The state encourages production and use of Grade 1 and Grade 2 high-efficiency heat pump and water chiller products; promotes the market uptake of high-efficiency HVAC equipment through energy-saving product certification and green building promotion.</t>
        </is>
      </c>
      <c r="AQ159" s="610" t="inlineStr">
        <is>
          <t>N/A</t>
        </is>
      </c>
      <c r="AR159" s="610" t="inlineStr">
        <is>
          <t>N/A</t>
        </is>
      </c>
      <c r="AS159" s="610" t="inlineStr">
        <is>
          <t>C27</t>
        </is>
      </c>
      <c r="AT159" s="610" t="inlineStr">
        <is>
          <t>CO2</t>
        </is>
      </c>
      <c r="AU159" s="610" t="inlineStr">
        <is>
          <t>Positive</t>
        </is>
      </c>
      <c r="AV159" s="610" t="inlineStr">
        <is>
          <t>Energy conservation; Industrial development</t>
        </is>
      </c>
      <c r="AW159" s="610" t="inlineStr">
        <is>
          <t>GB 19577-2024 Minimum Allowable Values of the Energy Efficiency and Energy Efficiency Grades for Heat Pumps and Water Chillers</t>
        </is>
      </c>
      <c r="AX159" s="610" t="inlineStr">
        <is>
          <t>https://openstd.samr.gov.cn/bzgk/std/newGbInfo?hcno=C59327F9E5A3194DAD64C39B883C36C2</t>
        </is>
      </c>
      <c r="AY159" s="610" t="inlineStr">
        <is>
          <t>GB 30721-2014 water-source (ground-source) heat pumps (superseded): https://openstd.samr.gov.cn/bzgk/std/newGbInfo?hcno=0AFB9BECCAF3446797B9201068DCF363</t>
        </is>
      </c>
      <c r="AZ159" s="610" t="inlineStr"/>
    </row>
    <row r="160">
      <c r="A160" s="610" t="inlineStr">
        <is>
          <t>CHNPRFMCSI01S000</t>
        </is>
      </c>
      <c r="B160" s="610" t="inlineStr">
        <is>
          <t>Instrument</t>
        </is>
      </c>
      <c r="C160" s="610" t="inlineStr">
        <is>
          <t>Performance standard</t>
        </is>
      </c>
      <c r="D160" s="610" t="inlineStr">
        <is>
          <t>Minimum Energy Performance Standards (MEPS) for spatial cooling</t>
        </is>
      </c>
      <c r="E160" s="610" t="inlineStr">
        <is>
          <t>Buildings</t>
        </is>
      </c>
      <c r="F160" s="610" t="inlineStr">
        <is>
          <t>Building air conditioning; Building heating</t>
        </is>
      </c>
      <c r="G160" s="610" t="inlineStr">
        <is>
          <t>多联式空调（热泵）机组能效限定值及能效等级</t>
        </is>
      </c>
      <c r="H160" s="610" t="inlineStr">
        <is>
          <t>Minimum Allowable Values of the Energy Efficiency and Energy Efficiency Grades for Multi-Connected Air-Condition (Heat Pump) Units</t>
        </is>
      </c>
      <c r="I160" s="610" t="inlineStr">
        <is>
          <t>N/A</t>
        </is>
      </c>
      <c r="J160" s="610"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0" s="610" t="inlineStr">
        <is>
          <t>Energy efficiency</t>
        </is>
      </c>
      <c r="L160" s="610" t="inlineStr">
        <is>
          <t>Direct</t>
        </is>
      </c>
      <c r="M160" s="610" t="inlineStr">
        <is>
          <t>national</t>
        </is>
      </c>
      <c r="N160" s="610" t="inlineStr">
        <is>
          <t>N/A</t>
        </is>
      </c>
      <c r="O160" s="610" t="inlineStr">
        <is>
          <t>01/06/2008</t>
        </is>
      </c>
      <c r="P160" s="610" t="inlineStr">
        <is>
          <t>01/01/2009</t>
        </is>
      </c>
      <c r="Q160" s="610" t="inlineStr">
        <is>
          <t>N/A</t>
        </is>
      </c>
      <c r="R160" s="610" t="inlineStr">
        <is>
          <t>11/10/2021</t>
        </is>
      </c>
      <c r="S160" s="610"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T160" s="610">
        <f>IF(P160="","In force",IF(P160="N/A","In force",IF(TODAY()&lt;DATE(VALUE(RIGHT(P160,4)),VALUE(MID(P160,4,2)),VALUE(LEFT(P160,2))),"Scheduled",IF(Q160="","In force",IF(Q160="N/A","In force",IF(TODAY()&lt;DATE(VALUE(RIGHT(Q160,4)),VALUE(MID(Q160,4,2)),VALUE(LEFT(Q160,2))),"In force","Ended"))))))</f>
        <v/>
      </c>
      <c r="U160" s="610" t="inlineStr">
        <is>
          <t>State Administration for Market Regulation; Standardization Administration of China</t>
        </is>
      </c>
      <c r="V160" s="610" t="inlineStr">
        <is>
          <t>Multi-connected air-condition (heat pump) units</t>
        </is>
      </c>
      <c r="W160" s="610" t="inlineStr">
        <is>
          <t>new</t>
        </is>
      </c>
      <c r="X160" s="610" t="inlineStr">
        <is>
          <t>Air-cooled or water-cooled multi-connected air-condition (heat pump) units, and low ambient temperature air-source multi-connected heat pump (air-conditioning) units. Excludes unitary air conditioners and ducted air conditioners.</t>
        </is>
      </c>
      <c r="Y160" s="610" t="inlineStr">
        <is>
          <t>N/A</t>
        </is>
      </c>
      <c r="Z160" s="610" t="inlineStr">
        <is>
          <t>N/A</t>
        </is>
      </c>
      <c r="AA160" s="610" t="inlineStr">
        <is>
          <t>Firms</t>
        </is>
      </c>
      <c r="AB160" s="610" t="inlineStr">
        <is>
          <t>Manufacturers and importers producing, importing or selling multi-connected air-condition (heat pump) units within China.</t>
        </is>
      </c>
      <c r="AC160" s="610" t="inlineStr">
        <is>
          <t>Production; Sale; Import</t>
        </is>
      </c>
      <c r="AD160" s="610" t="inlineStr">
        <is>
          <t>Production, import and sale of multi-connected air-condition (heat pump) units. Products must meet the standard's minimum allowable energy efficiency values (Grade 3) before they can enter the market.</t>
        </is>
      </c>
      <c r="AE160" s="610" t="inlineStr">
        <is>
          <t>Grade 3</t>
        </is>
      </c>
      <c r="AF160" s="610" t="inlineStr">
        <is>
          <t>Energy efficiency grade</t>
        </is>
      </c>
      <c r="AG160" s="610"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H160" s="610"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0" s="610" t="inlineStr">
        <is>
          <t>N/A</t>
        </is>
      </c>
      <c r="AJ160" s="610" t="inlineStr">
        <is>
          <t>N/A</t>
        </is>
      </c>
      <c r="AK160" s="610" t="inlineStr">
        <is>
          <t>Inspections or audits conducted by government authorities or third parties</t>
        </is>
      </c>
      <c r="AL160" s="610" t="inlineStr">
        <is>
          <t>Market regulatory authorities conduct energy efficiency label supervision inspections and product quality supervision spot checks on multi-connected air-condition (heat pump) unit products.</t>
        </is>
      </c>
      <c r="AM160" s="610" t="inlineStr">
        <is>
          <t>Compliance requirements; Testing</t>
        </is>
      </c>
      <c r="AN160" s="610"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0" s="610"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P160" s="610"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Q160" s="610" t="inlineStr">
        <is>
          <t>N/A</t>
        </is>
      </c>
      <c r="AR160" s="610" t="inlineStr">
        <is>
          <t>N/A</t>
        </is>
      </c>
      <c r="AS160" s="610" t="inlineStr">
        <is>
          <t>C27</t>
        </is>
      </c>
      <c r="AT160" s="610" t="inlineStr">
        <is>
          <t>CO2</t>
        </is>
      </c>
      <c r="AU160" s="610" t="inlineStr">
        <is>
          <t>Positive</t>
        </is>
      </c>
      <c r="AV160" s="610" t="inlineStr">
        <is>
          <t>Energy conservation; Industrial development</t>
        </is>
      </c>
      <c r="AW160" s="610" t="inlineStr">
        <is>
          <t>GB 21454-2021 Minimum Allowable Values of the Energy Efficiency and Energy Efficiency Grades for Multi-Connected Air-Condition (Heat Pump) Units</t>
        </is>
      </c>
      <c r="AX160" s="610" t="inlineStr">
        <is>
          <t>https://openstd.samr.gov.cn/bzgk/std/newGbInfo?hcno=32791D15944EA9E65C8E97FF2FC2039A</t>
        </is>
      </c>
      <c r="AY160" s="610" t="inlineStr">
        <is>
          <t>GB 21454-2008 (superseded): https://openstd.samr.gov.cn/bzgk/std/newGbInfo?hcno=1113031B4489140189D98B75C733F70D</t>
        </is>
      </c>
      <c r="AZ160" s="610" t="inlineStr"/>
    </row>
    <row r="161">
      <c r="A161" s="610" t="inlineStr">
        <is>
          <t>CHNPRFMCSI02S000</t>
        </is>
      </c>
      <c r="B161" s="610" t="inlineStr">
        <is>
          <t>Instrument</t>
        </is>
      </c>
      <c r="C161" s="610" t="inlineStr">
        <is>
          <t>Performance standard</t>
        </is>
      </c>
      <c r="D161" s="610" t="inlineStr">
        <is>
          <t>Minimum Energy Performance Standards (MEPS) for spatial cooling</t>
        </is>
      </c>
      <c r="E161" s="610" t="inlineStr">
        <is>
          <t>Buildings</t>
        </is>
      </c>
      <c r="F161" s="610" t="inlineStr">
        <is>
          <t>Building air conditioning</t>
        </is>
      </c>
      <c r="G161" s="610" t="inlineStr">
        <is>
          <t>房间空气调节器能效限定值及能效等级</t>
        </is>
      </c>
      <c r="H161" s="610" t="inlineStr">
        <is>
          <t>Minimum Allowable Values of the Energy Efficiency and Energy Efficiency Grades for Room Air Conditioners</t>
        </is>
      </c>
      <c r="I161" s="610" t="inlineStr">
        <is>
          <t>N/A</t>
        </is>
      </c>
      <c r="J161" s="610"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1" s="610" t="inlineStr">
        <is>
          <t>Energy efficiency</t>
        </is>
      </c>
      <c r="L161" s="610" t="inlineStr">
        <is>
          <t>Direct</t>
        </is>
      </c>
      <c r="M161" s="610" t="inlineStr">
        <is>
          <t>national</t>
        </is>
      </c>
      <c r="N161" s="610" t="inlineStr">
        <is>
          <t>N/A</t>
        </is>
      </c>
      <c r="O161" s="610" t="inlineStr">
        <is>
          <t>01/06/2004</t>
        </is>
      </c>
      <c r="P161" s="610" t="inlineStr">
        <is>
          <t>01/03/2005</t>
        </is>
      </c>
      <c r="Q161" s="610" t="inlineStr">
        <is>
          <t>N/A</t>
        </is>
      </c>
      <c r="R161" s="610" t="inlineStr">
        <is>
          <t>31/12/2019</t>
        </is>
      </c>
      <c r="S161" s="610"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T161" s="610">
        <f>IF(P161="","In force",IF(P161="N/A","In force",IF(TODAY()&lt;DATE(VALUE(RIGHT(P161,4)),VALUE(MID(P161,4,2)),VALUE(LEFT(P161,2))),"Scheduled",IF(Q161="","In force",IF(Q161="N/A","In force",IF(TODAY()&lt;DATE(VALUE(RIGHT(Q161,4)),VALUE(MID(Q161,4,2)),VALUE(LEFT(Q161,2))),"In force","Ended"))))))</f>
        <v/>
      </c>
      <c r="U161" s="610" t="inlineStr">
        <is>
          <t>State Administration for Market Regulation; Standardization Administration of China</t>
        </is>
      </c>
      <c r="V161" s="610" t="inlineStr">
        <is>
          <t>Room air conditioners</t>
        </is>
      </c>
      <c r="W161" s="610" t="inlineStr">
        <is>
          <t>new</t>
        </is>
      </c>
      <c r="X161" s="610"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Y161" s="610" t="inlineStr">
        <is>
          <t>N/A</t>
        </is>
      </c>
      <c r="Z161" s="610" t="inlineStr">
        <is>
          <t>N/A</t>
        </is>
      </c>
      <c r="AA161" s="610" t="inlineStr">
        <is>
          <t>Firms</t>
        </is>
      </c>
      <c r="AB161" s="610" t="inlineStr">
        <is>
          <t>Manufacturers and importers producing, importing or selling room air conditioners within China.</t>
        </is>
      </c>
      <c r="AC161" s="610" t="inlineStr">
        <is>
          <t>Production; Sale; Import</t>
        </is>
      </c>
      <c r="AD161" s="610" t="inlineStr">
        <is>
          <t>Production, import and sale of room air conditioners. Products must meet the standard's minimum allowable energy efficiency values (Grade 3) before they can enter the market.</t>
        </is>
      </c>
      <c r="AE161" s="610" t="inlineStr">
        <is>
          <t>Grade 3</t>
        </is>
      </c>
      <c r="AF161" s="610" t="inlineStr">
        <is>
          <t>Energy efficiency grade</t>
        </is>
      </c>
      <c r="AG161" s="610"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H161" s="610"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1" s="610" t="inlineStr">
        <is>
          <t>N/A</t>
        </is>
      </c>
      <c r="AJ161" s="610" t="inlineStr">
        <is>
          <t>N/A</t>
        </is>
      </c>
      <c r="AK161" s="610" t="inlineStr">
        <is>
          <t>Inspections or audits conducted by government authorities or third parties</t>
        </is>
      </c>
      <c r="AL161" s="610" t="inlineStr">
        <is>
          <t>Market regulatory authorities conduct energy efficiency label supervision inspections and product quality supervision spot checks on room air conditioner products.</t>
        </is>
      </c>
      <c r="AM161" s="610" t="inlineStr">
        <is>
          <t>Compliance requirements; Testing</t>
        </is>
      </c>
      <c r="AN161" s="610"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1" s="610" t="inlineStr">
        <is>
          <t>The state encourages production and use of Grade 1 and Grade 2 high-efficiency room air conditioners; promotes the market uptake of high-efficiency air conditioning products through energy-saving product certification and energy-saving subsidies.</t>
        </is>
      </c>
      <c r="AP161" s="610" t="inlineStr">
        <is>
          <t>The State encourages the procurement and use of energy-efficient products with Grade 1 and Grade 2 energy efficiency labels, and promotes high-efficiency fan products through energy-saving product certification and energy conservation project promotion.</t>
        </is>
      </c>
      <c r="AQ161" s="610" t="inlineStr">
        <is>
          <t>N/A</t>
        </is>
      </c>
      <c r="AR161" s="610" t="inlineStr">
        <is>
          <t>N/A</t>
        </is>
      </c>
      <c r="AS161" s="610" t="inlineStr">
        <is>
          <t>C27</t>
        </is>
      </c>
      <c r="AT161" s="610" t="inlineStr">
        <is>
          <t>CO2</t>
        </is>
      </c>
      <c r="AU161" s="610" t="inlineStr">
        <is>
          <t>Positive</t>
        </is>
      </c>
      <c r="AV161" s="610" t="inlineStr">
        <is>
          <t>Energy conservation; Industrial development</t>
        </is>
      </c>
      <c r="AW161" s="610" t="inlineStr">
        <is>
          <t>GB 21455-2019 Minimum Allowable Values of the Energy Efficiency and Energy Efficiency Grades for Room Air Conditioners</t>
        </is>
      </c>
      <c r="AX161" s="610" t="inlineStr">
        <is>
          <t>https://openstd.samr.gov.cn/bzgk/std/newGbInfo?hcno=BC04CDC71AD8C36B62C0FF4AE58F633C</t>
        </is>
      </c>
      <c r="AY161" s="610" t="inlineStr">
        <is>
          <t>GB 12021.3-2010 (superseded): https://openstd.samr.gov.cn/bzgk/std/newGbInfo?hcno=CCCF01CC64E2B23D8573C5BA945C672D; GB 21455-2013 (superseded): https://openstd.samr.gov.cn/bzgk/std/newGbInfo?hcno=3A8FF0FAFE08A1920B7F3D41E5A9E5D9</t>
        </is>
      </c>
      <c r="AZ161" s="610" t="inlineStr"/>
    </row>
    <row r="162">
      <c r="A162" s="610" t="inlineStr">
        <is>
          <t>CHNPRFMCSI03S000</t>
        </is>
      </c>
      <c r="B162" s="610" t="inlineStr">
        <is>
          <t>Instrument</t>
        </is>
      </c>
      <c r="C162" s="610" t="inlineStr">
        <is>
          <t>Performance standard</t>
        </is>
      </c>
      <c r="D162" s="610" t="inlineStr">
        <is>
          <t>Minimum Energy Performance Standards (MEPS) for spatial cooling</t>
        </is>
      </c>
      <c r="E162" s="610" t="inlineStr">
        <is>
          <t>Buildings</t>
        </is>
      </c>
      <c r="F162" s="610" t="inlineStr">
        <is>
          <t>Building air conditioning</t>
        </is>
      </c>
      <c r="G162" s="610" t="inlineStr">
        <is>
          <t>风管送风式空调机组能效限定值及能效等级</t>
        </is>
      </c>
      <c r="H162" s="610" t="inlineStr">
        <is>
          <t>Minimum Allowable Values of Energy Efficiency and Energy Efficiency Grades for Ducted Air Conditioners</t>
        </is>
      </c>
      <c r="I162" s="610" t="inlineStr">
        <is>
          <t>N/A</t>
        </is>
      </c>
      <c r="J162" s="610"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2" s="610" t="inlineStr">
        <is>
          <t>Energy efficiency</t>
        </is>
      </c>
      <c r="L162" s="610" t="inlineStr">
        <is>
          <t>Direct</t>
        </is>
      </c>
      <c r="M162" s="610" t="inlineStr">
        <is>
          <t>national</t>
        </is>
      </c>
      <c r="N162" s="610" t="inlineStr">
        <is>
          <t>N/A</t>
        </is>
      </c>
      <c r="O162" s="610" t="inlineStr">
        <is>
          <t>04/04/2019</t>
        </is>
      </c>
      <c r="P162" s="610" t="inlineStr">
        <is>
          <t>01/11/2020</t>
        </is>
      </c>
      <c r="Q162" s="610" t="inlineStr">
        <is>
          <t>N/A</t>
        </is>
      </c>
      <c r="R162" s="610" t="inlineStr">
        <is>
          <t>N/A</t>
        </is>
      </c>
      <c r="S162" s="610" t="inlineStr">
        <is>
          <t>N/A</t>
        </is>
      </c>
      <c r="T162" s="610">
        <f>IF(P162="","In force",IF(P162="N/A","In force",IF(TODAY()&lt;DATE(VALUE(RIGHT(P162,4)),VALUE(MID(P162,4,2)),VALUE(LEFT(P162,2))),"Scheduled",IF(Q162="","In force",IF(Q162="N/A","In force",IF(TODAY()&lt;DATE(VALUE(RIGHT(Q162,4)),VALUE(MID(Q162,4,2)),VALUE(LEFT(Q162,2))),"In force","Ended"))))))</f>
        <v/>
      </c>
      <c r="U162" s="610" t="inlineStr">
        <is>
          <t>State Administration for Market Regulation; Standardization Administration of China</t>
        </is>
      </c>
      <c r="V162" s="610" t="inlineStr">
        <is>
          <t>Ducted air conditioners</t>
        </is>
      </c>
      <c r="W162" s="610" t="inlineStr">
        <is>
          <t>new</t>
        </is>
      </c>
      <c r="X162" s="610" t="inlineStr">
        <is>
          <t>Ducted air-condition (heat pump) units and direct-expansion dedicated outdoor air systems with motor-driven compressors and indoor unit static pressure greater than 0 Pa (gauge pressure).</t>
        </is>
      </c>
      <c r="Y162" s="610" t="inlineStr">
        <is>
          <t>N/A</t>
        </is>
      </c>
      <c r="Z162" s="610" t="inlineStr">
        <is>
          <t>N/A</t>
        </is>
      </c>
      <c r="AA162" s="610" t="inlineStr">
        <is>
          <t>Firms</t>
        </is>
      </c>
      <c r="AB162" s="610" t="inlineStr">
        <is>
          <t>Manufacturers and importers producing, importing or selling ducted air conditioner units within China.</t>
        </is>
      </c>
      <c r="AC162" s="610" t="inlineStr">
        <is>
          <t>Production; Sale; Import</t>
        </is>
      </c>
      <c r="AD162" s="610" t="inlineStr">
        <is>
          <t>Production, import and sale of ducted air conditioner units. Products must meet the standard's minimum allowable energy efficiency values (Grade 3) before they can enter the market.</t>
        </is>
      </c>
      <c r="AE162" s="610" t="inlineStr">
        <is>
          <t>Grade 3</t>
        </is>
      </c>
      <c r="AF162" s="610" t="inlineStr">
        <is>
          <t>Energy efficiency grade</t>
        </is>
      </c>
      <c r="AG162" s="610"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H162" s="610"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2" s="610" t="inlineStr">
        <is>
          <t>N/A</t>
        </is>
      </c>
      <c r="AJ162" s="610" t="inlineStr">
        <is>
          <t>N/A</t>
        </is>
      </c>
      <c r="AK162" s="610" t="inlineStr">
        <is>
          <t>Inspections or audits conducted by government authorities or third parties</t>
        </is>
      </c>
      <c r="AL162" s="610" t="inlineStr">
        <is>
          <t>Market regulatory authorities conduct energy efficiency label supervision inspections and product quality supervision spot checks on ducted air conditioner products.</t>
        </is>
      </c>
      <c r="AM162" s="610" t="inlineStr">
        <is>
          <t>Compliance requirements; Testing</t>
        </is>
      </c>
      <c r="AN162" s="610"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2" s="610" t="inlineStr">
        <is>
          <t>The state encourages production and use of Grade 1 and Grade 2 high-efficiency ducted air conditioners; promotes the market uptake of high-efficiency air conditioning products through energy-saving product certification.</t>
        </is>
      </c>
      <c r="AP162" s="610" t="inlineStr">
        <is>
          <t>The state encourages production and use of Grade 1 and Grade 2 high-efficiency ducted air conditioners; promotes the market uptake of high-efficiency air conditioning products through energy-saving product certification.</t>
        </is>
      </c>
      <c r="AQ162" s="610" t="inlineStr">
        <is>
          <t>N/A</t>
        </is>
      </c>
      <c r="AR162" s="610" t="inlineStr">
        <is>
          <t>N/A</t>
        </is>
      </c>
      <c r="AS162" s="610" t="inlineStr">
        <is>
          <t>C27</t>
        </is>
      </c>
      <c r="AT162" s="610" t="inlineStr">
        <is>
          <t>CO2</t>
        </is>
      </c>
      <c r="AU162" s="610" t="inlineStr">
        <is>
          <t>Positive</t>
        </is>
      </c>
      <c r="AV162" s="610" t="inlineStr">
        <is>
          <t>Energy conservation; Industrial development</t>
        </is>
      </c>
      <c r="AW162" s="610" t="inlineStr">
        <is>
          <t>GB 37479-2019 Minimum Allowable Values of Energy Efficiency and Energy Efficiency Grades for Ducted Air Conditioners</t>
        </is>
      </c>
      <c r="AX162" s="610" t="inlineStr">
        <is>
          <t>https://openstd.samr.gov.cn/bzgk/std/newGbInfo?hcno=40B53B45E279F71D82D19417CAF123EE</t>
        </is>
      </c>
      <c r="AY162" s="610" t="inlineStr">
        <is>
          <t>N/A</t>
        </is>
      </c>
      <c r="AZ162" s="610" t="inlineStr"/>
    </row>
    <row r="163">
      <c r="A163" s="610" t="inlineStr">
        <is>
          <t>CHNPRFMCSI04S000</t>
        </is>
      </c>
      <c r="B163" s="610" t="inlineStr">
        <is>
          <t>Instrument</t>
        </is>
      </c>
      <c r="C163" s="610" t="inlineStr">
        <is>
          <t>Performance standard</t>
        </is>
      </c>
      <c r="D163" s="610" t="inlineStr">
        <is>
          <t>Minimum Energy Performance Standards (MEPS) for spatial cooling</t>
        </is>
      </c>
      <c r="E163" s="610" t="inlineStr">
        <is>
          <t>Buildings</t>
        </is>
      </c>
      <c r="F163" s="610" t="inlineStr">
        <is>
          <t>Building air conditioning; Data centres</t>
        </is>
      </c>
      <c r="G163" s="610" t="inlineStr">
        <is>
          <t>单元式空气调节机能效限定值及能效等级</t>
        </is>
      </c>
      <c r="H163" s="610" t="inlineStr">
        <is>
          <t>Minimum Allowable Values of Energy Efficiency and Energy Efficiency Grades for Unitary Air Conditioners</t>
        </is>
      </c>
      <c r="I163" s="610" t="inlineStr">
        <is>
          <t>N/A</t>
        </is>
      </c>
      <c r="J163" s="610"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3" s="610" t="inlineStr">
        <is>
          <t>Energy efficiency</t>
        </is>
      </c>
      <c r="L163" s="610" t="inlineStr">
        <is>
          <t>Direct</t>
        </is>
      </c>
      <c r="M163" s="610" t="inlineStr">
        <is>
          <t>national</t>
        </is>
      </c>
      <c r="N163" s="610" t="inlineStr">
        <is>
          <t>N/A</t>
        </is>
      </c>
      <c r="O163" s="610" t="inlineStr">
        <is>
          <t>01/06/2004</t>
        </is>
      </c>
      <c r="P163" s="610" t="inlineStr">
        <is>
          <t>01/03/2005</t>
        </is>
      </c>
      <c r="Q163" s="610" t="inlineStr">
        <is>
          <t>N/A</t>
        </is>
      </c>
      <c r="R163" s="610" t="inlineStr">
        <is>
          <t>04/04/2019</t>
        </is>
      </c>
      <c r="S163" s="610"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T163" s="610">
        <f>IF(P163="","In force",IF(P163="N/A","In force",IF(TODAY()&lt;DATE(VALUE(RIGHT(P163,4)),VALUE(MID(P163,4,2)),VALUE(LEFT(P163,2))),"Scheduled",IF(Q163="","In force",IF(Q163="N/A","In force",IF(TODAY()&lt;DATE(VALUE(RIGHT(Q163,4)),VALUE(MID(Q163,4,2)),VALUE(LEFT(Q163,2))),"In force","Ended"))))))</f>
        <v/>
      </c>
      <c r="U163" s="610" t="inlineStr">
        <is>
          <t>State Administration for Market Regulation; Standardization Administration of China</t>
        </is>
      </c>
      <c r="V163" s="610" t="inlineStr">
        <is>
          <t>Unitary air conditioners</t>
        </is>
      </c>
      <c r="W163" s="610" t="inlineStr">
        <is>
          <t>new</t>
        </is>
      </c>
      <c r="X163" s="610"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Y163" s="610" t="inlineStr">
        <is>
          <t>N/A</t>
        </is>
      </c>
      <c r="Z163" s="610" t="inlineStr">
        <is>
          <t>N/A</t>
        </is>
      </c>
      <c r="AA163" s="610" t="inlineStr">
        <is>
          <t>Firms</t>
        </is>
      </c>
      <c r="AB163" s="610" t="inlineStr">
        <is>
          <t>Manufacturers and importers producing, importing or selling unitary air conditioners within China.</t>
        </is>
      </c>
      <c r="AC163" s="610" t="inlineStr">
        <is>
          <t>Production; Sale; Import</t>
        </is>
      </c>
      <c r="AD163" s="610" t="inlineStr">
        <is>
          <t>Production, import and sale of unitary air conditioners. Products must meet the standard's minimum allowable energy efficiency values (Grade 3) before they can enter the market.</t>
        </is>
      </c>
      <c r="AE163" s="610" t="inlineStr">
        <is>
          <t>Grade 3</t>
        </is>
      </c>
      <c r="AF163" s="610" t="inlineStr">
        <is>
          <t>Energy efficiency grade</t>
        </is>
      </c>
      <c r="AG163" s="610"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H163" s="610"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3" s="610" t="inlineStr">
        <is>
          <t>N/A</t>
        </is>
      </c>
      <c r="AJ163" s="610" t="inlineStr">
        <is>
          <t>N/A</t>
        </is>
      </c>
      <c r="AK163" s="610" t="inlineStr">
        <is>
          <t>Inspections or audits conducted by government authorities or third parties</t>
        </is>
      </c>
      <c r="AL163" s="610" t="inlineStr">
        <is>
          <t>Market regulatory authorities conduct energy efficiency label supervision inspections and product quality supervision spot checks on unitary air conditioner products.</t>
        </is>
      </c>
      <c r="AM163" s="610" t="inlineStr">
        <is>
          <t>Compliance requirements; Testing</t>
        </is>
      </c>
      <c r="AN163" s="610"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3" s="610" t="inlineStr">
        <is>
          <t>The state encourages production and use of Grade 1 and Grade 2 high-efficiency unitary air conditioners; promotes the market uptake of high-efficiency air conditioning products through energy-saving product certification.</t>
        </is>
      </c>
      <c r="AP163" s="610" t="inlineStr">
        <is>
          <t>The state encourages production and use of Grade 1 and Grade 2 high-efficiency unitary air conditioners; promotes the market uptake of high-efficiency air conditioning products through energy-saving product certification.</t>
        </is>
      </c>
      <c r="AQ163" s="610" t="inlineStr">
        <is>
          <t>N/A</t>
        </is>
      </c>
      <c r="AR163" s="610" t="inlineStr">
        <is>
          <t>N/A</t>
        </is>
      </c>
      <c r="AS163" s="610" t="inlineStr">
        <is>
          <t>C27</t>
        </is>
      </c>
      <c r="AT163" s="610" t="inlineStr">
        <is>
          <t>CO2</t>
        </is>
      </c>
      <c r="AU163" s="610" t="inlineStr">
        <is>
          <t>Positive</t>
        </is>
      </c>
      <c r="AV163" s="610" t="inlineStr">
        <is>
          <t>Energy conservation; Industrial development</t>
        </is>
      </c>
      <c r="AW163" s="610" t="inlineStr">
        <is>
          <t>GB 19576-2019 Minimum Allowable Values of Energy Efficiency and Energy Efficiency Grades for Unitary Air Conditioners</t>
        </is>
      </c>
      <c r="AX163" s="610" t="inlineStr">
        <is>
          <t>https://openstd.samr.gov.cn/bzgk/std/newGbInfo?hcno=D34F8444D10AA7DDEED93C9A2C275D61</t>
        </is>
      </c>
      <c r="AY163" s="610" t="inlineStr">
        <is>
          <t>GB 19576-2004 (superseded): https://openstd.samr.gov.cn/bzgk/std/newGbInfo?hcno=4756D1A444A9BE907E9715DABECCB078</t>
        </is>
      </c>
      <c r="AZ163" s="610" t="inlineStr"/>
    </row>
    <row r="164">
      <c r="A164" s="610" t="inlineStr">
        <is>
          <t>CHNPRFSPDI01S000</t>
        </is>
      </c>
      <c r="B164" s="610" t="inlineStr">
        <is>
          <t>Instrument</t>
        </is>
      </c>
      <c r="C164" s="610" t="inlineStr">
        <is>
          <t>Performance standard</t>
        </is>
      </c>
      <c r="D164" s="610" t="inlineStr">
        <is>
          <t>Speed limits</t>
        </is>
      </c>
      <c r="E164" s="610" t="inlineStr">
        <is>
          <t>Transport</t>
        </is>
      </c>
      <c r="F164" s="610" t="inlineStr">
        <is>
          <t>Road transport</t>
        </is>
      </c>
      <c r="G164" s="610" t="inlineStr">
        <is>
          <t>机动车行驶速度限制</t>
        </is>
      </c>
      <c r="H164" s="610" t="inlineStr">
        <is>
          <t>Motor Vehicle Speed Limits</t>
        </is>
      </c>
      <c r="I164" s="610" t="inlineStr">
        <is>
          <t>N/A</t>
        </is>
      </c>
      <c r="J164" s="610"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4" s="610" t="inlineStr">
        <is>
          <t>Energy efficiency</t>
        </is>
      </c>
      <c r="L164" s="610" t="inlineStr">
        <is>
          <t>Indirect</t>
        </is>
      </c>
      <c r="M164" s="610" t="inlineStr">
        <is>
          <t>national</t>
        </is>
      </c>
      <c r="N164" s="610" t="inlineStr">
        <is>
          <t>N/A</t>
        </is>
      </c>
      <c r="O164" s="610" t="inlineStr">
        <is>
          <t>30/04/2004</t>
        </is>
      </c>
      <c r="P164" s="610" t="inlineStr">
        <is>
          <t>01/05/2004</t>
        </is>
      </c>
      <c r="Q164" s="610" t="inlineStr">
        <is>
          <t>N/A</t>
        </is>
      </c>
      <c r="R164" s="610" t="inlineStr">
        <is>
          <t>07/10/2017</t>
        </is>
      </c>
      <c r="S164" s="610"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T164" s="610">
        <f>IF(P164="","In force",IF(P164="N/A","In force",IF(TODAY()&lt;DATE(VALUE(RIGHT(P164,4)),VALUE(MID(P164,4,2)),VALUE(LEFT(P164,2))),"Scheduled",IF(Q164="","In force",IF(Q164="N/A","In force",IF(TODAY()&lt;DATE(VALUE(RIGHT(Q164,4)),VALUE(MID(Q164,4,2)),VALUE(LEFT(Q164,2))),"In force","Ended"))))))</f>
        <v/>
      </c>
      <c r="U164" s="610" t="inlineStr">
        <is>
          <t>State Council; Ministry of Public Security; Ministry of Transport</t>
        </is>
      </c>
      <c r="V164" s="610" t="inlineStr">
        <is>
          <t>Motor vehicles</t>
        </is>
      </c>
      <c r="W164" s="610" t="inlineStr">
        <is>
          <t>New; existing</t>
        </is>
      </c>
      <c r="X164" s="610"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Y164" s="610" t="inlineStr">
        <is>
          <t>N/A</t>
        </is>
      </c>
      <c r="Z164" s="610" t="inlineStr">
        <is>
          <t>N/A</t>
        </is>
      </c>
      <c r="AA164" s="610" t="inlineStr">
        <is>
          <t>Households; Firms</t>
        </is>
      </c>
      <c r="AB164" s="610" t="inlineStr">
        <is>
          <t>Enterprises and individuals driving motor vehicles on roads within China.</t>
        </is>
      </c>
      <c r="AC164" s="610" t="inlineStr">
        <is>
          <t>Driving</t>
        </is>
      </c>
      <c r="AD164" s="610"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E164" s="610" t="inlineStr">
        <is>
          <t>120</t>
        </is>
      </c>
      <c r="AF164" s="610" t="inlineStr">
        <is>
          <t>km/h</t>
        </is>
      </c>
      <c r="AG164" s="610"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H164" s="610"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I164" s="610" t="inlineStr">
        <is>
          <t>N/A</t>
        </is>
      </c>
      <c r="AJ164" s="610" t="inlineStr">
        <is>
          <t>N/A</t>
        </is>
      </c>
      <c r="AK164" s="610" t="inlineStr">
        <is>
          <t>Speed enforcement by public security traffic management departments; road monitoring equipment</t>
        </is>
      </c>
      <c r="AL164" s="610"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M164" s="610" t="inlineStr">
        <is>
          <t>Fines; Demerit points</t>
        </is>
      </c>
      <c r="AN164" s="610"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O164" s="610"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P164" s="610"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Q164" s="610" t="inlineStr">
        <is>
          <t>N/A</t>
        </is>
      </c>
      <c r="AR164" s="610" t="inlineStr">
        <is>
          <t>N/A</t>
        </is>
      </c>
      <c r="AS164" s="610" t="inlineStr">
        <is>
          <t>H49</t>
        </is>
      </c>
      <c r="AT164" s="610" t="inlineStr">
        <is>
          <t>CO2</t>
        </is>
      </c>
      <c r="AU164" s="610" t="inlineStr">
        <is>
          <t>Positive</t>
        </is>
      </c>
      <c r="AV164" s="610" t="inlineStr">
        <is>
          <t>Energy conservation; Pollution control</t>
        </is>
      </c>
      <c r="AW164" s="610" t="inlineStr">
        <is>
          <t>Regulation on the Implementation of the Road Traffic Safety Law of the People's Republic of China</t>
        </is>
      </c>
      <c r="AX164" s="610" t="inlineStr">
        <is>
          <t>https://www.gov.cn/gongbao/content/2019/content_5468932.htm</t>
        </is>
      </c>
      <c r="AY164" s="610" t="inlineStr">
        <is>
          <t>Road Traffic Safety Law of the People's Republic of China (2021 amendment): https://flk.npc.gov.cn/detail2.html?ZmY4MDgxODE3OTZhNjM2YTAxNzk4NTY4YzY1NzA3N2Y</t>
        </is>
      </c>
      <c r="AZ164" s="610" t="inlineStr"/>
    </row>
  </sheetData>
  <mergeCells count="9">
    <mergeCell ref="G1:L1"/>
    <mergeCell ref="V1:AJ1"/>
    <mergeCell ref="AK1:AP1"/>
    <mergeCell ref="AW1:AY1"/>
    <mergeCell ref="M1:U1"/>
    <mergeCell ref="AQ1:AR1"/>
    <mergeCell ref="C1:F1"/>
    <mergeCell ref="A1:B1"/>
    <mergeCell ref="AS1:AV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B25"/>
  <sheetViews>
    <sheetView workbookViewId="0">
      <selection activeCell="AH41" sqref="AH41"/>
    </sheetView>
  </sheetViews>
  <sheetFormatPr baseColWidth="8" defaultRowHeight="13.9"/>
  <sheetData>
    <row r="1" ht="15.75" customHeight="1">
      <c r="A1" s="591" t="inlineStr">
        <is>
          <t>Identification</t>
        </is>
      </c>
      <c r="B1" s="93" t="n"/>
      <c r="C1" s="627" t="inlineStr">
        <is>
          <t>Instrument typology</t>
        </is>
      </c>
      <c r="D1" s="100" t="n"/>
      <c r="E1" s="100" t="n"/>
      <c r="F1" s="101" t="n"/>
      <c r="G1" s="628" t="inlineStr">
        <is>
          <t>Policy Description</t>
        </is>
      </c>
      <c r="H1" s="100" t="n"/>
      <c r="I1" s="100" t="n"/>
      <c r="J1" s="100" t="n"/>
      <c r="K1" s="100" t="n"/>
      <c r="L1" s="100" t="n"/>
      <c r="M1" s="629" t="inlineStr">
        <is>
          <t>Administrative information</t>
        </is>
      </c>
      <c r="N1" s="100" t="n"/>
      <c r="O1" s="100" t="n"/>
      <c r="P1" s="100" t="n"/>
      <c r="Q1" s="100" t="n"/>
      <c r="R1" s="100" t="n"/>
      <c r="S1" s="100" t="n"/>
      <c r="T1" s="100" t="n"/>
      <c r="U1" s="100" t="n"/>
      <c r="V1" s="630" t="inlineStr">
        <is>
          <t>Policy regulatory base and intensity</t>
        </is>
      </c>
      <c r="W1" s="100" t="n"/>
      <c r="X1" s="100" t="n"/>
      <c r="Y1" s="100" t="n"/>
      <c r="Z1" s="100" t="n"/>
      <c r="AA1" s="100" t="n"/>
      <c r="AB1" s="100" t="n"/>
      <c r="AC1" s="100" t="n"/>
      <c r="AD1" s="100" t="n"/>
      <c r="AE1" s="100" t="n"/>
      <c r="AF1" s="100" t="n"/>
      <c r="AG1" s="100" t="n"/>
      <c r="AH1" s="100" t="n"/>
      <c r="AI1" s="100" t="n"/>
      <c r="AJ1" s="100" t="n"/>
      <c r="AK1" s="596" t="inlineStr">
        <is>
          <t>Instrument-specific attributes</t>
        </is>
      </c>
      <c r="AL1" s="100" t="n"/>
      <c r="AM1" s="100" t="n"/>
      <c r="AN1" s="100" t="n"/>
      <c r="AO1" s="100" t="n"/>
      <c r="AP1" s="100" t="n"/>
      <c r="AQ1" s="100" t="n"/>
      <c r="AR1" s="100" t="n"/>
      <c r="AS1" s="631" t="inlineStr">
        <is>
          <t>GHG emission base</t>
        </is>
      </c>
      <c r="AT1" s="101" t="n"/>
      <c r="AU1" s="598" t="inlineStr">
        <is>
          <t>Classifications &amp; Indicators</t>
        </is>
      </c>
      <c r="AV1" s="100" t="n"/>
      <c r="AW1" s="100" t="n"/>
      <c r="AX1" s="100" t="n"/>
      <c r="AY1" s="629" t="inlineStr">
        <is>
          <t>References to legislation</t>
        </is>
      </c>
      <c r="AZ1" s="100" t="n"/>
      <c r="BA1" s="100" t="n"/>
      <c r="BB1" s="632"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Public investment: Co-financing</t>
        </is>
      </c>
      <c r="AL2" s="606" t="inlineStr">
        <is>
          <t>Public investment: Selection process</t>
        </is>
      </c>
      <c r="AM2" s="606" t="inlineStr">
        <is>
          <t>Public procurement: Tender process</t>
        </is>
      </c>
      <c r="AN2" s="606" t="inlineStr">
        <is>
          <t>Public procurement: Award criteria tender process</t>
        </is>
      </c>
      <c r="AO2" s="606" t="inlineStr">
        <is>
          <t>Public procurement: Compliance monitoring</t>
        </is>
      </c>
      <c r="AP2" s="606" t="inlineStr">
        <is>
          <t>Public procurement: Compliance enforcement</t>
        </is>
      </c>
      <c r="AQ2" s="606" t="inlineStr">
        <is>
          <t>Public procurement: Life-cycle costing</t>
        </is>
      </c>
      <c r="AR2" s="606" t="inlineStr">
        <is>
          <t>Public investment/procurement: Annual expenditure</t>
        </is>
      </c>
      <c r="AS2" s="607" t="inlineStr">
        <is>
          <t>GHG emission coverage (absolute)</t>
        </is>
      </c>
      <c r="AT2" s="607" t="inlineStr">
        <is>
          <t>GHG emission coverage (% domestic emissions)</t>
        </is>
      </c>
      <c r="AU2" s="633" t="inlineStr">
        <is>
          <t>Economic sector</t>
        </is>
      </c>
      <c r="AV2" s="633" t="inlineStr">
        <is>
          <t>GHGs affected</t>
        </is>
      </c>
      <c r="AW2" s="633" t="inlineStr">
        <is>
          <t>Mitigation effect</t>
        </is>
      </c>
      <c r="AX2" s="633" t="inlineStr">
        <is>
          <t>Mitigation co-benefits</t>
        </is>
      </c>
      <c r="AY2" s="604" t="inlineStr">
        <is>
          <t>Legal statute</t>
        </is>
      </c>
      <c r="AZ2" s="604" t="inlineStr">
        <is>
          <t>Legal document</t>
        </is>
      </c>
      <c r="BA2" s="604" t="inlineStr">
        <is>
          <t>Other weblinks</t>
        </is>
      </c>
      <c r="BB2" s="609" t="n"/>
    </row>
    <row r="3">
      <c r="A3" s="610" t="inlineStr">
        <is>
          <t>CHNPPCGPPI01S000</t>
        </is>
      </c>
      <c r="B3" s="610" t="inlineStr">
        <is>
          <t>Instrument</t>
        </is>
      </c>
      <c r="C3" s="610" t="inlineStr">
        <is>
          <t>Public procurement</t>
        </is>
      </c>
      <c r="D3" s="610" t="inlineStr">
        <is>
          <t>Green public procurement</t>
        </is>
      </c>
      <c r="E3" s="610" t="inlineStr">
        <is>
          <t>Industry; Buildings</t>
        </is>
      </c>
      <c r="F3" s="610" t="inlineStr">
        <is>
          <t>General energy-consuming products: office equipment, home appliances, lighting, cooling, IT equipment</t>
        </is>
      </c>
      <c r="G3" s="610" t="inlineStr">
        <is>
          <t>节能产品政府采购</t>
        </is>
      </c>
      <c r="H3" s="610" t="inlineStr">
        <is>
          <t>Energy-saving products government procurement</t>
        </is>
      </c>
      <c r="I3" s="610" t="inlineStr">
        <is>
          <t>N/A</t>
        </is>
      </c>
      <c r="J3" s="610"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610" t="inlineStr">
        <is>
          <t>Energy efficiency; Pollution control</t>
        </is>
      </c>
      <c r="L3" s="610" t="inlineStr">
        <is>
          <t>Direct</t>
        </is>
      </c>
      <c r="M3" s="610" t="inlineStr">
        <is>
          <t>national</t>
        </is>
      </c>
      <c r="N3" s="610" t="inlineStr">
        <is>
          <t>N/A</t>
        </is>
      </c>
      <c r="O3" s="610" t="inlineStr">
        <is>
          <t>17/12/2004</t>
        </is>
      </c>
      <c r="P3" s="610" t="inlineStr">
        <is>
          <t>17/12/2004</t>
        </is>
      </c>
      <c r="Q3" s="610" t="inlineStr">
        <is>
          <t>N/A</t>
        </is>
      </c>
      <c r="R3" s="610" t="inlineStr">
        <is>
          <t>01/02/2019</t>
        </is>
      </c>
      <c r="S3" s="610" t="inlineStr">
        <is>
          <t>N/A</t>
        </is>
      </c>
      <c r="T3" s="610">
        <f>IF(P3="","In force",IF(P3="N/A","In force",IF(TODAY()&lt;DATE(VALUE(RIGHT(P3,4)),VALUE(MID(P3,4,2)),VALUE(LEFT(P3,2))),"Scheduled",IF(Q3="","In force",IF(Q3="N/A","In force",IF(TODAY()&lt;DATE(VALUE(RIGHT(Q3,4)),VALUE(MID(Q3,4,2)),VALUE(LEFT(Q3,2))),"In force","Ended"))))))</f>
        <v/>
      </c>
      <c r="U3" s="610" t="inlineStr">
        <is>
          <t>Ministry of Finance; National Development and Reform Commission; State Administration for Market Regulation</t>
        </is>
      </c>
      <c r="V3" s="610" t="inlineStr">
        <is>
          <t>Office equipment; Home appliances; Lighting equipment; Cooling and air conditioning equipment; IT equipment; Transformers; Electric motors; Water pumps</t>
        </is>
      </c>
      <c r="W3" s="610" t="inlineStr">
        <is>
          <t>New; Existing</t>
        </is>
      </c>
      <c r="X3" s="610"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Y3" s="610" t="inlineStr">
        <is>
          <t>N/A</t>
        </is>
      </c>
      <c r="Z3" s="610" t="inlineStr">
        <is>
          <t>Products must meet national energy efficiency standard Grade 2 or above. Mandatory procurement items require valid energy-saving certification.</t>
        </is>
      </c>
      <c r="AA3" s="610" t="inlineStr">
        <is>
          <t>Governments</t>
        </is>
      </c>
      <c r="AB3" s="610"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C3" s="610" t="inlineStr">
        <is>
          <t>Purchase or use</t>
        </is>
      </c>
      <c r="AD3" s="610"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E3" s="610" t="inlineStr">
        <is>
          <t>N/A</t>
        </is>
      </c>
      <c r="AF3" s="610" t="inlineStr">
        <is>
          <t>N/A</t>
        </is>
      </c>
      <c r="AG3" s="610" t="inlineStr">
        <is>
          <t>Procurement catalogue mechanism; not a fiscal subsidy instrument. Policy intensity operates through government procurement volume leverage.</t>
        </is>
      </c>
      <c r="AH3" s="610"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I3" s="610" t="inlineStr">
        <is>
          <t>N/A</t>
        </is>
      </c>
      <c r="AJ3" s="610" t="inlineStr">
        <is>
          <t>N/A</t>
        </is>
      </c>
      <c r="AK3" s="610" t="inlineStr">
        <is>
          <t>N/A</t>
        </is>
      </c>
      <c r="AL3" s="610" t="inlineStr">
        <is>
          <t>N/A</t>
        </is>
      </c>
      <c r="AM3" s="610" t="inlineStr">
        <is>
          <t>Open tender</t>
        </is>
      </c>
      <c r="AN3" s="610" t="inlineStr">
        <is>
          <t>Priority procurement of energy-saving certified products when conditions are equivalent</t>
        </is>
      </c>
      <c r="AO3" s="610" t="inlineStr">
        <is>
          <t>Finance department oversight</t>
        </is>
      </c>
      <c r="AP3" s="610" t="inlineStr">
        <is>
          <t>Fiscal deterrence</t>
        </is>
      </c>
      <c r="AQ3" s="610" t="inlineStr">
        <is>
          <t>N/A</t>
        </is>
      </c>
      <c r="AR3" s="610"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S3" s="610" t="inlineStr">
        <is>
          <t>N/A</t>
        </is>
      </c>
      <c r="AT3" s="610" t="inlineStr">
        <is>
          <t>N/A</t>
        </is>
      </c>
      <c r="AU3" s="610" t="inlineStr">
        <is>
          <t>C26; C27; C28; D35</t>
        </is>
      </c>
      <c r="AV3" s="610" t="inlineStr">
        <is>
          <t>CO2</t>
        </is>
      </c>
      <c r="AW3" s="610" t="inlineStr">
        <is>
          <t>Positive</t>
        </is>
      </c>
      <c r="AX3" s="610" t="inlineStr">
        <is>
          <t>Energy conservation; Industrial development; Technological innovation</t>
        </is>
      </c>
      <c r="AY3" s="610"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AZ3" s="610" t="inlineStr">
        <is>
          <t>http://www.ccgp.gov.cn/zcfg/mof/201311/t20131113_3591949.htm</t>
        </is>
      </c>
      <c r="BA3" s="610" t="inlineStr">
        <is>
          <t>https://www.gov.cn/zhengce/zhengceku/2019-10/15/content_5439979.htm; http://www.ccgp.gov.cn/zcfg/mof/201902/t20190213_11628855.htm</t>
        </is>
      </c>
      <c r="BB3" s="610" t="inlineStr"/>
    </row>
    <row r="4">
      <c r="A4" s="610" t="inlineStr">
        <is>
          <t>CHNPPCGPPI02S000</t>
        </is>
      </c>
      <c r="B4" s="610" t="inlineStr">
        <is>
          <t>Instrument</t>
        </is>
      </c>
      <c r="C4" s="610" t="inlineStr">
        <is>
          <t>Public procurement</t>
        </is>
      </c>
      <c r="D4" s="610" t="inlineStr">
        <is>
          <t>Green public procurement</t>
        </is>
      </c>
      <c r="E4" s="610" t="inlineStr">
        <is>
          <t>Industry; Buildings; Transport</t>
        </is>
      </c>
      <c r="F4" s="610" t="inlineStr">
        <is>
          <t>Multi-category environmental labelling products: office equipment, building materials, furniture, cleaning products, textiles</t>
        </is>
      </c>
      <c r="G4" s="610" t="inlineStr">
        <is>
          <t>环境标志产品政府采购</t>
        </is>
      </c>
      <c r="H4" s="610" t="inlineStr">
        <is>
          <t>Environmental labelling products government procurement</t>
        </is>
      </c>
      <c r="I4" s="610" t="inlineStr">
        <is>
          <t>N/A</t>
        </is>
      </c>
      <c r="J4" s="610"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610" t="inlineStr">
        <is>
          <t>Pollution control; Energy efficiency; Circular economy</t>
        </is>
      </c>
      <c r="L4" s="610" t="inlineStr">
        <is>
          <t>Indirect</t>
        </is>
      </c>
      <c r="M4" s="610" t="inlineStr">
        <is>
          <t>national</t>
        </is>
      </c>
      <c r="N4" s="610" t="inlineStr">
        <is>
          <t>N/A</t>
        </is>
      </c>
      <c r="O4" s="610" t="inlineStr">
        <is>
          <t>24/10/2006</t>
        </is>
      </c>
      <c r="P4" s="610" t="inlineStr">
        <is>
          <t>01/01/2007</t>
        </is>
      </c>
      <c r="Q4" s="610" t="inlineStr">
        <is>
          <t>N/A</t>
        </is>
      </c>
      <c r="R4" s="610" t="inlineStr">
        <is>
          <t>01/02/2019</t>
        </is>
      </c>
      <c r="S4" s="610" t="inlineStr">
        <is>
          <t>N/A</t>
        </is>
      </c>
      <c r="T4" s="610">
        <f>IF(P4="","In force",IF(P4="N/A","In force",IF(TODAY()&lt;DATE(VALUE(RIGHT(P4,4)),VALUE(MID(P4,4,2)),VALUE(LEFT(P4,2))),"Scheduled",IF(Q4="","In force",IF(Q4="N/A","In force",IF(TODAY()&lt;DATE(VALUE(RIGHT(Q4,4)),VALUE(MID(Q4,4,2)),VALUE(LEFT(Q4,2))),"In force","Ended"))))))</f>
        <v/>
      </c>
      <c r="U4" s="610" t="inlineStr">
        <is>
          <t>Ministry of Finance; Ministry of Ecology and Environment; State Administration for Market Regulation</t>
        </is>
      </c>
      <c r="V4" s="610" t="inlineStr">
        <is>
          <t>Office equipment; Building materials; Furniture; Cleaning products; Textiles; Paper products; Paints; Adhesives; Trucks; Passenger cars; Buses; Special-purpose vehicles</t>
        </is>
      </c>
      <c r="W4" s="610" t="inlineStr">
        <is>
          <t>New; Existing</t>
        </is>
      </c>
      <c r="X4" s="610"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Y4" s="610" t="inlineStr">
        <is>
          <t>N/A</t>
        </is>
      </c>
      <c r="Z4" s="610" t="inlineStr">
        <is>
          <t>Products must comply with China Environmental Labelling certification standards (HJ standard series).</t>
        </is>
      </c>
      <c r="AA4" s="610" t="inlineStr">
        <is>
          <t>Governments</t>
        </is>
      </c>
      <c r="AB4" s="610" t="inlineStr">
        <is>
          <t>State organs, public institutions and organisations at all levels. Procuring entities using fiscal funds. Procurement agencies must include environmental labelling priority requirements in tender documentation.</t>
        </is>
      </c>
      <c r="AC4" s="610" t="inlineStr">
        <is>
          <t>Purchase or use</t>
        </is>
      </c>
      <c r="AD4" s="610"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E4" s="610" t="inlineStr">
        <is>
          <t>N/A</t>
        </is>
      </c>
      <c r="AF4" s="610" t="inlineStr">
        <is>
          <t>N/A</t>
        </is>
      </c>
      <c r="AG4" s="610" t="inlineStr">
        <is>
          <t>Procurement priority catalogue mechanism; not a fiscal subsidy instrument.</t>
        </is>
      </c>
      <c r="AH4" s="610"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I4" s="610" t="inlineStr">
        <is>
          <t>N/A</t>
        </is>
      </c>
      <c r="AJ4" s="610" t="inlineStr">
        <is>
          <t>N/A</t>
        </is>
      </c>
      <c r="AK4" s="610" t="inlineStr">
        <is>
          <t>N/A</t>
        </is>
      </c>
      <c r="AL4" s="610" t="inlineStr">
        <is>
          <t>N/A</t>
        </is>
      </c>
      <c r="AM4" s="610" t="inlineStr">
        <is>
          <t>Open tender</t>
        </is>
      </c>
      <c r="AN4" s="610" t="inlineStr">
        <is>
          <t>Priority procurement of environmental labelling certified products when conditions are equivalent</t>
        </is>
      </c>
      <c r="AO4" s="610" t="inlineStr">
        <is>
          <t>Finance department oversight</t>
        </is>
      </c>
      <c r="AP4" s="610" t="inlineStr">
        <is>
          <t>Fiscal deterrence</t>
        </is>
      </c>
      <c r="AQ4" s="610" t="inlineStr">
        <is>
          <t>N/A</t>
        </is>
      </c>
      <c r="AR4" s="610"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S4" s="610" t="inlineStr">
        <is>
          <t>N/A</t>
        </is>
      </c>
      <c r="AT4" s="610" t="inlineStr">
        <is>
          <t>N/A</t>
        </is>
      </c>
      <c r="AU4" s="610" t="inlineStr">
        <is>
          <t>C16; C17; C20; C22; C23</t>
        </is>
      </c>
      <c r="AV4" s="610" t="inlineStr">
        <is>
          <t>CO2</t>
        </is>
      </c>
      <c r="AW4" s="610" t="inlineStr">
        <is>
          <t>Positive</t>
        </is>
      </c>
      <c r="AX4" s="610" t="inlineStr">
        <is>
          <t>Pollution control; Circular economy; Green consumption</t>
        </is>
      </c>
      <c r="AY4" s="610"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AZ4" s="610" t="inlineStr">
        <is>
          <t>http://www.ccgp.gov.cn/zcfg/mof/201311/t20131113_3591927.htm</t>
        </is>
      </c>
      <c r="BA4" s="610" t="inlineStr">
        <is>
          <t>https://www.gov.cn/zhengce/zhengceku/2019-10/15/content_5439979.htm</t>
        </is>
      </c>
      <c r="BB4" s="610" t="inlineStr"/>
    </row>
    <row r="5">
      <c r="A5" s="610" t="inlineStr">
        <is>
          <t>CHNPPCGPPI03S000</t>
        </is>
      </c>
      <c r="B5" s="610" t="inlineStr">
        <is>
          <t>Instrument</t>
        </is>
      </c>
      <c r="C5" s="610" t="inlineStr">
        <is>
          <t>Public procurement</t>
        </is>
      </c>
      <c r="D5" s="610" t="inlineStr">
        <is>
          <t>Green public procurement</t>
        </is>
      </c>
      <c r="E5" s="610" t="inlineStr">
        <is>
          <t>Transport</t>
        </is>
      </c>
      <c r="F5" s="610" t="inlineStr">
        <is>
          <t>Government official vehicles; Public transport vehicles</t>
        </is>
      </c>
      <c r="G5" s="610" t="inlineStr">
        <is>
          <t>新能源汽车政府采购</t>
        </is>
      </c>
      <c r="H5" s="610" t="inlineStr">
        <is>
          <t>New energy vehicles government procurement</t>
        </is>
      </c>
      <c r="I5" s="610" t="inlineStr">
        <is>
          <t>N/A</t>
        </is>
      </c>
      <c r="J5" s="610"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610" t="inlineStr">
        <is>
          <t>Energy efficiency; Pollution control; Industrial development; Electrification</t>
        </is>
      </c>
      <c r="L5" s="610" t="inlineStr">
        <is>
          <t>Direct</t>
        </is>
      </c>
      <c r="M5" s="610" t="inlineStr">
        <is>
          <t>national</t>
        </is>
      </c>
      <c r="N5" s="610" t="inlineStr">
        <is>
          <t>N/A</t>
        </is>
      </c>
      <c r="O5" s="610" t="inlineStr">
        <is>
          <t>11/06/2014</t>
        </is>
      </c>
      <c r="P5" s="610" t="inlineStr">
        <is>
          <t>11/06/2014</t>
        </is>
      </c>
      <c r="Q5" s="610" t="inlineStr">
        <is>
          <t>N/A</t>
        </is>
      </c>
      <c r="R5" s="610" t="inlineStr">
        <is>
          <t>30/12/2024</t>
        </is>
      </c>
      <c r="S5" s="610" t="inlineStr">
        <is>
          <t>N/A</t>
        </is>
      </c>
      <c r="T5" s="610">
        <f>IF(P5="","In force",IF(P5="N/A","In force",IF(TODAY()&lt;DATE(VALUE(RIGHT(P5,4)),VALUE(MID(P5,4,2)),VALUE(LEFT(P5,2))),"Scheduled",IF(Q5="","In force",IF(Q5="N/A","In force",IF(TODAY()&lt;DATE(VALUE(RIGHT(Q5,4)),VALUE(MID(Q5,4,2)),VALUE(LEFT(Q5,2))),"In force","Ended"))))))</f>
        <v/>
      </c>
      <c r="U5" s="610"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V5" s="610" t="inlineStr">
        <is>
          <t>Road vehicles</t>
        </is>
      </c>
      <c r="W5" s="610" t="inlineStr">
        <is>
          <t>New</t>
        </is>
      </c>
      <c r="X5" s="610"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Y5" s="610" t="inlineStr">
        <is>
          <t>N/A</t>
        </is>
      </c>
      <c r="Z5" s="610" t="inlineStr">
        <is>
          <t>NEV procurement ratio ≥30% in principle (from 2024). Confidential-communications and designated-use vehicles 100% NEV in principle. Vehicle price after subsidies ≤CNY 180,000. Charging connector to vehicle ratio ≥1:1.</t>
        </is>
      </c>
      <c r="AA5" s="610" t="inlineStr">
        <is>
          <t>Governments</t>
        </is>
      </c>
      <c r="AB5" s="610"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C5" s="610" t="inlineStr">
        <is>
          <t>Purchase or use</t>
        </is>
      </c>
      <c r="AD5" s="610"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E5" s="610" t="inlineStr">
        <is>
          <t>30</t>
        </is>
      </c>
      <c r="AF5" s="610" t="inlineStr">
        <is>
          <t>% (minimum NEV procurement ratio)</t>
        </is>
      </c>
      <c r="AG5" s="610" t="inlineStr">
        <is>
          <t>Annual official vehicle procurement: NEVs ≥30% (from 2024). Designated-use vehicles: 100% NEV. 2014 phased targets: central agencies and pilot cities ≥30% (2014-2016); other agencies from 10% (2014) to 20% (2015) to 30% (2016).</t>
        </is>
      </c>
      <c r="AH5" s="610"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I5" s="610" t="inlineStr">
        <is>
          <t>N/A</t>
        </is>
      </c>
      <c r="AJ5" s="610" t="inlineStr">
        <is>
          <t>N/A</t>
        </is>
      </c>
      <c r="AK5" s="610" t="inlineStr">
        <is>
          <t>N/A</t>
        </is>
      </c>
      <c r="AL5" s="610" t="inlineStr">
        <is>
          <t>N/A</t>
        </is>
      </c>
      <c r="AM5" s="610" t="inlineStr">
        <is>
          <t>Open tender</t>
        </is>
      </c>
      <c r="AN5" s="610" t="inlineStr">
        <is>
          <t>Mandatory NEV procurement ratio requirement (≥30% in principle)</t>
        </is>
      </c>
      <c r="AO5" s="610" t="inlineStr">
        <is>
          <t>Finance department oversight</t>
        </is>
      </c>
      <c r="AP5" s="610" t="inlineStr">
        <is>
          <t>Fiscal deterrence</t>
        </is>
      </c>
      <c r="AQ5" s="610" t="inlineStr">
        <is>
          <t>N/A</t>
        </is>
      </c>
      <c r="AR5" s="610"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S5" s="610" t="inlineStr">
        <is>
          <t>N/A</t>
        </is>
      </c>
      <c r="AT5" s="610" t="inlineStr">
        <is>
          <t>N/A</t>
        </is>
      </c>
      <c r="AU5" s="610" t="inlineStr">
        <is>
          <t>C29; D35; H49</t>
        </is>
      </c>
      <c r="AV5" s="610" t="inlineStr">
        <is>
          <t>CO2</t>
        </is>
      </c>
      <c r="AW5" s="610" t="inlineStr">
        <is>
          <t>Positive</t>
        </is>
      </c>
      <c r="AX5" s="610" t="inlineStr">
        <is>
          <t>Pollution control; Energy security; Technological innovation; Industrial development</t>
        </is>
      </c>
      <c r="AY5" s="610"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AZ5" s="610" t="inlineStr">
        <is>
          <t>http://www.ccgp.gov.cn/zcfg/mof/202501/t20250103_24013065.htm</t>
        </is>
      </c>
      <c r="BA5" s="610" t="inlineStr">
        <is>
          <t>https://www.miit.gov.cn/zwgk/zcwj/wjfb/zbgy/art/2020/art_dd9dd5cf5b914533bb4c56d363410cb3.html; http://m.mof.gov.cn/czxw/202412/t20241230_3950760.htm</t>
        </is>
      </c>
      <c r="BB5" s="610" t="inlineStr"/>
    </row>
    <row r="6">
      <c r="A6" s="610" t="inlineStr">
        <is>
          <t>CHNPPCGPPI04S000</t>
        </is>
      </c>
      <c r="B6" s="610" t="inlineStr">
        <is>
          <t>Instrument</t>
        </is>
      </c>
      <c r="C6" s="610" t="inlineStr">
        <is>
          <t>Public procurement</t>
        </is>
      </c>
      <c r="D6" s="610" t="inlineStr">
        <is>
          <t>Green public procurement</t>
        </is>
      </c>
      <c r="E6" s="610" t="inlineStr">
        <is>
          <t>Buildings; Industry</t>
        </is>
      </c>
      <c r="F6" s="610" t="inlineStr">
        <is>
          <t>Building construction (government-funded public buildings, social housing); Building materials manufacturing</t>
        </is>
      </c>
      <c r="G6" s="610" t="inlineStr">
        <is>
          <t>绿色建筑和绿色建材政府采购</t>
        </is>
      </c>
      <c r="H6" s="610" t="inlineStr">
        <is>
          <t>Green building and green building materials government procurement</t>
        </is>
      </c>
      <c r="I6" s="610" t="inlineStr">
        <is>
          <t>N/A</t>
        </is>
      </c>
      <c r="J6" s="610"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610" t="inlineStr">
        <is>
          <t>Green economy; Energy efficiency; Green consumption</t>
        </is>
      </c>
      <c r="L6" s="610" t="inlineStr">
        <is>
          <t>Direct</t>
        </is>
      </c>
      <c r="M6" s="610" t="inlineStr">
        <is>
          <t>national</t>
        </is>
      </c>
      <c r="N6" s="610" t="inlineStr">
        <is>
          <t>N/A</t>
        </is>
      </c>
      <c r="O6" s="610" t="inlineStr">
        <is>
          <t>13/10/2020</t>
        </is>
      </c>
      <c r="P6" s="610" t="inlineStr">
        <is>
          <t>13/10/2020</t>
        </is>
      </c>
      <c r="Q6" s="610" t="inlineStr">
        <is>
          <t>N/A</t>
        </is>
      </c>
      <c r="R6" s="610" t="inlineStr">
        <is>
          <t>31/12/2024</t>
        </is>
      </c>
      <c r="S6" s="610"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T6" s="610">
        <f>IF(P6="","In force",IF(P6="N/A","In force",IF(TODAY()&lt;DATE(VALUE(RIGHT(P6,4)),VALUE(MID(P6,4,2)),VALUE(LEFT(P6,2))),"Scheduled",IF(Q6="","In force",IF(Q6="N/A","In force",IF(TODAY()&lt;DATE(VALUE(RIGHT(Q6,4)),VALUE(MID(Q6,4,2)),VALUE(LEFT(Q6,2))),"In force","Ended"))))))</f>
        <v/>
      </c>
      <c r="U6" s="610"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V6" s="610" t="inlineStr">
        <is>
          <t>Buildings; Building materials</t>
        </is>
      </c>
      <c r="W6" s="610" t="inlineStr">
        <is>
          <t>New; Existing</t>
        </is>
      </c>
      <c r="X6" s="610"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Y6" s="610" t="inlineStr">
        <is>
          <t>N/A</t>
        </is>
      </c>
      <c r="Z6" s="610"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A6" s="610" t="inlineStr">
        <is>
          <t>Governments</t>
        </is>
      </c>
      <c r="AB6" s="610"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C6" s="610" t="inlineStr">
        <is>
          <t>Purchase or use; Investment</t>
        </is>
      </c>
      <c r="AD6" s="610"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E6" s="610" t="inlineStr">
        <is>
          <t>N/A</t>
        </is>
      </c>
      <c r="AF6" s="610" t="inlineStr">
        <is>
          <t>N/A</t>
        </is>
      </c>
      <c r="AG6" s="610" t="inlineStr">
        <is>
          <t>Procurement demand standard mechanism; not a fiscal subsidy instrument. Policy intensity operates through government construction procurement volume.</t>
        </is>
      </c>
      <c r="AH6" s="610"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I6" s="610" t="inlineStr">
        <is>
          <t>N/A</t>
        </is>
      </c>
      <c r="AJ6" s="610" t="inlineStr">
        <is>
          <t>N/A</t>
        </is>
      </c>
      <c r="AK6" s="610" t="inlineStr">
        <is>
          <t>N/A</t>
        </is>
      </c>
      <c r="AL6" s="610" t="inlineStr">
        <is>
          <t>N/A</t>
        </is>
      </c>
      <c r="AM6" s="610" t="inlineStr">
        <is>
          <t>Open tender</t>
        </is>
      </c>
      <c r="AN6" s="610" t="inlineStr">
        <is>
          <t>Meeting Demand Standards for Green Buildings and Green Building Materials is a substantive procurement condition</t>
        </is>
      </c>
      <c r="AO6" s="610" t="inlineStr">
        <is>
          <t>Finance department oversight; Housing and construction department construction quality supervision</t>
        </is>
      </c>
      <c r="AP6" s="610" t="inlineStr">
        <is>
          <t>Contract enforcement</t>
        </is>
      </c>
      <c r="AQ6" s="610" t="inlineStr">
        <is>
          <t>N/A</t>
        </is>
      </c>
      <c r="AR6" s="610"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S6" s="610" t="inlineStr">
        <is>
          <t>N/A</t>
        </is>
      </c>
      <c r="AT6" s="610" t="inlineStr">
        <is>
          <t>N/A</t>
        </is>
      </c>
      <c r="AU6" s="610" t="inlineStr">
        <is>
          <t>F41; F42; F43; C23</t>
        </is>
      </c>
      <c r="AV6" s="610" t="inlineStr">
        <is>
          <t>CO2</t>
        </is>
      </c>
      <c r="AW6" s="610" t="inlineStr">
        <is>
          <t>Positive</t>
        </is>
      </c>
      <c r="AX6" s="610" t="inlineStr">
        <is>
          <t>Energy conservation; Pollution control; Circular economy; Technological innovation</t>
        </is>
      </c>
      <c r="AY6" s="610"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AZ6" s="610" t="inlineStr">
        <is>
          <t>https://www.gov.cn/zhengce/zhengceku/2020-10/22/content_5553250.htm</t>
        </is>
      </c>
      <c r="BA6" s="610" t="inlineStr">
        <is>
          <t>https://www.gov.cn/zhengce/zhengceku/2020-10/22/content_5553250.htm; https://www.gov.cn/zhengce/zhengceku/2022-10/25/content_5721342.htm; https://www.gov.cn/zhengce/zhengceku/202501/content_6997931.htm</t>
        </is>
      </c>
      <c r="BB6" s="610" t="inlineStr"/>
    </row>
    <row r="7">
      <c r="A7" s="610" t="inlineStr">
        <is>
          <t>CHNPPCGPPI05S000</t>
        </is>
      </c>
      <c r="B7" s="610" t="inlineStr">
        <is>
          <t>Instrument</t>
        </is>
      </c>
      <c r="C7" s="610" t="inlineStr">
        <is>
          <t>Public procurement</t>
        </is>
      </c>
      <c r="D7" s="610" t="inlineStr">
        <is>
          <t>Green public procurement</t>
        </is>
      </c>
      <c r="E7" s="610" t="inlineStr">
        <is>
          <t>Industry</t>
        </is>
      </c>
      <c r="F7" s="610" t="inlineStr">
        <is>
          <t>Data centres (ICT infrastructure)</t>
        </is>
      </c>
      <c r="G7" s="610" t="inlineStr">
        <is>
          <t>绿色数据中心政府采购</t>
        </is>
      </c>
      <c r="H7" s="610" t="inlineStr">
        <is>
          <t>Green data centre government procurement</t>
        </is>
      </c>
      <c r="I7" s="610" t="inlineStr">
        <is>
          <t>N/A</t>
        </is>
      </c>
      <c r="J7" s="610"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610" t="inlineStr">
        <is>
          <t>Climate change mitigation; Energy efficiency; Pollution control; Circular economy</t>
        </is>
      </c>
      <c r="L7" s="610" t="inlineStr">
        <is>
          <t>Direct</t>
        </is>
      </c>
      <c r="M7" s="610" t="inlineStr">
        <is>
          <t>national</t>
        </is>
      </c>
      <c r="N7" s="610" t="inlineStr">
        <is>
          <t>N/A</t>
        </is>
      </c>
      <c r="O7" s="610" t="inlineStr">
        <is>
          <t>20/03/2023</t>
        </is>
      </c>
      <c r="P7" s="610" t="inlineStr">
        <is>
          <t>01/06/2023</t>
        </is>
      </c>
      <c r="Q7" s="610" t="inlineStr">
        <is>
          <t>N/A</t>
        </is>
      </c>
      <c r="R7" s="610" t="inlineStr">
        <is>
          <t>N/A</t>
        </is>
      </c>
      <c r="S7" s="610" t="inlineStr">
        <is>
          <t>N/A</t>
        </is>
      </c>
      <c r="T7" s="610">
        <f>IF(P7="","In force",IF(P7="N/A","In force",IF(TODAY()&lt;DATE(VALUE(RIGHT(P7,4)),VALUE(MID(P7,4,2)),VALUE(LEFT(P7,2))),"Scheduled",IF(Q7="","In force",IF(Q7="N/A","In force",IF(TODAY()&lt;DATE(VALUE(RIGHT(Q7,4)),VALUE(MID(Q7,4,2)),VALUE(LEFT(Q7,2))),"In force","Ended"))))))</f>
        <v/>
      </c>
      <c r="U7" s="610"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V7" s="610" t="inlineStr">
        <is>
          <t>ICT equipment; Power supply equipment; Cooling systems</t>
        </is>
      </c>
      <c r="W7" s="610" t="inlineStr">
        <is>
          <t>New; Existing</t>
        </is>
      </c>
      <c r="X7" s="610"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Y7" s="610" t="inlineStr">
        <is>
          <t>N/A</t>
        </is>
      </c>
      <c r="Z7" s="610"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A7" s="610" t="inlineStr">
        <is>
          <t>Governments</t>
        </is>
      </c>
      <c r="AB7" s="610"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C7" s="610" t="inlineStr">
        <is>
          <t>Purchase or use</t>
        </is>
      </c>
      <c r="AD7" s="610"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E7" s="610" t="inlineStr">
        <is>
          <t>1.40; 1.30</t>
        </is>
      </c>
      <c r="AF7" s="610" t="inlineStr">
        <is>
          <t>PUE (power usage effectiveness) cap</t>
        </is>
      </c>
      <c r="AG7" s="610" t="inlineStr">
        <is>
          <t>From June 2023: PUE ≤1.40. From 2025: PUE ≤1.30. Per GB 40879-2021, achieving grade 2 or above energy efficiency.</t>
        </is>
      </c>
      <c r="AH7" s="610"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I7" s="610" t="inlineStr">
        <is>
          <t>N/A</t>
        </is>
      </c>
      <c r="AJ7" s="610" t="inlineStr">
        <is>
          <t>N/A</t>
        </is>
      </c>
      <c r="AK7" s="610" t="inlineStr">
        <is>
          <t>N/A</t>
        </is>
      </c>
      <c r="AL7" s="610" t="inlineStr">
        <is>
          <t>N/A</t>
        </is>
      </c>
      <c r="AM7" s="610" t="inlineStr">
        <is>
          <t>Open tender</t>
        </is>
      </c>
      <c r="AN7" s="610" t="inlineStr">
        <is>
          <t>Compliance with Green Data Centre Government Procurement Demand Standards (Trial) required</t>
        </is>
      </c>
      <c r="AO7" s="610" t="inlineStr">
        <is>
          <t>Finance department oversight; Third-party testing and certification</t>
        </is>
      </c>
      <c r="AP7" s="610" t="inlineStr">
        <is>
          <t>Contract enforcement</t>
        </is>
      </c>
      <c r="AQ7" s="610" t="inlineStr">
        <is>
          <t>N/A</t>
        </is>
      </c>
      <c r="AR7" s="610" t="inlineStr">
        <is>
          <t>Specific annual expenditure on green data centre government procurement hasnot been found.</t>
        </is>
      </c>
      <c r="AS7" s="610" t="inlineStr">
        <is>
          <t>N/A</t>
        </is>
      </c>
      <c r="AT7" s="610" t="inlineStr">
        <is>
          <t>N/A</t>
        </is>
      </c>
      <c r="AU7" s="610" t="inlineStr">
        <is>
          <t>J61; J62; J63</t>
        </is>
      </c>
      <c r="AV7" s="610" t="inlineStr">
        <is>
          <t>CO2</t>
        </is>
      </c>
      <c r="AW7" s="610" t="inlineStr">
        <is>
          <t>Positive</t>
        </is>
      </c>
      <c r="AX7" s="610" t="inlineStr">
        <is>
          <t>Energy conservation; Technological innovation; Industrial development</t>
        </is>
      </c>
      <c r="AY7" s="610" t="inlineStr">
        <is>
          <t>Green Data Centre Government Procurement Demand Standards (Trial) (Caiku [2023] No. 7); Data Centre Energy Efficiency Limits and Grades (GB 40879-2021)</t>
        </is>
      </c>
      <c r="AZ7" s="610" t="inlineStr">
        <is>
          <t>https://www.mee.gov.cn/xxgk2018/xxgk/xxgk10/202304/t20230417_1026869.html</t>
        </is>
      </c>
      <c r="BA7" s="610" t="inlineStr">
        <is>
          <t>http://m.mof.gov.cn/czxw/202304/t20230407_3877738.htm</t>
        </is>
      </c>
      <c r="BB7" s="610" t="inlineStr"/>
    </row>
    <row r="8">
      <c r="A8" s="610" t="inlineStr">
        <is>
          <t>CHNPPCGPPI06S000</t>
        </is>
      </c>
      <c r="B8" s="610" t="inlineStr">
        <is>
          <t>Instrument</t>
        </is>
      </c>
      <c r="C8" s="610" t="inlineStr">
        <is>
          <t>Public procurement</t>
        </is>
      </c>
      <c r="D8" s="610" t="inlineStr">
        <is>
          <t>Green public procurement</t>
        </is>
      </c>
      <c r="E8" s="610" t="inlineStr">
        <is>
          <t>Transport</t>
        </is>
      </c>
      <c r="F8" s="610" t="inlineStr">
        <is>
          <t>Road transport and infrastructure</t>
        </is>
      </c>
      <c r="G8" s="610" t="inlineStr">
        <is>
          <t>政府采购支持公路绿色低碳发展试点</t>
        </is>
      </c>
      <c r="H8" s="610" t="inlineStr">
        <is>
          <t>Government Procurement Supporting Green and Low-Carbon Highway Development Pilot</t>
        </is>
      </c>
      <c r="I8" s="610" t="inlineStr">
        <is>
          <t>N/A</t>
        </is>
      </c>
      <c r="J8" s="610"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610" t="inlineStr">
        <is>
          <t>Climate change mitigation; Green consumption</t>
        </is>
      </c>
      <c r="L8" s="610" t="inlineStr">
        <is>
          <t>Direct</t>
        </is>
      </c>
      <c r="M8" s="610" t="inlineStr">
        <is>
          <t>Subnational</t>
        </is>
      </c>
      <c r="N8" s="610" t="inlineStr">
        <is>
          <t>First batch covering 14 provinces (Hebei, Shanxi, Inner Mongolia, Zhejiang, Anhui, Fujian, Jiangxi, Shandong, Guangxi, Chongqing, Sichuan, Gansu, Ningxia, Xinjiang), with 25 pilot tasks across multiple cities and implementing units</t>
        </is>
      </c>
      <c r="O8" s="610" t="inlineStr">
        <is>
          <t>18/12/2025</t>
        </is>
      </c>
      <c r="P8" s="610" t="inlineStr">
        <is>
          <t>18/12/2025</t>
        </is>
      </c>
      <c r="Q8" s="610" t="inlineStr">
        <is>
          <t>N/A</t>
        </is>
      </c>
      <c r="R8" s="610" t="inlineStr">
        <is>
          <t>N/A</t>
        </is>
      </c>
      <c r="S8" s="610" t="inlineStr">
        <is>
          <t>N/A</t>
        </is>
      </c>
      <c r="T8" s="610">
        <f>IF(P8="","In force",IF(P8="N/A","In force",IF(TODAY()&lt;DATE(VALUE(RIGHT(P8,4)),VALUE(MID(P8,4,2)),VALUE(LEFT(P8,2))),"Scheduled",IF(Q8="","In force",IF(Q8="N/A","In force",IF(TODAY()&lt;DATE(VALUE(RIGHT(Q8,4)),VALUE(MID(Q8,4,2)),VALUE(LEFT(Q8,2))),"In force","Ended"))))))</f>
        <v/>
      </c>
      <c r="U8" s="610"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V8" s="610" t="inlineStr">
        <is>
          <t>Road transport infrastructure</t>
        </is>
      </c>
      <c r="W8" s="610" t="inlineStr">
        <is>
          <t>New; Existing</t>
        </is>
      </c>
      <c r="X8" s="610"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Y8" s="610" t="inlineStr">
        <is>
          <t>N/A</t>
        </is>
      </c>
      <c r="Z8" s="610" t="inlineStr">
        <is>
          <t>N/A</t>
        </is>
      </c>
      <c r="AA8" s="610" t="inlineStr">
        <is>
          <t>Governments</t>
        </is>
      </c>
      <c r="AB8" s="610"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C8" s="610" t="inlineStr">
        <is>
          <t>Purchase or use; Investment</t>
        </is>
      </c>
      <c r="AD8" s="610"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E8" s="610" t="inlineStr">
        <is>
          <t>N/A</t>
        </is>
      </c>
      <c r="AF8" s="610" t="inlineStr">
        <is>
          <t>N/A</t>
        </is>
      </c>
      <c r="AG8" s="610"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H8" s="610"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I8" s="610" t="inlineStr">
        <is>
          <t>N/A</t>
        </is>
      </c>
      <c r="AJ8" s="610" t="inlineStr">
        <is>
          <t>N/A</t>
        </is>
      </c>
      <c r="AK8" s="610" t="inlineStr">
        <is>
          <t>N/A</t>
        </is>
      </c>
      <c r="AL8" s="610" t="inlineStr">
        <is>
          <t>N/A</t>
        </is>
      </c>
      <c r="AM8" s="610" t="inlineStr">
        <is>
          <t>Open tender</t>
        </is>
      </c>
      <c r="AN8" s="610" t="inlineStr">
        <is>
          <t>Compliance with the Basic Requirements for Government Procurement Supporting Green and Low-Carbon Highway Development (Trial) is a substantive procurement requirement or scoring criterion</t>
        </is>
      </c>
      <c r="AO8" s="610" t="inlineStr">
        <is>
          <t>Finance department oversight; Transport authority project supervision</t>
        </is>
      </c>
      <c r="AP8" s="610" t="inlineStr">
        <is>
          <t>Contract enforcement</t>
        </is>
      </c>
      <c r="AQ8" s="610" t="inlineStr">
        <is>
          <t>N/A</t>
        </is>
      </c>
      <c r="AR8" s="610"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S8" s="610" t="inlineStr">
        <is>
          <t>N/A</t>
        </is>
      </c>
      <c r="AT8" s="610" t="inlineStr">
        <is>
          <t>N/A</t>
        </is>
      </c>
      <c r="AU8" s="610" t="inlineStr">
        <is>
          <t>F42</t>
        </is>
      </c>
      <c r="AV8" s="610" t="inlineStr">
        <is>
          <t>CO2</t>
        </is>
      </c>
      <c r="AW8" s="610" t="inlineStr">
        <is>
          <t>Positive</t>
        </is>
      </c>
      <c r="AX8" s="610" t="inlineStr">
        <is>
          <t>Energy conservation; Pollution control; Circular economy; Technological innovation; Industrial development</t>
        </is>
      </c>
      <c r="AY8" s="610" t="inlineStr">
        <is>
          <t>Notice on Organising the Government Procurement Supporting Green and Low-Carbon Highway Development Pilot (Caiku [2025] No. 32)</t>
        </is>
      </c>
      <c r="AZ8" s="610" t="inlineStr">
        <is>
          <t>https://www.gov.cn/zhengce/zhengceku/202601/content_7055549.htm</t>
        </is>
      </c>
      <c r="BA8" s="610" t="inlineStr">
        <is>
          <t>https://m.mof.gov.cn/zcfb/202601/t20260104_3981293.htm</t>
        </is>
      </c>
      <c r="BB8" s="610" t="inlineStr"/>
    </row>
    <row r="9">
      <c r="A9" s="610" t="inlineStr">
        <is>
          <t>CHNPIVCBII01S000</t>
        </is>
      </c>
      <c r="B9" s="610" t="inlineStr">
        <is>
          <t>Instrument</t>
        </is>
      </c>
      <c r="C9" s="610" t="inlineStr">
        <is>
          <t>Public investment</t>
        </is>
      </c>
      <c r="D9" s="610" t="inlineStr">
        <is>
          <t>Central budget investment</t>
        </is>
      </c>
      <c r="E9" s="610" t="inlineStr">
        <is>
          <t>Transport</t>
        </is>
      </c>
      <c r="F9" s="610" t="inlineStr">
        <is>
          <t>Electric vehicle charging and battery-swapping infrastructure</t>
        </is>
      </c>
      <c r="G9" s="610" t="inlineStr">
        <is>
          <t>县域充换电设施补短板试点</t>
        </is>
      </c>
      <c r="H9" s="610" t="inlineStr">
        <is>
          <t>County-level charging and battery-swapping facility pilot to fill gaps</t>
        </is>
      </c>
      <c r="I9" s="610" t="inlineStr">
        <is>
          <t>New Energy Vehicle Industry Development Plan (2021-2035)</t>
        </is>
      </c>
      <c r="J9" s="610"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610" t="inlineStr">
        <is>
          <t>Climate change mitigation; Green economy; Energy security</t>
        </is>
      </c>
      <c r="L9" s="610" t="inlineStr">
        <is>
          <t>Direct</t>
        </is>
      </c>
      <c r="M9" s="610" t="inlineStr">
        <is>
          <t>Subnational</t>
        </is>
      </c>
      <c r="N9" s="610"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O9" s="610" t="inlineStr">
        <is>
          <t>09/04/2024</t>
        </is>
      </c>
      <c r="P9" s="610" t="inlineStr">
        <is>
          <t>09/04/2024</t>
        </is>
      </c>
      <c r="Q9" s="610" t="inlineStr">
        <is>
          <t>31/12/2026</t>
        </is>
      </c>
      <c r="R9" s="610" t="inlineStr">
        <is>
          <t>06/03/2026</t>
        </is>
      </c>
      <c r="S9" s="610"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T9" s="610">
        <f>IF(P9="","In force",IF(P9="N/A","In force",IF(TODAY()&lt;DATE(VALUE(RIGHT(P9,4)),VALUE(MID(P9,4,2)),VALUE(LEFT(P9,2))),"Scheduled",IF(Q9="","In force",IF(Q9="N/A","In force",IF(TODAY()&lt;DATE(VALUE(RIGHT(Q9,4)),VALUE(MID(Q9,4,2)),VALUE(LEFT(Q9,2))),"In force","Ended"))))))</f>
        <v/>
      </c>
      <c r="U9" s="610"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V9" s="610" t="inlineStr">
        <is>
          <t>Electricity grid; Road infrastructure</t>
        </is>
      </c>
      <c r="W9" s="610" t="inlineStr">
        <is>
          <t>New</t>
        </is>
      </c>
      <c r="X9" s="610"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Y9" s="610" t="inlineStr">
        <is>
          <t>Projects already benefiting from ultra-long special government bonds or central budget investment may not receive duplicate funding. Pilot counties must ensure grid connection capacity and land-use planning are in place before construction.</t>
        </is>
      </c>
      <c r="Z9" s="610"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A9" s="610" t="inlineStr">
        <is>
          <t>Firms; Governments</t>
        </is>
      </c>
      <c r="AB9" s="610"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C9" s="610" t="inlineStr">
        <is>
          <t>Purchase or use; Investment</t>
        </is>
      </c>
      <c r="AD9" s="610"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E9" s="610" t="inlineStr">
        <is>
          <t>4500</t>
        </is>
      </c>
      <c r="AF9" s="610" t="inlineStr">
        <is>
          <t>CNY 10,000/pilot county (maximum cumulative over 3 years)</t>
        </is>
      </c>
      <c r="AG9" s="610"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H9" s="610"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I9" s="610" t="inlineStr">
        <is>
          <t>N/A</t>
        </is>
      </c>
      <c r="AJ9" s="610"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K9" s="610" t="inlineStr">
        <is>
          <t>Central budget provides 70% of funding; local governments and enterprises co-invest in construction and operation</t>
        </is>
      </c>
      <c r="AL9" s="610" t="inlineStr">
        <is>
          <t>Pilot counties submit applications; provincial-level recommendation; determined through national competitive evaluation</t>
        </is>
      </c>
      <c r="AM9" s="610" t="inlineStr"/>
      <c r="AN9" s="610" t="inlineStr"/>
      <c r="AO9" s="610" t="inlineStr"/>
      <c r="AP9" s="610" t="inlineStr"/>
      <c r="AQ9" s="610" t="inlineStr"/>
      <c r="AR9" s="610" t="inlineStr">
        <is>
          <t>Up to approximately CNY 3.375 billion per annual cohort (CNY 45 million × 75 counties). Total programme envelope approximately CNY 9.045 billion over three years (67 + 75 + 59 = 201 pilot counties × CNY 45 million).</t>
        </is>
      </c>
      <c r="AS9" s="610" t="inlineStr">
        <is>
          <t>N/A</t>
        </is>
      </c>
      <c r="AT9" s="610" t="inlineStr">
        <is>
          <t>N/A</t>
        </is>
      </c>
      <c r="AU9" s="610" t="inlineStr">
        <is>
          <t>D35</t>
        </is>
      </c>
      <c r="AV9" s="610" t="inlineStr">
        <is>
          <t>CO2</t>
        </is>
      </c>
      <c r="AW9" s="610" t="inlineStr">
        <is>
          <t>Positive</t>
        </is>
      </c>
      <c r="AX9" s="610" t="inlineStr">
        <is>
          <t>Pollution control; Technological innovation; Industrial development</t>
        </is>
      </c>
      <c r="AY9" s="610" t="inlineStr">
        <is>
          <t>Notice on Conducting the County-Level Charging and Battery-Swapping Facility Pilot to Fill Gaps (CJ [2024] No. 57); 2025 Pilot County Application Notice (CBJ [2025] No. 3); 2026 Pilot County Application Notice (CBJ [2026] No. 8)</t>
        </is>
      </c>
      <c r="AZ9" s="610" t="inlineStr">
        <is>
          <t>https://jjs.mof.gov.cn/tongzhigonggao/202404/t20240412_3934996.htm</t>
        </is>
      </c>
      <c r="BA9" s="610" t="inlineStr">
        <is>
          <t>https://xxgk.mot.gov.cn/2020/jigou/glj/202502/t20250227_4164848.html</t>
        </is>
      </c>
      <c r="BB9" s="610" t="inlineStr"/>
    </row>
    <row r="10">
      <c r="A10" s="610" t="inlineStr">
        <is>
          <t>CHNPIVCBII02S000</t>
        </is>
      </c>
      <c r="B10" s="610" t="inlineStr">
        <is>
          <t>Instrument</t>
        </is>
      </c>
      <c r="C10" s="610" t="inlineStr">
        <is>
          <t>Public investment</t>
        </is>
      </c>
      <c r="D10" s="610" t="inlineStr">
        <is>
          <t>Central budget investment</t>
        </is>
      </c>
      <c r="E10" s="610" t="inlineStr">
        <is>
          <t>Industry; Energy; Buildings</t>
        </is>
      </c>
      <c r="F10" s="610" t="inlineStr">
        <is>
          <t>Key energy-consuming industries (power, iron and steel, nonferrous metals, building materials, petrochemicals, chemicals, machinery); coal-fired power plants; District heating; computing infrastructure; industrial park circularity; urban mining</t>
        </is>
      </c>
      <c r="G10" s="610" t="inlineStr">
        <is>
          <t>节能降碳中央预算内投资专项</t>
        </is>
      </c>
      <c r="H10" s="610" t="inlineStr">
        <is>
          <t>Energy Conservation and Carbon Reduction Central Budget Investment Special</t>
        </is>
      </c>
      <c r="I10" s="610" t="inlineStr">
        <is>
          <t>N/A</t>
        </is>
      </c>
      <c r="J10" s="610"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610" t="inlineStr">
        <is>
          <t>Energy efficiency; Climate change mitigation</t>
        </is>
      </c>
      <c r="L10" s="610" t="inlineStr">
        <is>
          <t>Direct</t>
        </is>
      </c>
      <c r="M10" s="610" t="inlineStr">
        <is>
          <t>national</t>
        </is>
      </c>
      <c r="N10" s="610" t="inlineStr">
        <is>
          <t>N/A</t>
        </is>
      </c>
      <c r="O10" s="610" t="inlineStr">
        <is>
          <t>17/03/2024</t>
        </is>
      </c>
      <c r="P10" s="610" t="inlineStr">
        <is>
          <t>17/03/2024</t>
        </is>
      </c>
      <c r="Q10" s="610" t="inlineStr">
        <is>
          <t>N/A</t>
        </is>
      </c>
      <c r="R10" s="610" t="inlineStr">
        <is>
          <t>19/09/2025</t>
        </is>
      </c>
      <c r="S10" s="610"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(Department of Resource Conservation and Environmental Protection as lead department); provincial-level development and reform commissions (project consolidation and submission); relevant central government entities</t>
        </is>
      </c>
      <c r="V10" s="610"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W10" s="610" t="inlineStr">
        <is>
          <t>New; Existing</t>
        </is>
      </c>
      <c r="X10" s="610"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Y10" s="610"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Z10" s="610"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A10" s="610" t="inlineStr">
        <is>
          <t>Firms; Governments</t>
        </is>
      </c>
      <c r="AB10" s="610"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C10" s="610" t="inlineStr">
        <is>
          <t>Investment; Production, generation or conversion; Purchase or use</t>
        </is>
      </c>
      <c r="AD10" s="610"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E10" s="610" t="inlineStr">
        <is>
          <t>20; 60; 70; 80</t>
        </is>
      </c>
      <c r="AF10" s="610" t="inlineStr">
        <is>
          <t>% (central budget investment support ratio as a share of approved total investment)</t>
        </is>
      </c>
      <c r="AG10" s="610"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H10" s="610"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I10" s="610" t="inlineStr">
        <is>
          <t>N/A</t>
        </is>
      </c>
      <c r="AJ10" s="610" t="inlineStr">
        <is>
          <t>N/A</t>
        </is>
      </c>
      <c r="AK10" s="610" t="inlineStr">
        <is>
          <t>No</t>
        </is>
      </c>
      <c r="AL10" s="610" t="inlineStr">
        <is>
          <t>Provincial-level development and reform commissions consolidate and submit applications, NDRC commissions third-party assessment and approves projects on a competitive basis</t>
        </is>
      </c>
      <c r="AM10" s="610" t="inlineStr">
        <is>
          <t>N/A</t>
        </is>
      </c>
      <c r="AN10" s="610" t="inlineStr">
        <is>
          <t>N/A</t>
        </is>
      </c>
      <c r="AO10" s="610" t="inlineStr">
        <is>
          <t>N/A</t>
        </is>
      </c>
      <c r="AP10" s="610" t="inlineStr">
        <is>
          <t>N/A</t>
        </is>
      </c>
      <c r="AQ10" s="610" t="inlineStr">
        <is>
          <t>N/A</t>
        </is>
      </c>
      <c r="AR10" s="610" t="inlineStr">
        <is>
          <t>Not publicly disclosed. NDRC does not publish per-special annual allocations. The 2025 central budget investment totalled CNY 7,350 billion (all sectors combined). Source: 2025 Government Work Report</t>
        </is>
      </c>
      <c r="AS10" s="610" t="inlineStr">
        <is>
          <t>N/A</t>
        </is>
      </c>
      <c r="AT10" s="610" t="inlineStr">
        <is>
          <t>N/A</t>
        </is>
      </c>
      <c r="AU10" s="610" t="inlineStr">
        <is>
          <t>D35; C24; C23; C19; C20; C28; E36; E37; E38; E39; J61; J62; J63</t>
        </is>
      </c>
      <c r="AV10" s="610" t="inlineStr">
        <is>
          <t>CO2</t>
        </is>
      </c>
      <c r="AW10" s="610" t="inlineStr">
        <is>
          <t>Positive</t>
        </is>
      </c>
      <c r="AX10" s="610" t="inlineStr">
        <is>
          <t>Energy conservation; Circular economy; Technological innovation; Industrial development; Energy security</t>
        </is>
      </c>
      <c r="AY10" s="610" t="inlineStr">
        <is>
          <t>Administrative Measures for the Energy Conservation and Carbon Reduction Central Budget Investment Special (Fa Gai Huan Zi Gui [2025] No. 1228)</t>
        </is>
      </c>
      <c r="AZ10" s="610" t="inlineStr">
        <is>
          <t>https://www.ndrc.gov.cn/xxgk/zcfb/ghxwj/202510/t20251014_1400943_ext.html</t>
        </is>
      </c>
      <c r="BA10" s="610" t="inlineStr">
        <is>
          <t>https://www.ndrc.gov.cn/xxgk/zcfb/ghxwj/202404/t20240408_1365534.html</t>
        </is>
      </c>
      <c r="BB10" s="610" t="inlineStr"/>
    </row>
    <row r="11">
      <c r="A11" s="610" t="inlineStr">
        <is>
          <t>CHNPIVCBII03S000</t>
        </is>
      </c>
      <c r="B11" s="610" t="inlineStr">
        <is>
          <t>Instrument</t>
        </is>
      </c>
      <c r="C11" s="610" t="inlineStr">
        <is>
          <t>Public investment</t>
        </is>
      </c>
      <c r="D11" s="610" t="inlineStr">
        <is>
          <t>Central budget investment</t>
        </is>
      </c>
      <c r="E11" s="610" t="inlineStr">
        <is>
          <t>Transport</t>
        </is>
      </c>
      <c r="F11" s="610" t="inlineStr">
        <is>
          <t>Trunk railways; Intercity railways; Passenger and freight transport</t>
        </is>
      </c>
      <c r="G11" s="610" t="inlineStr">
        <is>
          <t>铁路专项中央预算内投资</t>
        </is>
      </c>
      <c r="H11" s="610" t="inlineStr">
        <is>
          <t>Railway Central Budget Investment Special</t>
        </is>
      </c>
      <c r="I11" s="610" t="inlineStr">
        <is>
          <t>N/A</t>
        </is>
      </c>
      <c r="J11" s="610"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610" t="inlineStr">
        <is>
          <t>Industrial development</t>
        </is>
      </c>
      <c r="L11" s="610" t="inlineStr">
        <is>
          <t>Indirect</t>
        </is>
      </c>
      <c r="M11" s="610" t="inlineStr">
        <is>
          <t>national</t>
        </is>
      </c>
      <c r="N11" s="610" t="inlineStr">
        <is>
          <t>N/A</t>
        </is>
      </c>
      <c r="O11" s="610" t="inlineStr">
        <is>
          <t>08/02/2021</t>
        </is>
      </c>
      <c r="P11" s="610" t="inlineStr">
        <is>
          <t>08/02/2021</t>
        </is>
      </c>
      <c r="Q11" s="610" t="inlineStr">
        <is>
          <t>31/12/2030</t>
        </is>
      </c>
      <c r="R11" s="610" t="inlineStr">
        <is>
          <t>27/11/2025</t>
        </is>
      </c>
      <c r="S11" s="610"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T11" s="610">
        <f>IF(P11="","In force",IF(P11="N/A","In force",IF(TODAY()&lt;DATE(VALUE(RIGHT(P11,4)),VALUE(MID(P11,4,2)),VALUE(LEFT(P11,2))),"Scheduled",IF(Q11="","In force",IF(Q11="N/A","In force",IF(TODAY()&lt;DATE(VALUE(RIGHT(Q11,4)),VALUE(MID(Q11,4,2)),VALUE(LEFT(Q11,2))),"In force","Ended"))))))</f>
        <v/>
      </c>
      <c r="U11" s="610" t="inlineStr">
        <is>
          <t>National Development and Reform Commission (Department of Infrastructure Development); China State Railway Group Co., Ltd. (investor representative); provincial-level development and reform commissions</t>
        </is>
      </c>
      <c r="V11" s="610" t="inlineStr">
        <is>
          <t>Railway infrastructure (trunk railway lines, intercity railway lines and associated facilities)</t>
        </is>
      </c>
      <c r="W11" s="610" t="inlineStr">
        <is>
          <t>New; Existing</t>
        </is>
      </c>
      <c r="X11" s="610"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Y11" s="610"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Z11" s="610"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A11" s="610" t="inlineStr">
        <is>
          <t>Firms; Governments</t>
        </is>
      </c>
      <c r="AB11" s="610"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C11" s="610" t="inlineStr">
        <is>
          <t>Investment</t>
        </is>
      </c>
      <c r="AD11" s="610"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E11" s="610" t="inlineStr">
        <is>
          <t>10; 15; 20; 30; 40; 50; 70; 90</t>
        </is>
      </c>
      <c r="AF11" s="610" t="inlineStr">
        <is>
          <t>% (central budget investment ratio as a share of project capital)</t>
        </is>
      </c>
      <c r="AG11" s="610"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H11" s="610"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I11" s="610" t="inlineStr">
        <is>
          <t>N/A</t>
        </is>
      </c>
      <c r="AJ11" s="610" t="inlineStr">
        <is>
          <t>N/A</t>
        </is>
      </c>
      <c r="AK11" s="610" t="inlineStr">
        <is>
          <t>No</t>
        </is>
      </c>
      <c r="AL11" s="610" t="inlineStr">
        <is>
          <t>Provincial-level development and reform commissions or China Railway submit applications, NDRC reviews and approves</t>
        </is>
      </c>
      <c r="AM11" s="610" t="inlineStr">
        <is>
          <t>N/A</t>
        </is>
      </c>
      <c r="AN11" s="610" t="inlineStr">
        <is>
          <t>N/A</t>
        </is>
      </c>
      <c r="AO11" s="610" t="inlineStr">
        <is>
          <t>N/A</t>
        </is>
      </c>
      <c r="AP11" s="610" t="inlineStr">
        <is>
          <t>N/A</t>
        </is>
      </c>
      <c r="AQ11" s="610" t="inlineStr">
        <is>
          <t>N/A</t>
        </is>
      </c>
      <c r="AR11" s="610"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S11" s="610" t="inlineStr">
        <is>
          <t>N/A</t>
        </is>
      </c>
      <c r="AT11" s="610" t="inlineStr">
        <is>
          <t>N/A</t>
        </is>
      </c>
      <c r="AU11" s="610" t="inlineStr">
        <is>
          <t>H49; F42</t>
        </is>
      </c>
      <c r="AV11" s="610" t="inlineStr">
        <is>
          <t>CO2</t>
        </is>
      </c>
      <c r="AW11" s="610" t="inlineStr">
        <is>
          <t>Positive</t>
        </is>
      </c>
      <c r="AX11" s="610" t="inlineStr">
        <is>
          <t>Pollution control; Industrial development; Energy security</t>
        </is>
      </c>
      <c r="AY11" s="610" t="inlineStr">
        <is>
          <t>Administrative Measures for the Railway Central Budget Investment Special (Fa Gai Ji Chu Gui [2025] No. 1516)</t>
        </is>
      </c>
      <c r="AZ11" s="610" t="inlineStr">
        <is>
          <t>https://www.gov.cn/gongbao/2026/issue_12526/202601/content_7056484.html</t>
        </is>
      </c>
      <c r="BA11" s="610" t="inlineStr">
        <is>
          <t>https://www.ndrc.gov.cn/xxgk/zcfb/ghxwj/202401/t20240117_1363432.html; https://zfxxgk.ndrc.gov.cn/web/iteminfo.jsp?id=17930</t>
        </is>
      </c>
      <c r="BB11" s="610" t="inlineStr"/>
    </row>
    <row r="12">
      <c r="A12" s="610" t="inlineStr">
        <is>
          <t>CHNPIVCBII04S000</t>
        </is>
      </c>
      <c r="B12" s="610" t="inlineStr">
        <is>
          <t>Instrument</t>
        </is>
      </c>
      <c r="C12" s="610" t="inlineStr">
        <is>
          <t>Public investment</t>
        </is>
      </c>
      <c r="D12" s="610" t="inlineStr">
        <is>
          <t>Central budget investment</t>
        </is>
      </c>
      <c r="E12" s="610" t="inlineStr">
        <is>
          <t>Transport</t>
        </is>
      </c>
      <c r="F12" s="610" t="inlineStr">
        <is>
          <t>Inland waterway shipping; Yangtze River mainline; Coastal ports</t>
        </is>
      </c>
      <c r="G12" s="610" t="inlineStr">
        <is>
          <t>水运中央预算内投资专项</t>
        </is>
      </c>
      <c r="H12" s="610" t="inlineStr">
        <is>
          <t>Water Transport Central Budget Investment Special</t>
        </is>
      </c>
      <c r="I12" s="610" t="inlineStr">
        <is>
          <t>N/A</t>
        </is>
      </c>
      <c r="J12" s="610"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610" t="inlineStr">
        <is>
          <t>Green economy; Industrial development</t>
        </is>
      </c>
      <c r="L12" s="610" t="inlineStr">
        <is>
          <t>Indirect</t>
        </is>
      </c>
      <c r="M12" s="610" t="inlineStr">
        <is>
          <t>national</t>
        </is>
      </c>
      <c r="N12" s="610" t="inlineStr">
        <is>
          <t>N/A</t>
        </is>
      </c>
      <c r="O12" s="610" t="inlineStr">
        <is>
          <t>15/03/2024</t>
        </is>
      </c>
      <c r="P12" s="610" t="inlineStr">
        <is>
          <t>15/03/2024</t>
        </is>
      </c>
      <c r="Q12" s="610" t="inlineStr">
        <is>
          <t>31/12/2028</t>
        </is>
      </c>
      <c r="R12" s="610" t="inlineStr">
        <is>
          <t>N/A</t>
        </is>
      </c>
      <c r="S12" s="610" t="inlineStr">
        <is>
          <t>N/A</t>
        </is>
      </c>
      <c r="T12" s="610">
        <f>IF(P12="","In force",IF(P12="N/A","In force",IF(TODAY()&lt;DATE(VALUE(RIGHT(P12,4)),VALUE(MID(P12,4,2)),VALUE(LEFT(P12,2))),"Scheduled",IF(Q12="","In force",IF(Q12="N/A","In force",IF(TODAY()&lt;DATE(VALUE(RIGHT(Q12,4)),VALUE(MID(Q12,4,2)),VALUE(LEFT(Q12,2))),"In force","Ended"))))))</f>
        <v/>
      </c>
      <c r="U12" s="610" t="inlineStr">
        <is>
          <t>National Development and Reform Commission (Department of Infrastructure Development); Ministry of Transport (sectoral authority); provincial-level development and reform commissions</t>
        </is>
      </c>
      <c r="V12" s="610"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W12" s="610" t="inlineStr">
        <is>
          <t>New; Existing</t>
        </is>
      </c>
      <c r="X12" s="610"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Y12" s="610" t="inlineStr">
        <is>
          <t>N/A</t>
        </is>
      </c>
      <c r="Z12" s="610"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A12" s="610" t="inlineStr">
        <is>
          <t>Firms; Governments</t>
        </is>
      </c>
      <c r="AB12" s="610"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C12" s="610" t="inlineStr">
        <is>
          <t>Investment</t>
        </is>
      </c>
      <c r="AD12" s="610"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E12" s="610" t="inlineStr">
        <is>
          <t>30; 40; 50; 60; 80; 100</t>
        </is>
      </c>
      <c r="AF12" s="610" t="inlineStr">
        <is>
          <t>% (central budget investment support ratio as a share of engineering costs or project capital or project investment)</t>
        </is>
      </c>
      <c r="AG12" s="610"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H12" s="610"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I12" s="610" t="inlineStr">
        <is>
          <t>N/A</t>
        </is>
      </c>
      <c r="AJ12" s="610"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K12" s="610" t="inlineStr">
        <is>
          <t>No</t>
        </is>
      </c>
      <c r="AL12" s="610"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M12" s="610" t="inlineStr">
        <is>
          <t>N/A</t>
        </is>
      </c>
      <c r="AN12" s="610" t="inlineStr">
        <is>
          <t>N/A</t>
        </is>
      </c>
      <c r="AO12" s="610" t="inlineStr">
        <is>
          <t>N/A</t>
        </is>
      </c>
      <c r="AP12" s="610" t="inlineStr">
        <is>
          <t>N/A</t>
        </is>
      </c>
      <c r="AQ12" s="610" t="inlineStr">
        <is>
          <t>N/A</t>
        </is>
      </c>
      <c r="AR12" s="610"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S12" s="610" t="inlineStr">
        <is>
          <t>N/A</t>
        </is>
      </c>
      <c r="AT12" s="610" t="inlineStr">
        <is>
          <t>N/A</t>
        </is>
      </c>
      <c r="AU12" s="610" t="inlineStr">
        <is>
          <t>H50; H52</t>
        </is>
      </c>
      <c r="AV12" s="610" t="inlineStr">
        <is>
          <t>CO2</t>
        </is>
      </c>
      <c r="AW12" s="610" t="inlineStr">
        <is>
          <t>Positive</t>
        </is>
      </c>
      <c r="AX12" s="610" t="inlineStr">
        <is>
          <t>Pollution control; Industrial development; Energy security</t>
        </is>
      </c>
      <c r="AY12" s="610" t="inlineStr">
        <is>
          <t>Administrative Measures for the Water Transport Central Budget Investment Special (Fa Gai Ji Chu Gui [2024] No. 306)</t>
        </is>
      </c>
      <c r="AZ12" s="610" t="inlineStr">
        <is>
          <t>https://www.ndrc.gov.cn/xxgk/zcfb/ghxwj/202403/t20240326_1365287_ext.html</t>
        </is>
      </c>
      <c r="BA12" s="610" t="inlineStr">
        <is>
          <t>https://zfxxgk.ndrc.gov.cn/web/iteminfo.jsp?id=20355</t>
        </is>
      </c>
      <c r="BB12" s="610" t="inlineStr"/>
    </row>
    <row r="13">
      <c r="A13" s="610" t="inlineStr">
        <is>
          <t>CHNPIVCBII05S000</t>
        </is>
      </c>
      <c r="B13" s="610" t="inlineStr">
        <is>
          <t>Instrument</t>
        </is>
      </c>
      <c r="C13" s="610" t="inlineStr">
        <is>
          <t>Public investment</t>
        </is>
      </c>
      <c r="D13" s="610" t="inlineStr">
        <is>
          <t>Central budget investment</t>
        </is>
      </c>
      <c r="E13" s="610" t="inlineStr">
        <is>
          <t>AFOLU</t>
        </is>
      </c>
      <c r="F13" s="610" t="inlineStr">
        <is>
          <t>Afforestation; Degraded grassland restoration; Desertification control; Wetland restoration; National strategic reserve forests; Protected area conservation</t>
        </is>
      </c>
      <c r="G13" s="610" t="inlineStr">
        <is>
          <t>生态保护修复中央预算内投资专项</t>
        </is>
      </c>
      <c r="H13" s="610" t="inlineStr">
        <is>
          <t>Ecological Protection and Restoration Central Budget Investment Special</t>
        </is>
      </c>
      <c r="I13" s="610" t="inlineStr">
        <is>
          <t>N/A</t>
        </is>
      </c>
      <c r="J13" s="610"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610" t="inlineStr">
        <is>
          <t>Ecological protection; Circular economy</t>
        </is>
      </c>
      <c r="L13" s="610" t="inlineStr">
        <is>
          <t>Indirect</t>
        </is>
      </c>
      <c r="M13" s="610" t="inlineStr">
        <is>
          <t>national</t>
        </is>
      </c>
      <c r="N13" s="610" t="inlineStr">
        <is>
          <t>N/A</t>
        </is>
      </c>
      <c r="O13" s="610" t="inlineStr">
        <is>
          <t>06/05/2024</t>
        </is>
      </c>
      <c r="P13" s="610" t="inlineStr">
        <is>
          <t>06/05/2024</t>
        </is>
      </c>
      <c r="Q13" s="610" t="inlineStr">
        <is>
          <t>N/A</t>
        </is>
      </c>
      <c r="R13" s="610" t="inlineStr">
        <is>
          <t>21/05/2026</t>
        </is>
      </c>
      <c r="S13" s="610"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T13" s="610">
        <f>IF(P13="","In force",IF(P13="N/A","In force",IF(TODAY()&lt;DATE(VALUE(RIGHT(P13,4)),VALUE(MID(P13,4,2)),VALUE(LEFT(P13,2))),"Scheduled",IF(Q13="","In force",IF(Q13="N/A","In force",IF(TODAY()&lt;DATE(VALUE(RIGHT(Q13,4)),VALUE(MID(Q13,4,2)),VALUE(LEFT(Q13,2))),"In force","Ended"))))))</f>
        <v/>
      </c>
      <c r="U13" s="610" t="inlineStr">
        <is>
          <t>National Development and Reform Commission (Department of Rural Economy); National Forestry and Grassland Administration; provincial-level development and reform commissions jointly with sectoral authorities</t>
        </is>
      </c>
      <c r="V13" s="610" t="inlineStr">
        <is>
          <t>Forests; Grasslands; Wetlands; Protected areas (national parks, nature reserves); Forest and grass fire prevention facilities; Forest and grass germplasm resource facilities; National strategic reserve forests; Wildlife protection facilities</t>
        </is>
      </c>
      <c r="W13" s="610" t="inlineStr">
        <is>
          <t>New; Existing</t>
        </is>
      </c>
      <c r="X13" s="610"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Y13" s="610"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Z13" s="610"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A13" s="610" t="inlineStr">
        <is>
          <t>Firms; Governments</t>
        </is>
      </c>
      <c r="AB13" s="610"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C13" s="610" t="inlineStr">
        <is>
          <t>Investment; Purchase or use</t>
        </is>
      </c>
      <c r="AD13" s="610"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E13" s="610" t="inlineStr">
        <is>
          <t>60; 70; 80; 90; 100</t>
        </is>
      </c>
      <c r="AF13" s="610" t="inlineStr">
        <is>
          <t>% (central budget investment support ratio as a share of approved total investment)</t>
        </is>
      </c>
      <c r="AG13" s="610"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H13" s="610"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I13" s="610" t="inlineStr">
        <is>
          <t>N/A</t>
        </is>
      </c>
      <c r="AJ13" s="610" t="inlineStr">
        <is>
          <t>N/A</t>
        </is>
      </c>
      <c r="AK13" s="610" t="inlineStr">
        <is>
          <t>No</t>
        </is>
      </c>
      <c r="AL13" s="610" t="inlineStr">
        <is>
          <t>Provincial-level development and reform commissions jointly with sectoral authorities submit applications, NDRC reviews and approves</t>
        </is>
      </c>
      <c r="AM13" s="610" t="inlineStr">
        <is>
          <t>N/A</t>
        </is>
      </c>
      <c r="AN13" s="610" t="inlineStr">
        <is>
          <t>N/A</t>
        </is>
      </c>
      <c r="AO13" s="610" t="inlineStr">
        <is>
          <t>N/A</t>
        </is>
      </c>
      <c r="AP13" s="610" t="inlineStr">
        <is>
          <t>N/A</t>
        </is>
      </c>
      <c r="AQ13" s="610" t="inlineStr">
        <is>
          <t>N/A</t>
        </is>
      </c>
      <c r="AR13" s="610"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S13" s="610" t="inlineStr">
        <is>
          <t>N/A</t>
        </is>
      </c>
      <c r="AT13" s="610" t="inlineStr">
        <is>
          <t>N/A</t>
        </is>
      </c>
      <c r="AU13" s="610" t="inlineStr">
        <is>
          <t>A02; A03</t>
        </is>
      </c>
      <c r="AV13" s="610" t="inlineStr">
        <is>
          <t>CO2</t>
        </is>
      </c>
      <c r="AW13" s="610" t="inlineStr">
        <is>
          <t>Positive</t>
        </is>
      </c>
      <c r="AX13" s="610" t="inlineStr">
        <is>
          <t>Biodiversity conservation; Ecological protection; Desertification control</t>
        </is>
      </c>
      <c r="AY13" s="610" t="inlineStr">
        <is>
          <t>Administrative Measures for the Ecological Protection and Restoration Central Budget Investment Special (Fa Gai Nong Jing [2026] No. 713)</t>
        </is>
      </c>
      <c r="AZ13" s="610" t="inlineStr">
        <is>
          <t>https://www.ndrc.gov.cn/xwdt/tzgg/202606/t20260608_1405756.html</t>
        </is>
      </c>
      <c r="BA13" s="610" t="inlineStr">
        <is>
          <t>https://zfxxgk.ndrc.gov.cn/web/iteminfo.jsp?id=20380</t>
        </is>
      </c>
      <c r="BB13" s="610" t="inlineStr"/>
    </row>
    <row r="14">
      <c r="A14" s="610" t="inlineStr">
        <is>
          <t>CHNPIVGIFI01S000</t>
        </is>
      </c>
      <c r="B14" s="610" t="inlineStr">
        <is>
          <t>Instrument</t>
        </is>
      </c>
      <c r="C14" s="610" t="inlineStr">
        <is>
          <t>Public investment</t>
        </is>
      </c>
      <c r="D14" s="610" t="inlineStr">
        <is>
          <t>Government investment fund</t>
        </is>
      </c>
      <c r="E14" s="610" t="inlineStr">
        <is>
          <t>Cross-sectoral</t>
        </is>
      </c>
      <c r="F14" s="610" t="inlineStr">
        <is>
          <t>Cross-sector (green industry, pollution prevention and control, ecological protection, clean energy)</t>
        </is>
      </c>
      <c r="G14" s="610" t="inlineStr">
        <is>
          <t>国家绿色发展基金</t>
        </is>
      </c>
      <c r="H14" s="610" t="inlineStr">
        <is>
          <t>National Green Development Fund</t>
        </is>
      </c>
      <c r="I14" s="610" t="inlineStr">
        <is>
          <t>N/A</t>
        </is>
      </c>
      <c r="J14" s="610"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610" t="inlineStr">
        <is>
          <t>Climate change mitigation; Pollution control; Ecological protection; Non-fossil energy; Green consumption; Green finance</t>
        </is>
      </c>
      <c r="L14" s="610" t="inlineStr">
        <is>
          <t>Direct</t>
        </is>
      </c>
      <c r="M14" s="610" t="inlineStr">
        <is>
          <t>national</t>
        </is>
      </c>
      <c r="N14" s="610" t="inlineStr">
        <is>
          <t>N/A</t>
        </is>
      </c>
      <c r="O14" s="610" t="inlineStr">
        <is>
          <t>14/07/2020</t>
        </is>
      </c>
      <c r="P14" s="610" t="inlineStr">
        <is>
          <t>14/07/2020</t>
        </is>
      </c>
      <c r="Q14" s="610" t="inlineStr">
        <is>
          <t>N/A</t>
        </is>
      </c>
      <c r="R14" s="610" t="inlineStr">
        <is>
          <t>N/A</t>
        </is>
      </c>
      <c r="S14" s="610" t="inlineStr">
        <is>
          <t>N/A</t>
        </is>
      </c>
      <c r="T14" s="610">
        <f>IF(P14="","In force",IF(P14="N/A","In force",IF(TODAY()&lt;DATE(VALUE(RIGHT(P14,4)),VALUE(MID(P14,4,2)),VALUE(LEFT(P14,2))),"Scheduled",IF(Q14="","In force",IF(Q14="N/A","In force",IF(TODAY()&lt;DATE(VALUE(RIGHT(Q14,4)),VALUE(MID(Q14,4,2)),VALUE(LEFT(Q14,2))),"In force","Ended"))))))</f>
        <v/>
      </c>
      <c r="U14" s="610"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V14" s="610"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W14" s="610" t="inlineStr">
        <is>
          <t>New; Existing</t>
        </is>
      </c>
      <c r="X14" s="610"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Y14" s="610"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Z14" s="610"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A14" s="610" t="inlineStr">
        <is>
          <t>Firms</t>
        </is>
      </c>
      <c r="AB14" s="610"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C14" s="610" t="inlineStr">
        <is>
          <t>Investment</t>
        </is>
      </c>
      <c r="AD14" s="610"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E14" s="610" t="inlineStr">
        <is>
          <t>88.5</t>
        </is>
      </c>
      <c r="AF14" s="610" t="inlineStr">
        <is>
          <t>CNY billion (first-phase registered capital)</t>
        </is>
      </c>
      <c r="AG14" s="610"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H14" s="610"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I14" s="610" t="inlineStr">
        <is>
          <t>N/A</t>
        </is>
      </c>
      <c r="AJ14" s="610" t="inlineStr">
        <is>
          <t>N/A</t>
        </is>
      </c>
      <c r="AK14" s="610"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L14" s="610"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M14" s="610" t="inlineStr"/>
      <c r="AN14" s="610" t="inlineStr"/>
      <c r="AO14" s="610" t="inlineStr"/>
      <c r="AP14" s="610" t="inlineStr"/>
      <c r="AQ14" s="610" t="inlineStr"/>
      <c r="AR14" s="610"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S14" s="610" t="inlineStr">
        <is>
          <t>N/A</t>
        </is>
      </c>
      <c r="AT14" s="610" t="inlineStr">
        <is>
          <t>N/A</t>
        </is>
      </c>
      <c r="AU14" s="610" t="inlineStr">
        <is>
          <t>D35; C24; C23; C19; C20; C28; E36; E37; E38; E39; H49; A02; A03; J61; J62; J63</t>
        </is>
      </c>
      <c r="AV14" s="610" t="inlineStr">
        <is>
          <t>CO2; CH4; N2O; HFCs</t>
        </is>
      </c>
      <c r="AW14" s="610" t="inlineStr">
        <is>
          <t>Positive</t>
        </is>
      </c>
      <c r="AX14" s="610" t="inlineStr">
        <is>
          <t>Pollution control; Ecological protection; Technological innovation; Industrial development; Energy security</t>
        </is>
      </c>
      <c r="AY14" s="610" t="inlineStr">
        <is>
          <t>Articles of Association of National Green Development Fund Co., Ltd.; National Green Development Fund Establishment Plan</t>
        </is>
      </c>
      <c r="AZ14" s="610" t="inlineStr">
        <is>
          <t>http://www.mof.gov.cn/zhengwuxinxi/tupianxinwen1/202007/t20200715_3550334.htm</t>
        </is>
      </c>
      <c r="BA14" s="610" t="inlineStr">
        <is>
          <t>https://www.ngd-fund.com; http://www.mof.gov.cn/zhengwuxinxi/xinwenlianbo/shanghaicaizhengxinxilianbo/202007/t20200722_3554610.htm</t>
        </is>
      </c>
      <c r="BB14" s="610" t="inlineStr"/>
    </row>
    <row r="15">
      <c r="A15" s="610" t="inlineStr">
        <is>
          <t>CHNPIVRDDI01S000</t>
        </is>
      </c>
      <c r="B15" s="610" t="inlineStr">
        <is>
          <t>Instrument</t>
        </is>
      </c>
      <c r="C15" s="610" t="inlineStr">
        <is>
          <t>Public investment</t>
        </is>
      </c>
      <c r="D15" s="610" t="inlineStr">
        <is>
          <t>Government-funded RD&amp;D programmes</t>
        </is>
      </c>
      <c r="E15" s="610" t="inlineStr">
        <is>
          <t>Transport; Industry; Energy</t>
        </is>
      </c>
      <c r="F15" s="610" t="inlineStr">
        <is>
          <t>Hydrogen full value chain (production, storage, transport, refuelling, use)</t>
        </is>
      </c>
      <c r="G15" s="610" t="inlineStr">
        <is>
          <t>氢能综合应用试点</t>
        </is>
      </c>
      <c r="H15" s="610" t="inlineStr">
        <is>
          <t>Hydrogen comprehensive application pilot</t>
        </is>
      </c>
      <c r="I15" s="610" t="inlineStr">
        <is>
          <t>Hydrogen Industry Development Medium- and Long-Term Plan (2021-2035)</t>
        </is>
      </c>
      <c r="J15" s="610"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610" t="inlineStr">
        <is>
          <t>Climate change mitigation; Green economy; Energy security; Technological innovation</t>
        </is>
      </c>
      <c r="L15" s="610" t="inlineStr">
        <is>
          <t>Direct</t>
        </is>
      </c>
      <c r="M15" s="610" t="inlineStr">
        <is>
          <t>Subnational</t>
        </is>
      </c>
      <c r="N15" s="610" t="inlineStr">
        <is>
          <t>Five city clusters to be selected through an open competition mechanism (specific list subject to official announcement)</t>
        </is>
      </c>
      <c r="O15" s="610" t="inlineStr">
        <is>
          <t>06/03/2026</t>
        </is>
      </c>
      <c r="P15" s="610" t="inlineStr">
        <is>
          <t>16/03/2026</t>
        </is>
      </c>
      <c r="Q15" s="610" t="inlineStr">
        <is>
          <t>31/12/2030</t>
        </is>
      </c>
      <c r="R15" s="610" t="inlineStr">
        <is>
          <t>N/A</t>
        </is>
      </c>
      <c r="S15" s="610" t="inlineStr">
        <is>
          <t>This instrument was just issued in March 2026 and is the original version. The application deadline is 15 April 2026. Supplementary notices may be issued based on selection and implementation plan evaluation results.</t>
        </is>
      </c>
      <c r="T15" s="610">
        <f>IF(P15="","In force",IF(P15="N/A","In force",IF(TODAY()&lt;DATE(VALUE(RIGHT(P15,4)),VALUE(MID(P15,4,2)),VALUE(LEFT(P15,2))),"Scheduled",IF(Q15="","In force",IF(Q15="N/A","In force",IF(TODAY()&lt;DATE(VALUE(RIGHT(Q15,4)),VALUE(MID(Q15,4,2)),VALUE(LEFT(Q15,2))),"In force","Ended"))))))</f>
        <v/>
      </c>
      <c r="U15" s="610"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V15" s="610" t="inlineStr">
        <is>
          <t>Road vehicles; Industrial plants; Power plants; Pipelines</t>
        </is>
      </c>
      <c r="W15" s="610" t="inlineStr">
        <is>
          <t>New</t>
        </is>
      </c>
      <c r="X15" s="610"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Y15" s="610"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Z15" s="610"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A15" s="610" t="inlineStr">
        <is>
          <t>Firms</t>
        </is>
      </c>
      <c r="AB15" s="610"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C15" s="610" t="inlineStr">
        <is>
          <t>Research and development; Production, generation or transformation; Purchase or use</t>
        </is>
      </c>
      <c r="AD15" s="610"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E15" s="610" t="inlineStr">
        <is>
          <t>16</t>
        </is>
      </c>
      <c r="AF15" s="610" t="inlineStr">
        <is>
          <t>CNY 100 million/city cluster (maximum reward ceiling)</t>
        </is>
      </c>
      <c r="AG15" s="610"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H15" s="610"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I15" s="610" t="inlineStr">
        <is>
          <t>N/A</t>
        </is>
      </c>
      <c r="AJ15" s="610"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K15" s="610" t="inlineStr">
        <is>
          <t>Allocated from central budget; city clusters and enterprises co-invest</t>
        </is>
      </c>
      <c r="AL15" s="610" t="inlineStr">
        <is>
          <t>City clusters apply voluntarily; central government organises competitive evaluation by city cluster to select 5 pilot city clusters</t>
        </is>
      </c>
      <c r="AM15" s="610" t="inlineStr"/>
      <c r="AN15" s="610" t="inlineStr"/>
      <c r="AO15" s="610" t="inlineStr"/>
      <c r="AP15" s="610" t="inlineStr"/>
      <c r="AQ15" s="610" t="inlineStr"/>
      <c r="AR15" s="610" t="inlineStr">
        <is>
          <t>Maximum CNY 8.0 billion (5 city clusters combined, total envelope over the 4-year pilot period)</t>
        </is>
      </c>
      <c r="AS15" s="610" t="inlineStr">
        <is>
          <t>N/A</t>
        </is>
      </c>
      <c r="AT15" s="610" t="inlineStr">
        <is>
          <t>N/A</t>
        </is>
      </c>
      <c r="AU15" s="610" t="inlineStr">
        <is>
          <t>C20; D35; H49</t>
        </is>
      </c>
      <c r="AV15" s="610" t="inlineStr">
        <is>
          <t>CO2</t>
        </is>
      </c>
      <c r="AW15" s="610" t="inlineStr">
        <is>
          <t>Positive</t>
        </is>
      </c>
      <c r="AX15" s="610" t="inlineStr">
        <is>
          <t>Pollution control; Technological innovation; Industrial development; Energy security</t>
        </is>
      </c>
      <c r="AY15" s="610" t="inlineStr">
        <is>
          <t>Notice on Conducting the Hydrogen Comprehensive Application Pilot (GXB Lian Jie[2026] No. 59); Hydrogen Industry Development Medium- and Long-Term Plan (2021-2035)</t>
        </is>
      </c>
      <c r="AZ15" s="610" t="inlineStr">
        <is>
          <t>https://www.miit.gov.cn/zwgk/zcwj/wjfb/tz/art/2026/art_d2957277c4684eb59c0c0de01af59434.html</t>
        </is>
      </c>
      <c r="BA15" s="610" t="inlineStr">
        <is>
          <t>https://www.miit.gov.cn/jgsj/jns/gzdt/art/2026/art_0c5107aca7b4466e9ada0aea737d542f.html</t>
        </is>
      </c>
      <c r="BB15" s="610" t="inlineStr"/>
    </row>
    <row r="16">
      <c r="A16" s="610" t="inlineStr">
        <is>
          <t>CHNPIVRDDI02S000</t>
        </is>
      </c>
      <c r="B16" s="610" t="inlineStr">
        <is>
          <t>Instrument</t>
        </is>
      </c>
      <c r="C16" s="610" t="inlineStr">
        <is>
          <t>Public investment</t>
        </is>
      </c>
      <c r="D16" s="610" t="inlineStr">
        <is>
          <t>Government-funded RD&amp;D programmes</t>
        </is>
      </c>
      <c r="E16" s="610" t="inlineStr">
        <is>
          <t>Transport</t>
        </is>
      </c>
      <c r="F16" s="610" t="inlineStr">
        <is>
          <t>New energy vehicle (BEV, PHEV, FCEV) full value chain technologies</t>
        </is>
      </c>
      <c r="G16" s="610" t="inlineStr">
        <is>
          <t>新能源汽车重点专项</t>
        </is>
      </c>
      <c r="H16" s="610" t="inlineStr">
        <is>
          <t>New Energy Vehicle (NEV) Key Special Project</t>
        </is>
      </c>
      <c r="I16" s="610" t="inlineStr">
        <is>
          <t>Energy-Saving and New Energy Vehicle Industry Development Plan (2012-2020); New Energy Vehicle Industry Development Plan (2021-2035)</t>
        </is>
      </c>
      <c r="J16" s="610"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610" t="inlineStr">
        <is>
          <t>Climate change mitigation; Energy security; Industrial development; Technological innovation; Electrification</t>
        </is>
      </c>
      <c r="L16" s="610" t="inlineStr">
        <is>
          <t>Direct</t>
        </is>
      </c>
      <c r="M16" s="610" t="inlineStr">
        <is>
          <t>national</t>
        </is>
      </c>
      <c r="N16" s="610" t="inlineStr">
        <is>
          <t>N/A</t>
        </is>
      </c>
      <c r="O16" s="610" t="inlineStr">
        <is>
          <t>17/11/2015</t>
        </is>
      </c>
      <c r="P16" s="610" t="inlineStr">
        <is>
          <t>17/11/2015</t>
        </is>
      </c>
      <c r="Q16" s="610" t="inlineStr">
        <is>
          <t>N/A</t>
        </is>
      </c>
      <c r="R16" s="610" t="inlineStr">
        <is>
          <t>N/A</t>
        </is>
      </c>
      <c r="S16" s="610"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T16" s="610">
        <f>IF(P16="","In force",IF(P16="N/A","In force",IF(TODAY()&lt;DATE(VALUE(RIGHT(P16,4)),VALUE(MID(P16,4,2)),VALUE(LEFT(P16,2))),"Scheduled",IF(Q16="","In force",IF(Q16="N/A","In force",IF(TODAY()&lt;DATE(VALUE(RIGHT(Q16,4)),VALUE(MID(Q16,4,2)),VALUE(LEFT(Q16,2))),"In force","Ended"))))))</f>
        <v/>
      </c>
      <c r="U16" s="610" t="inlineStr">
        <is>
          <t>Ministry of Industry and Information Technology (lead ministry during the 14th FYP period); National Science and Technology Management Information System Public Service Platform (application and acceptance channel)</t>
        </is>
      </c>
      <c r="V16" s="610" t="inlineStr">
        <is>
          <t>NEV-related technology R&amp;D outputs (patents, prototypes, demonstration lines); Power batteries and management systems; Motor drive and power electronics systems; Intelligent driving systems; Fuel cell power systems</t>
        </is>
      </c>
      <c r="W16" s="610" t="inlineStr">
        <is>
          <t>New</t>
        </is>
      </c>
      <c r="X16" s="610"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Y16" s="610" t="inlineStr">
        <is>
          <t>N/A</t>
        </is>
      </c>
      <c r="Z16" s="610"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A16" s="610" t="inlineStr">
        <is>
          <t>Firms; Governments</t>
        </is>
      </c>
      <c r="AB16" s="610"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C16" s="610" t="inlineStr">
        <is>
          <t>Research, development and deployment</t>
        </is>
      </c>
      <c r="AD16"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E16" s="610" t="inlineStr">
        <is>
          <t>3.25</t>
        </is>
      </c>
      <c r="AF16" s="610" t="inlineStr">
        <is>
          <t>CNY 100 million/year (2024 central funding estimate)</t>
        </is>
      </c>
      <c r="AG16" s="610"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H16" s="610"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I16" s="610" t="inlineStr">
        <is>
          <t>N/A</t>
        </is>
      </c>
      <c r="AJ16" s="610" t="inlineStr">
        <is>
          <t>N/A</t>
        </is>
      </c>
      <c r="AK16" s="610"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L16" s="610"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M16" s="610" t="inlineStr">
        <is>
          <t>N/A</t>
        </is>
      </c>
      <c r="AN16" s="610" t="inlineStr">
        <is>
          <t>N/A</t>
        </is>
      </c>
      <c r="AO16" s="610" t="inlineStr">
        <is>
          <t>N/A</t>
        </is>
      </c>
      <c r="AP16" s="610" t="inlineStr">
        <is>
          <t>N/A</t>
        </is>
      </c>
      <c r="AQ16" s="610" t="inlineStr">
        <is>
          <t>N/A</t>
        </is>
      </c>
      <c r="AR16" s="610" t="inlineStr">
        <is>
          <t>2023 central funding estimate: CNY 346 million; 2024 central funding estimate: CNY 325 million. Source: MIIT 2023 and 2024 calls for proposals. During the 13th FYP period annual funding fluctuated substantially, reaching approximately CNY 900 million in 2018.</t>
        </is>
      </c>
      <c r="AS16" s="610" t="inlineStr">
        <is>
          <t>N/A</t>
        </is>
      </c>
      <c r="AT16" s="610" t="inlineStr">
        <is>
          <t>N/A</t>
        </is>
      </c>
      <c r="AU16" s="610" t="inlineStr">
        <is>
          <t>C29; C28; C27; C26; D35; G45; J62; J63; M72</t>
        </is>
      </c>
      <c r="AV16" s="610" t="inlineStr">
        <is>
          <t>CO2</t>
        </is>
      </c>
      <c r="AW16" s="610" t="inlineStr">
        <is>
          <t>Positive</t>
        </is>
      </c>
      <c r="AX16" s="610" t="inlineStr">
        <is>
          <t>Technological innovation; Industrial development; Energy security; Pollution control</t>
        </is>
      </c>
      <c r="AY16" s="610"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AZ16" s="610" t="inlineStr">
        <is>
          <t>https://wap.miit.gov.cn/gyhxxhb/jgsj/gxjss/wjfb/art/2024/art_5073358011a14275befeebf4c6e8236c.html</t>
        </is>
      </c>
      <c r="BA16" s="610" t="inlineStr">
        <is>
          <t>https://service.most.gov.cn</t>
        </is>
      </c>
      <c r="BB16" s="610" t="inlineStr"/>
    </row>
    <row r="17">
      <c r="A17" s="610" t="inlineStr">
        <is>
          <t>CHNPIVRDDI03S000</t>
        </is>
      </c>
      <c r="B17" s="610" t="inlineStr">
        <is>
          <t>Instrument</t>
        </is>
      </c>
      <c r="C17" s="610" t="inlineStr">
        <is>
          <t>Public investment</t>
        </is>
      </c>
      <c r="D17" s="610" t="inlineStr">
        <is>
          <t>Government-funded RD&amp;D programmes</t>
        </is>
      </c>
      <c r="E17" s="610" t="inlineStr">
        <is>
          <t>Industry; Energy; Transport</t>
        </is>
      </c>
      <c r="F17" s="610" t="inlineStr">
        <is>
          <t>Hydrogen full value chain technologies (production, storage, transport, refuelling, use)</t>
        </is>
      </c>
      <c r="G17" s="610" t="inlineStr">
        <is>
          <t>氢能技术重点专项</t>
        </is>
      </c>
      <c r="H17" s="610" t="inlineStr">
        <is>
          <t>Hydrogen Technology Key Special Project</t>
        </is>
      </c>
      <c r="I17" s="610" t="inlineStr">
        <is>
          <t>Hydrogen Industry Development Medium- and Long-Term Plan (2021-2035)</t>
        </is>
      </c>
      <c r="J17" s="610"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610" t="inlineStr">
        <is>
          <t>Climate change mitigation; Energy security; Industrial development; Technological innovation</t>
        </is>
      </c>
      <c r="L17" s="610" t="inlineStr">
        <is>
          <t>Direct</t>
        </is>
      </c>
      <c r="M17" s="610" t="inlineStr">
        <is>
          <t>national</t>
        </is>
      </c>
      <c r="N17" s="610" t="inlineStr">
        <is>
          <t>N/A</t>
        </is>
      </c>
      <c r="O17" s="610" t="inlineStr">
        <is>
          <t>01/01/2023</t>
        </is>
      </c>
      <c r="P17" s="610" t="inlineStr">
        <is>
          <t>01/01/2023</t>
        </is>
      </c>
      <c r="Q17" s="610" t="inlineStr">
        <is>
          <t>N/A</t>
        </is>
      </c>
      <c r="R17" s="610" t="inlineStr">
        <is>
          <t>N/A</t>
        </is>
      </c>
      <c r="S17" s="610"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T17" s="610">
        <f>IF(P17="","In force",IF(P17="N/A","In force",IF(TODAY()&lt;DATE(VALUE(RIGHT(P17,4)),VALUE(MID(P17,4,2)),VALUE(LEFT(P17,2))),"Scheduled",IF(Q17="","In force",IF(Q17="N/A","In force",IF(TODAY()&lt;DATE(VALUE(RIGHT(Q17,4)),VALUE(MID(Q17,4,2)),VALUE(LEFT(Q17,2))),"In force","Ended"))))))</f>
        <v/>
      </c>
      <c r="U17" s="610"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V17" s="610" t="inlineStr">
        <is>
          <t>Hydrogen technology R&amp;D outputs and demonstration facilities (hydrogen production equipment, storage and transport facilities, refuelling stations, fuel cell systems, etc.)</t>
        </is>
      </c>
      <c r="W17" s="610" t="inlineStr">
        <is>
          <t>New</t>
        </is>
      </c>
      <c r="X17" s="610"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Y17" s="610" t="inlineStr">
        <is>
          <t>N/A</t>
        </is>
      </c>
      <c r="Z17" s="610" t="inlineStr">
        <is>
          <t>2024: 13 tasks with central funding estimate of CNY 254 million; 2023: 19 tasks with CNY 340 million. Enterprise-led projects require co-financing at a ratio of no less than 2:1 relative to central funding.</t>
        </is>
      </c>
      <c r="AA17" s="610" t="inlineStr">
        <is>
          <t>Firms; Governments</t>
        </is>
      </c>
      <c r="AB17" s="610"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C17" s="610" t="inlineStr">
        <is>
          <t>Research, development and deployment</t>
        </is>
      </c>
      <c r="AD17"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E17" s="610" t="inlineStr">
        <is>
          <t>2.54</t>
        </is>
      </c>
      <c r="AF17" s="610" t="inlineStr">
        <is>
          <t>CNY 100 million/year (2024 central funding estimate)</t>
        </is>
      </c>
      <c r="AG17" s="610"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H17" s="610"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I17" s="610" t="inlineStr">
        <is>
          <t>N/A</t>
        </is>
      </c>
      <c r="AJ17" s="610" t="inlineStr">
        <is>
          <t>N/A</t>
        </is>
      </c>
      <c r="AK17" s="610"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L17" s="610"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17" s="610" t="inlineStr">
        <is>
          <t>N/A</t>
        </is>
      </c>
      <c r="AN17" s="610" t="inlineStr">
        <is>
          <t>N/A</t>
        </is>
      </c>
      <c r="AO17" s="610" t="inlineStr">
        <is>
          <t>N/A</t>
        </is>
      </c>
      <c r="AP17" s="610" t="inlineStr">
        <is>
          <t>N/A</t>
        </is>
      </c>
      <c r="AQ17" s="610" t="inlineStr">
        <is>
          <t>N/A</t>
        </is>
      </c>
      <c r="AR17" s="610" t="inlineStr">
        <is>
          <t>2023 central funding estimate: CNY 340 million; 2024 central funding estimate: CNY 254 million; 2025 central funding estimate: CNY 20 million. Source: MOST 2023 call for proposals, NEA 2024 and 2025 calls for proposals.</t>
        </is>
      </c>
      <c r="AS17" s="610" t="inlineStr">
        <is>
          <t>N/A</t>
        </is>
      </c>
      <c r="AT17" s="610" t="inlineStr">
        <is>
          <t>N/A</t>
        </is>
      </c>
      <c r="AU17" s="610" t="inlineStr">
        <is>
          <t>C20; C24; C28; D35; G45; H49; M72</t>
        </is>
      </c>
      <c r="AV17" s="610" t="inlineStr">
        <is>
          <t>CO2</t>
        </is>
      </c>
      <c r="AW17" s="610" t="inlineStr">
        <is>
          <t>Positive</t>
        </is>
      </c>
      <c r="AX17" s="610" t="inlineStr">
        <is>
          <t>Technological innovation; Industrial development; Energy security; Pollution control</t>
        </is>
      </c>
      <c r="AY17" s="610"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AZ17" s="610" t="inlineStr">
        <is>
          <t>https://service.most.gov.cn</t>
        </is>
      </c>
      <c r="BA17" s="610" t="inlineStr">
        <is>
          <t>N/A</t>
        </is>
      </c>
      <c r="BB17" s="610" t="inlineStr"/>
    </row>
    <row r="18">
      <c r="A18" s="610" t="inlineStr">
        <is>
          <t>CHNPIVRDDI04S000</t>
        </is>
      </c>
      <c r="B18" s="610" t="inlineStr">
        <is>
          <t>Instrument</t>
        </is>
      </c>
      <c r="C18" s="610" t="inlineStr">
        <is>
          <t>Public investment</t>
        </is>
      </c>
      <c r="D18" s="610" t="inlineStr">
        <is>
          <t>Government-funded RD&amp;D programmes</t>
        </is>
      </c>
      <c r="E18" s="610" t="inlineStr">
        <is>
          <t>Energy</t>
        </is>
      </c>
      <c r="F18" s="610" t="inlineStr">
        <is>
          <t>Renewable energy generation (solar PV, wind power, biomass energy, etc.)</t>
        </is>
      </c>
      <c r="G18" s="610" t="inlineStr">
        <is>
          <t>可再生能源技术重点专项</t>
        </is>
      </c>
      <c r="H18" s="610" t="inlineStr">
        <is>
          <t>Renewable Energy Technology Key Special Project</t>
        </is>
      </c>
      <c r="I18" s="610" t="inlineStr">
        <is>
          <t>14th Five-Year Plan for Energy Sector Science and Technology Innovation; 14th Five-Year Plan for Renewable Energy Development</t>
        </is>
      </c>
      <c r="J18" s="610"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610" t="inlineStr">
        <is>
          <t>Climate change mitigation; Energy security; Industrial development; Technological innovation; Non-fossil energy</t>
        </is>
      </c>
      <c r="L18" s="610" t="inlineStr">
        <is>
          <t>Direct</t>
        </is>
      </c>
      <c r="M18" s="610" t="inlineStr">
        <is>
          <t>national</t>
        </is>
      </c>
      <c r="N18" s="610" t="inlineStr">
        <is>
          <t>N/A</t>
        </is>
      </c>
      <c r="O18" s="610" t="inlineStr">
        <is>
          <t>15/08/2024</t>
        </is>
      </c>
      <c r="P18" s="610" t="inlineStr">
        <is>
          <t>15/08/2024</t>
        </is>
      </c>
      <c r="Q18" s="610" t="inlineStr">
        <is>
          <t>N/A</t>
        </is>
      </c>
      <c r="R18" s="610" t="inlineStr">
        <is>
          <t>N/A</t>
        </is>
      </c>
      <c r="S18" s="610"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T18" s="610">
        <f>IF(P18="","In force",IF(P18="N/A","In force",IF(TODAY()&lt;DATE(VALUE(RIGHT(P18,4)),VALUE(MID(P18,4,2)),VALUE(LEFT(P18,2))),"Scheduled",IF(Q18="","In force",IF(Q18="N/A","In force",IF(TODAY()&lt;DATE(VALUE(RIGHT(Q18,4)),VALUE(MID(Q18,4,2)),VALUE(LEFT(Q18,2))),"In force","Ended"))))))</f>
        <v/>
      </c>
      <c r="U18" s="610" t="inlineStr">
        <is>
          <t>National Energy Administration (lead authority during the 14th FYP period); National Science and Technology Management Information System Public Service Platform (application and acceptance channel)</t>
        </is>
      </c>
      <c r="V18" s="610" t="inlineStr">
        <is>
          <t>Renewable energy technology R&amp;D outputs and demonstration facilities (solar PV cells, wind turbines, biomass fuel production facilities, etc.)</t>
        </is>
      </c>
      <c r="W18" s="610" t="inlineStr">
        <is>
          <t>New</t>
        </is>
      </c>
      <c r="X18" s="610"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Y18" s="610" t="inlineStr">
        <is>
          <t>N/A</t>
        </is>
      </c>
      <c r="Z18" s="610"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A18" s="610" t="inlineStr">
        <is>
          <t>Firms; Governments</t>
        </is>
      </c>
      <c r="AB18" s="610"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C18" s="610" t="inlineStr">
        <is>
          <t>Research, development and deployment</t>
        </is>
      </c>
      <c r="AD18"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E18" s="610" t="inlineStr">
        <is>
          <t>3.76</t>
        </is>
      </c>
      <c r="AF18" s="610" t="inlineStr">
        <is>
          <t>CNY 100 million/year (2024 central funding estimate)</t>
        </is>
      </c>
      <c r="AG18" s="610"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H18" s="610"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I18" s="610" t="inlineStr">
        <is>
          <t>N/A</t>
        </is>
      </c>
      <c r="AJ18" s="610" t="inlineStr">
        <is>
          <t>N/A</t>
        </is>
      </c>
      <c r="AK18" s="610" t="inlineStr">
        <is>
          <t>Yes. Generic key technology and application demonstration projects must provide co-financing at a ratio of no less than 1:1 relative to central funding. Basic research and Young Scientist projects are in principle not required to provide co-financing.</t>
        </is>
      </c>
      <c r="AL18" s="610"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M18" s="610" t="inlineStr">
        <is>
          <t>N/A</t>
        </is>
      </c>
      <c r="AN18" s="610" t="inlineStr">
        <is>
          <t>N/A</t>
        </is>
      </c>
      <c r="AO18" s="610" t="inlineStr">
        <is>
          <t>N/A</t>
        </is>
      </c>
      <c r="AP18" s="610" t="inlineStr">
        <is>
          <t>N/A</t>
        </is>
      </c>
      <c r="AQ18" s="610" t="inlineStr">
        <is>
          <t>N/A</t>
        </is>
      </c>
      <c r="AR18" s="610" t="inlineStr">
        <is>
          <t>2024 central funding estimate: CNY 376 million (21 guideline tasks). Source: NEA 2024 call for proposals (Guo Neng Fa Ke Ji [2024] No. 63).</t>
        </is>
      </c>
      <c r="AS18" s="610" t="inlineStr">
        <is>
          <t>N/A</t>
        </is>
      </c>
      <c r="AT18" s="610" t="inlineStr">
        <is>
          <t>N/A</t>
        </is>
      </c>
      <c r="AU18" s="610" t="inlineStr">
        <is>
          <t>D35; C28; C20</t>
        </is>
      </c>
      <c r="AV18" s="610" t="inlineStr">
        <is>
          <t>CO2</t>
        </is>
      </c>
      <c r="AW18" s="610" t="inlineStr">
        <is>
          <t>Positive</t>
        </is>
      </c>
      <c r="AX18" s="610" t="inlineStr">
        <is>
          <t>Technological innovation; Industrial development; Energy security; Pollution control</t>
        </is>
      </c>
      <c r="AY18" s="610" t="inlineStr">
        <is>
          <t>Notice of the National Energy Administration on Issuing the 2024 Call for Proposals for the National Key R&amp;D Programme Renewable Energy Technology Key Special Project (Guo Neng Fa Ke Ji [2024] No. 63)</t>
        </is>
      </c>
      <c r="AZ18" s="610" t="inlineStr">
        <is>
          <t>https://service.most.gov.cn</t>
        </is>
      </c>
      <c r="BA18" s="610" t="inlineStr">
        <is>
          <t>N/A</t>
        </is>
      </c>
      <c r="BB18" s="610" t="inlineStr"/>
    </row>
    <row r="19">
      <c r="A19" s="610" t="inlineStr">
        <is>
          <t>CHNPIVRDDI05S000</t>
        </is>
      </c>
      <c r="B19" s="610" t="inlineStr">
        <is>
          <t>Instrument</t>
        </is>
      </c>
      <c r="C19" s="610" t="inlineStr">
        <is>
          <t>Public investment</t>
        </is>
      </c>
      <c r="D19" s="610" t="inlineStr">
        <is>
          <t>Government-funded RD&amp;D programmes</t>
        </is>
      </c>
      <c r="E19" s="610" t="inlineStr">
        <is>
          <t>Energy</t>
        </is>
      </c>
      <c r="F19" s="610" t="inlineStr">
        <is>
          <t>Energy storage and smart grid technologies</t>
        </is>
      </c>
      <c r="G19" s="610" t="inlineStr">
        <is>
          <t>储能与智能电网技术重点专项</t>
        </is>
      </c>
      <c r="H19" s="610" t="inlineStr">
        <is>
          <t>Energy Storage and Smart Grid Technology Key Special Project</t>
        </is>
      </c>
      <c r="I19" s="610" t="inlineStr">
        <is>
          <t>14th Five-Year Plan for Energy Sector Science and Technology Innovation; 14th Five-Year Plan for New-Type Energy Storage Development Implementation Plan</t>
        </is>
      </c>
      <c r="J19" s="610"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610" t="inlineStr">
        <is>
          <t>Climate change mitigation; Energy security; Technological innovation</t>
        </is>
      </c>
      <c r="L19" s="610" t="inlineStr">
        <is>
          <t>Indirect</t>
        </is>
      </c>
      <c r="M19" s="610" t="inlineStr">
        <is>
          <t>national</t>
        </is>
      </c>
      <c r="N19" s="610" t="inlineStr">
        <is>
          <t>N/A</t>
        </is>
      </c>
      <c r="O19" s="610" t="inlineStr">
        <is>
          <t>02/02/2021</t>
        </is>
      </c>
      <c r="P19" s="610" t="inlineStr">
        <is>
          <t>02/02/2021</t>
        </is>
      </c>
      <c r="Q19" s="610" t="inlineStr">
        <is>
          <t>N/A</t>
        </is>
      </c>
      <c r="R19" s="610" t="inlineStr">
        <is>
          <t>N/A</t>
        </is>
      </c>
      <c r="S19" s="610"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T19" s="610">
        <f>IF(P19="","In force",IF(P19="N/A","In force",IF(TODAY()&lt;DATE(VALUE(RIGHT(P19,4)),VALUE(MID(P19,4,2)),VALUE(LEFT(P19,2))),"Scheduled",IF(Q19="","In force",IF(Q19="N/A","In force",IF(TODAY()&lt;DATE(VALUE(RIGHT(Q19,4)),VALUE(MID(Q19,4,2)),VALUE(LEFT(Q19,2))),"In force","Ended"))))))</f>
        <v/>
      </c>
      <c r="U19" s="610"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V19" s="610" t="inlineStr">
        <is>
          <t>Energy storage technology R&amp;D outputs and demonstration facilities (Li-ion battery storage, flow batteries, compressed air energy storage, supercapacitors, solid-state batteries, etc.); Smart grid technology R&amp;D outputs and demonstration facilities</t>
        </is>
      </c>
      <c r="W19" s="610" t="inlineStr">
        <is>
          <t>New</t>
        </is>
      </c>
      <c r="X19" s="610"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Y19" s="610" t="inlineStr">
        <is>
          <t>N/A</t>
        </is>
      </c>
      <c r="Z19" s="610"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A19" s="610" t="inlineStr">
        <is>
          <t>Firms; Governments</t>
        </is>
      </c>
      <c r="AB19" s="610"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C19" s="610" t="inlineStr">
        <is>
          <t>Research, development and deployment</t>
        </is>
      </c>
      <c r="AD19"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E19" s="610" t="inlineStr">
        <is>
          <t>N/A</t>
        </is>
      </c>
      <c r="AF19" s="610" t="inlineStr">
        <is>
          <t>N/A</t>
        </is>
      </c>
      <c r="AG19" s="610"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H19" s="610"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I19" s="610" t="inlineStr">
        <is>
          <t>N/A</t>
        </is>
      </c>
      <c r="AJ19" s="610" t="inlineStr">
        <is>
          <t>N/A</t>
        </is>
      </c>
      <c r="AK19" s="610"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L19" s="610"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19" s="610" t="inlineStr">
        <is>
          <t>N/A</t>
        </is>
      </c>
      <c r="AN19" s="610" t="inlineStr">
        <is>
          <t>N/A</t>
        </is>
      </c>
      <c r="AO19" s="610" t="inlineStr">
        <is>
          <t>N/A</t>
        </is>
      </c>
      <c r="AP19" s="610" t="inlineStr">
        <is>
          <t>N/A</t>
        </is>
      </c>
      <c r="AQ19" s="610" t="inlineStr">
        <is>
          <t>N/A</t>
        </is>
      </c>
      <c r="AR19" s="610" t="inlineStr">
        <is>
          <t>2021 central funding estimate: CNY 667 million. 2024 funding not publicly disclosed. Source: MOST 2021 call for proposals.</t>
        </is>
      </c>
      <c r="AS19" s="610" t="inlineStr">
        <is>
          <t>N/A</t>
        </is>
      </c>
      <c r="AT19" s="610" t="inlineStr">
        <is>
          <t>N/A</t>
        </is>
      </c>
      <c r="AU19" s="610" t="inlineStr">
        <is>
          <t>D35; C28; C27; C26; M72; J62; J63</t>
        </is>
      </c>
      <c r="AV19" s="610" t="inlineStr">
        <is>
          <t>CO2</t>
        </is>
      </c>
      <c r="AW19" s="610" t="inlineStr">
        <is>
          <t>Positive</t>
        </is>
      </c>
      <c r="AX19" s="610" t="inlineStr">
        <is>
          <t>Technological innovation; Energy security; Industrial development</t>
        </is>
      </c>
      <c r="AY19" s="610"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AZ19" s="610" t="inlineStr">
        <is>
          <t>https://service.most.gov.cn</t>
        </is>
      </c>
      <c r="BA19" s="610" t="inlineStr">
        <is>
          <t>N/A</t>
        </is>
      </c>
      <c r="BB19" s="610" t="inlineStr"/>
    </row>
    <row r="20">
      <c r="A20" s="610" t="inlineStr">
        <is>
          <t>CHNPIVRDDI06S000</t>
        </is>
      </c>
      <c r="B20" s="610" t="inlineStr">
        <is>
          <t>Instrument</t>
        </is>
      </c>
      <c r="C20" s="610" t="inlineStr">
        <is>
          <t>Public investment</t>
        </is>
      </c>
      <c r="D20" s="610" t="inlineStr">
        <is>
          <t>Government-funded RD&amp;D programmes</t>
        </is>
      </c>
      <c r="E20" s="610" t="inlineStr">
        <is>
          <t>Industry; Buildings</t>
        </is>
      </c>
      <c r="F20" s="610" t="inlineStr">
        <is>
          <t>Circular economy (solid waste resource utilisation, cleaner production, eco-design, green supply chains, etc.)</t>
        </is>
      </c>
      <c r="G20" s="610" t="inlineStr">
        <is>
          <t>循环经济关键技术与装备重点专项</t>
        </is>
      </c>
      <c r="H20" s="610" t="inlineStr">
        <is>
          <t>Circular Economy Key Technologies and Equipment Key Special Project</t>
        </is>
      </c>
      <c r="I20" s="610" t="inlineStr">
        <is>
          <t>14th Five-Year Plan for Circular Economy Development; 14th Five-Year Plan for Ecological and Environmental Science and Technology Innovation</t>
        </is>
      </c>
      <c r="J20" s="610"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610" t="inlineStr">
        <is>
          <t>Pollution control; Climate change mitigation; Circular economy; Industrial development; Technological innovation</t>
        </is>
      </c>
      <c r="L20" s="610" t="inlineStr">
        <is>
          <t>Indirect</t>
        </is>
      </c>
      <c r="M20" s="610" t="inlineStr">
        <is>
          <t>national</t>
        </is>
      </c>
      <c r="N20" s="610" t="inlineStr">
        <is>
          <t>N/A</t>
        </is>
      </c>
      <c r="O20" s="610" t="inlineStr">
        <is>
          <t>01/01/2022</t>
        </is>
      </c>
      <c r="P20" s="610" t="inlineStr">
        <is>
          <t>01/01/2022</t>
        </is>
      </c>
      <c r="Q20" s="610" t="inlineStr">
        <is>
          <t>31/12/2026</t>
        </is>
      </c>
      <c r="R20" s="610" t="inlineStr">
        <is>
          <t>N/A</t>
        </is>
      </c>
      <c r="S20" s="610"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T20" s="610">
        <f>IF(P20="","In force",IF(P20="N/A","In force",IF(TODAY()&lt;DATE(VALUE(RIGHT(P20,4)),VALUE(MID(P20,4,2)),VALUE(LEFT(P20,2))),"Scheduled",IF(Q20="","In force",IF(Q20="N/A","In force",IF(TODAY()&lt;DATE(VALUE(RIGHT(Q20,4)),VALUE(MID(Q20,4,2)),VALUE(LEFT(Q20,2))),"In force","Ended"))))))</f>
        <v/>
      </c>
      <c r="U20" s="610"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V20" s="610" t="inlineStr">
        <is>
          <t>Circular economy technology R&amp;D outputs and demonstration facilities (solid waste resource utilisation equipment, cleaner production processes, waste material intelligent dismantling equipment, green product design tools/databases, etc.)</t>
        </is>
      </c>
      <c r="W20" s="610" t="inlineStr">
        <is>
          <t>New</t>
        </is>
      </c>
      <c r="X20" s="610"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Y20" s="610" t="inlineStr">
        <is>
          <t>N/A</t>
        </is>
      </c>
      <c r="Z20" s="610"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A20" s="610" t="inlineStr">
        <is>
          <t>Firms; Governments</t>
        </is>
      </c>
      <c r="AB20" s="610"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C20" s="610" t="inlineStr">
        <is>
          <t>Research, development and deployment</t>
        </is>
      </c>
      <c r="AD20"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E20" s="610" t="inlineStr">
        <is>
          <t>4.38</t>
        </is>
      </c>
      <c r="AF20" s="610" t="inlineStr">
        <is>
          <t>CNY 100 million/year (2024 central fiscal funding estimate)</t>
        </is>
      </c>
      <c r="AG20" s="610"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H20" s="610"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I20" s="610" t="inlineStr">
        <is>
          <t>N/A</t>
        </is>
      </c>
      <c r="AJ20" s="610" t="inlineStr">
        <is>
          <t>N/A</t>
        </is>
      </c>
      <c r="AK20" s="610"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L20" s="610"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20" s="610" t="inlineStr">
        <is>
          <t>N/A</t>
        </is>
      </c>
      <c r="AN20" s="610" t="inlineStr">
        <is>
          <t>N/A</t>
        </is>
      </c>
      <c r="AO20" s="610" t="inlineStr">
        <is>
          <t>N/A</t>
        </is>
      </c>
      <c r="AP20" s="610" t="inlineStr">
        <is>
          <t>N/A</t>
        </is>
      </c>
      <c r="AQ20" s="610" t="inlineStr">
        <is>
          <t>N/A</t>
        </is>
      </c>
      <c r="AR20" s="610" t="inlineStr">
        <is>
          <t>2024 central fiscal funding estimate: CNY 438 million (28 research tasks). 2022: first batch of approximately 30 projects with central funding of approximately CNY 600 million. Source: MEE 2022 and 2024 calls for proposals (Huan Ke Cai Han [2024] No. 55).</t>
        </is>
      </c>
      <c r="AS20" s="610" t="inlineStr">
        <is>
          <t>N/A</t>
        </is>
      </c>
      <c r="AT20" s="610" t="inlineStr">
        <is>
          <t>N/A</t>
        </is>
      </c>
      <c r="AU20" s="610" t="inlineStr">
        <is>
          <t>C24; C20; C19; C28; E38; F41; F42; M72</t>
        </is>
      </c>
      <c r="AV20" s="610" t="inlineStr">
        <is>
          <t>CO2</t>
        </is>
      </c>
      <c r="AW20" s="610" t="inlineStr">
        <is>
          <t>Positive</t>
        </is>
      </c>
      <c r="AX20" s="610" t="inlineStr">
        <is>
          <t>Pollution control; Resource conservation; Industrial development; Technological innovation</t>
        </is>
      </c>
      <c r="AY20" s="610"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AZ20" s="610" t="inlineStr">
        <is>
          <t>https://service.most.gov.cn</t>
        </is>
      </c>
      <c r="BA20" s="610" t="inlineStr">
        <is>
          <t>https://www.acca21.org.cn</t>
        </is>
      </c>
      <c r="BB20" s="610" t="inlineStr"/>
    </row>
    <row r="21">
      <c r="A21" s="610" t="inlineStr">
        <is>
          <t>CHNPARSEAI01S000</t>
        </is>
      </c>
      <c r="B21" s="610" t="inlineStr">
        <is>
          <t>Instrument</t>
        </is>
      </c>
      <c r="C21" s="610" t="inlineStr">
        <is>
          <t>Public appraisal rules</t>
        </is>
      </c>
      <c r="D21" s="610" t="inlineStr">
        <is>
          <t>Strategic environmental assessment</t>
        </is>
      </c>
      <c r="E21" s="610" t="inlineStr">
        <is>
          <t>Cross-sectoral</t>
        </is>
      </c>
      <c r="F21" s="610" t="inlineStr">
        <is>
          <t>Land-use planning; Regional, river basin and sea area development and utilisation planning; Industry; Agriculture; Animal husbandry; Forestry; Energy; Water conservancy; Transport; Urban construction; Tourism; Natural resource development; Special planning</t>
        </is>
      </c>
      <c r="G21" s="610" t="inlineStr">
        <is>
          <t>规划环境影响评价</t>
        </is>
      </c>
      <c r="H21" s="610" t="inlineStr">
        <is>
          <t>Planning Environmental Impact Assessment</t>
        </is>
      </c>
      <c r="I21" s="610" t="inlineStr">
        <is>
          <t>Environmental Impact Assessment Law of the People's Republic of China (2002, amended 2016 and 2018)</t>
        </is>
      </c>
      <c r="J21" s="610"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610" t="inlineStr">
        <is>
          <t>Pollution control; Ecological protection</t>
        </is>
      </c>
      <c r="L21" s="610" t="inlineStr">
        <is>
          <t>Indirect</t>
        </is>
      </c>
      <c r="M21" s="610" t="inlineStr">
        <is>
          <t>national</t>
        </is>
      </c>
      <c r="N21" s="610" t="inlineStr">
        <is>
          <t>N/A</t>
        </is>
      </c>
      <c r="O21" s="610" t="inlineStr">
        <is>
          <t>28/10/2002</t>
        </is>
      </c>
      <c r="P21" s="610" t="inlineStr">
        <is>
          <t>01/09/2003</t>
        </is>
      </c>
      <c r="Q21" s="610" t="inlineStr">
        <is>
          <t>N/A</t>
        </is>
      </c>
      <c r="R21" s="610" t="inlineStr">
        <is>
          <t>29/12/2018</t>
        </is>
      </c>
      <c r="S21" s="610"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T21" s="610">
        <f>IF(P21="","In force",IF(P21="N/A","In force",IF(TODAY()&lt;DATE(VALUE(RIGHT(P21,4)),VALUE(MID(P21,4,2)),VALUE(LEFT(P21,2))),"Scheduled",IF(Q21="","In force",IF(Q21="N/A","In force",IF(TODAY()&lt;DATE(VALUE(RIGHT(Q21,4)),VALUE(MID(Q21,4,2)),VALUE(LEFT(Q21,2))),"In force","Ended"))))))</f>
        <v/>
      </c>
      <c r="U21" s="610"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V21" s="610" t="inlineStr">
        <is>
          <t>Land-use plans; Regional, river basin and sea area development and utilisation plans; Special plans for industry, agriculture, energy, transport and other sectors; Construction projects</t>
        </is>
      </c>
      <c r="W21" s="610" t="inlineStr">
        <is>
          <t>New</t>
        </is>
      </c>
      <c r="X21" s="610"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Y21" s="610" t="inlineStr">
        <is>
          <t>N/A</t>
        </is>
      </c>
      <c r="Z21" s="610"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A21" s="610" t="inlineStr">
        <is>
          <t>Governments</t>
        </is>
      </c>
      <c r="AB21" s="610"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C21" s="610" t="inlineStr">
        <is>
          <t>Plan formulation and approval process</t>
        </is>
      </c>
      <c r="AD21" s="610"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E21" s="610" t="inlineStr">
        <is>
          <t>N/A</t>
        </is>
      </c>
      <c r="AF21" s="610" t="inlineStr">
        <is>
          <t>N/A</t>
        </is>
      </c>
      <c r="AG21" s="610" t="inlineStr">
        <is>
          <t>N/A</t>
        </is>
      </c>
      <c r="AH21" s="610"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I21" s="610" t="inlineStr">
        <is>
          <t>N/A</t>
        </is>
      </c>
      <c r="AJ21" s="610" t="inlineStr">
        <is>
          <t>N/A</t>
        </is>
      </c>
      <c r="AK21" s="610" t="inlineStr">
        <is>
          <t>N/A</t>
        </is>
      </c>
      <c r="AL21" s="610" t="inlineStr">
        <is>
          <t>N/A</t>
        </is>
      </c>
      <c r="AM21" s="610" t="inlineStr">
        <is>
          <t>N/A</t>
        </is>
      </c>
      <c r="AN21" s="610" t="inlineStr">
        <is>
          <t>N/A</t>
        </is>
      </c>
      <c r="AO21" s="610" t="inlineStr">
        <is>
          <t>N/A</t>
        </is>
      </c>
      <c r="AP21" s="610" t="inlineStr">
        <is>
          <t>N/A</t>
        </is>
      </c>
      <c r="AQ21" s="610" t="inlineStr">
        <is>
          <t>N/A</t>
        </is>
      </c>
      <c r="AR21" s="610" t="inlineStr">
        <is>
          <t>N/A</t>
        </is>
      </c>
      <c r="AS21" s="610" t="inlineStr">
        <is>
          <t>N/A</t>
        </is>
      </c>
      <c r="AT21" s="610" t="inlineStr">
        <is>
          <t>N/A</t>
        </is>
      </c>
      <c r="AU21" s="610" t="inlineStr">
        <is>
          <t>M72; N77; O84</t>
        </is>
      </c>
      <c r="AV21" s="610" t="inlineStr">
        <is>
          <t>CO2; CH4; N2O</t>
        </is>
      </c>
      <c r="AW21" s="610" t="inlineStr">
        <is>
          <t>Positive</t>
        </is>
      </c>
      <c r="AX21" s="610" t="inlineStr">
        <is>
          <t>Pollution control; Ecological protection; Resource conservation; Public health</t>
        </is>
      </c>
      <c r="AY21" s="610"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AZ21" s="610" t="inlineStr">
        <is>
          <t>https://www.gov.cn/zhengce/content/2009-08/21/content_4815.htm</t>
        </is>
      </c>
      <c r="BA21" s="610" t="inlineStr">
        <is>
          <t>http://www.npc.gov.cn/npc/c1773/c2518/2019zhhbsjx/sjxflfg/201906/t20190628_298339.html</t>
        </is>
      </c>
      <c r="BB21" s="610" t="inlineStr"/>
    </row>
    <row r="22">
      <c r="A22" s="610" t="inlineStr">
        <is>
          <t>CHNPARECRI01S000</t>
        </is>
      </c>
      <c r="B22" s="610" t="inlineStr">
        <is>
          <t>Instrument</t>
        </is>
      </c>
      <c r="C22" s="610" t="inlineStr">
        <is>
          <t>Public appraisal rules</t>
        </is>
      </c>
      <c r="D22" s="610" t="inlineStr">
        <is>
          <t>Energy and carbon review for investment projects</t>
        </is>
      </c>
      <c r="E22" s="610" t="inlineStr">
        <is>
          <t>Cross-sectoral</t>
        </is>
      </c>
      <c r="F22" s="610" t="inlineStr">
        <is>
          <t>N/A</t>
        </is>
      </c>
      <c r="G22" s="610" t="inlineStr">
        <is>
          <t>固定资产投资项目节能及碳排放评估制度</t>
        </is>
      </c>
      <c r="H22" s="610" t="inlineStr">
        <is>
          <t>Energy and Carbon Emission Assessment System for Fixed-Asset Investment Projects</t>
        </is>
      </c>
      <c r="I22" s="610" t="inlineStr">
        <is>
          <t>Opinions on Accelerating the Establishment of a Dual Carbon Emission Control System (Guo Ban Fa [2024] No. 39)</t>
        </is>
      </c>
      <c r="J22" s="610"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610" t="inlineStr">
        <is>
          <t>Climate change mitigation; Energy efficiency; Energy security</t>
        </is>
      </c>
      <c r="L22" s="610" t="inlineStr">
        <is>
          <t>Direct</t>
        </is>
      </c>
      <c r="M22" s="610" t="inlineStr">
        <is>
          <t>national</t>
        </is>
      </c>
      <c r="N22" s="610" t="inlineStr">
        <is>
          <t>N/A</t>
        </is>
      </c>
      <c r="O22" s="610" t="inlineStr">
        <is>
          <t>17/09/2010</t>
        </is>
      </c>
      <c r="P22" s="610" t="inlineStr">
        <is>
          <t>01/11/2010</t>
        </is>
      </c>
      <c r="Q22" s="610" t="inlineStr">
        <is>
          <t>N/A</t>
        </is>
      </c>
      <c r="R22" s="610" t="inlineStr">
        <is>
          <t>17/07/2025</t>
        </is>
      </c>
      <c r="S22" s="610"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T22" s="610">
        <f>IF(P22="","In force",IF(P22="N/A","In force",IF(TODAY()&lt;DATE(VALUE(RIGHT(P22,4)),VALUE(MID(P22,4,2)),VALUE(LEFT(P22,2))),"Scheduled",IF(Q22="","In force",IF(Q22="N/A","In force",IF(TODAY()&lt;DATE(VALUE(RIGHT(Q22,4)),VALUE(MID(Q22,4,2)),VALUE(LEFT(Q22,2))),"In force","Ended"))))))</f>
        <v/>
      </c>
      <c r="U22" s="610"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V22" s="610" t="inlineStr">
        <is>
          <t>Fixed-asset investment projects (new construction, renovation, expansion, technological transformation)</t>
        </is>
      </c>
      <c r="W22" s="610" t="inlineStr">
        <is>
          <t>New; Existing</t>
        </is>
      </c>
      <c r="X22" s="610"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Y22" s="610" t="inlineStr">
        <is>
          <t>N/A</t>
        </is>
      </c>
      <c r="Z22" s="610" t="inlineStr">
        <is>
          <t>N/A</t>
        </is>
      </c>
      <c r="AA22" s="610" t="inlineStr">
        <is>
          <t>Firms</t>
        </is>
      </c>
      <c r="AB22" s="610"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C22" s="610" t="inlineStr">
        <is>
          <t>Energy conservation review; Carbon emission assessment; Completion acceptance; Supervision and inspection</t>
        </is>
      </c>
      <c r="AD22" s="610"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E22" s="610" t="inlineStr">
        <is>
          <t>N/A</t>
        </is>
      </c>
      <c r="AF22" s="610" t="inlineStr">
        <is>
          <t>N/A</t>
        </is>
      </c>
      <c r="AG22" s="610" t="inlineStr">
        <is>
          <t>N/A</t>
        </is>
      </c>
      <c r="AH22" s="610"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I22" s="610" t="inlineStr">
        <is>
          <t>N/A</t>
        </is>
      </c>
      <c r="AJ22" s="610" t="inlineStr">
        <is>
          <t>N/A</t>
        </is>
      </c>
      <c r="AK22" s="610" t="inlineStr">
        <is>
          <t>N/A</t>
        </is>
      </c>
      <c r="AL22" s="610" t="inlineStr">
        <is>
          <t>N/A</t>
        </is>
      </c>
      <c r="AM22" s="610" t="inlineStr">
        <is>
          <t>N/A</t>
        </is>
      </c>
      <c r="AN22" s="610" t="inlineStr">
        <is>
          <t>N/A</t>
        </is>
      </c>
      <c r="AO22" s="610" t="inlineStr">
        <is>
          <t>N/A</t>
        </is>
      </c>
      <c r="AP22" s="610" t="inlineStr">
        <is>
          <t>N/A</t>
        </is>
      </c>
      <c r="AQ22" s="610" t="inlineStr">
        <is>
          <t>N/A</t>
        </is>
      </c>
      <c r="AR22" s="610" t="inlineStr">
        <is>
          <t>N/A</t>
        </is>
      </c>
      <c r="AS22" s="610" t="inlineStr">
        <is>
          <t>N/A</t>
        </is>
      </c>
      <c r="AT22" s="610" t="inlineStr">
        <is>
          <t>N/A</t>
        </is>
      </c>
      <c r="AU22" s="610" t="inlineStr">
        <is>
          <t>O84</t>
        </is>
      </c>
      <c r="AV22" s="610" t="inlineStr">
        <is>
          <t>CO2</t>
        </is>
      </c>
      <c r="AW22" s="610" t="inlineStr">
        <is>
          <t>Positive</t>
        </is>
      </c>
      <c r="AX22" s="610" t="inlineStr">
        <is>
          <t>Energy conservation; Energy security; Industrial development</t>
        </is>
      </c>
      <c r="AY22" s="610" t="inlineStr">
        <is>
          <t>Measures for Energy Conservation and Carbon Emission Assessment of Fixed-Asset Investment Projects (National Development and Reform Commission Order No. 31, promulgated 17 July 2025, effective 1 September 2025)</t>
        </is>
      </c>
      <c r="AZ22" s="610" t="inlineStr">
        <is>
          <t>https://www.gov.cn/gongbao/2025/issue_12246/202508/content_7038015.html</t>
        </is>
      </c>
      <c r="BA22" s="610" t="inlineStr">
        <is>
          <t>https://www.ndrc.gov.cn/fzggw/jgsj/hzs/sjdt/201009/t20100921_1131153.html</t>
        </is>
      </c>
      <c r="BB22" s="610" t="inlineStr"/>
    </row>
    <row r="23">
      <c r="A23" s="610" t="inlineStr">
        <is>
          <t>CHNPARECAI01S000</t>
        </is>
      </c>
      <c r="B23" s="610" t="inlineStr">
        <is>
          <t>Instrument</t>
        </is>
      </c>
      <c r="C23" s="610" t="inlineStr">
        <is>
          <t>Public appraisal rules</t>
        </is>
      </c>
      <c r="D23" s="610" t="inlineStr">
        <is>
          <t>Environmental compliance audit</t>
        </is>
      </c>
      <c r="E23" s="610" t="inlineStr">
        <is>
          <t>Industry</t>
        </is>
      </c>
      <c r="F23" s="610" t="inlineStr">
        <is>
          <t>N/A</t>
        </is>
      </c>
      <c r="G23" s="610" t="inlineStr">
        <is>
          <t>清洁生产审核制度</t>
        </is>
      </c>
      <c r="H23" s="610" t="inlineStr">
        <is>
          <t>Environmental Compliance Audit System</t>
        </is>
      </c>
      <c r="I23" s="610" t="inlineStr">
        <is>
          <t>14th Five-Year Plan for National Cleaner Production Implementation Programme (Huan Ke Han [2021] No. 1524)</t>
        </is>
      </c>
      <c r="J23" s="610"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610" t="inlineStr">
        <is>
          <t>Pollution control; Circular economy</t>
        </is>
      </c>
      <c r="L23" s="610" t="inlineStr">
        <is>
          <t>Indirect</t>
        </is>
      </c>
      <c r="M23" s="610" t="inlineStr">
        <is>
          <t>national</t>
        </is>
      </c>
      <c r="N23" s="610" t="inlineStr">
        <is>
          <t>N/A</t>
        </is>
      </c>
      <c r="O23" s="610" t="inlineStr">
        <is>
          <t>29/06/2002</t>
        </is>
      </c>
      <c r="P23" s="610" t="inlineStr">
        <is>
          <t>01/01/2003</t>
        </is>
      </c>
      <c r="Q23" s="610" t="inlineStr">
        <is>
          <t>N/A</t>
        </is>
      </c>
      <c r="R23" s="610" t="inlineStr">
        <is>
          <t>01/07/2016</t>
        </is>
      </c>
      <c r="S23" s="610"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T23" s="610">
        <f>IF(P23="","In force",IF(P23="N/A","In force",IF(TODAY()&lt;DATE(VALUE(RIGHT(P23,4)),VALUE(MID(P23,4,2)),VALUE(LEFT(P23,2))),"Scheduled",IF(Q23="","In force",IF(Q23="N/A","In force",IF(TODAY()&lt;DATE(VALUE(RIGHT(Q23,4)),VALUE(MID(Q23,4,2)),VALUE(LEFT(Q23,2))),"In force","Ended"))))))</f>
        <v/>
      </c>
      <c r="U23" s="610"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V23" s="610" t="inlineStr">
        <is>
          <t>Industrial enterprises, production facilities and processes (covering enterprises subject to mandatory audits and enterprises that voluntarily undertake audits)</t>
        </is>
      </c>
      <c r="W23" s="610" t="inlineStr">
        <is>
          <t>Existing</t>
        </is>
      </c>
      <c r="X23" s="610"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Y23" s="610" t="inlineStr">
        <is>
          <t>N/A</t>
        </is>
      </c>
      <c r="Z23" s="610" t="inlineStr">
        <is>
          <t>N/A</t>
        </is>
      </c>
      <c r="AA23" s="610" t="inlineStr">
        <is>
          <t>Firms</t>
        </is>
      </c>
      <c r="AB23" s="610"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C23" s="610" t="inlineStr">
        <is>
          <t>Cleaner production audit; Audit proposal implementation; Information disclosure; Effectiveness verification</t>
        </is>
      </c>
      <c r="AD23" s="610"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E23" s="610" t="inlineStr">
        <is>
          <t>N/A</t>
        </is>
      </c>
      <c r="AF23" s="610" t="inlineStr">
        <is>
          <t>N/A</t>
        </is>
      </c>
      <c r="AG23" s="610" t="inlineStr">
        <is>
          <t>N/A</t>
        </is>
      </c>
      <c r="AH23" s="610"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I23" s="610" t="inlineStr">
        <is>
          <t>N/A</t>
        </is>
      </c>
      <c r="AJ23" s="610" t="inlineStr">
        <is>
          <t>N/A</t>
        </is>
      </c>
      <c r="AK23" s="610" t="inlineStr">
        <is>
          <t>N/A</t>
        </is>
      </c>
      <c r="AL23" s="610" t="inlineStr">
        <is>
          <t>N/A</t>
        </is>
      </c>
      <c r="AM23" s="610" t="inlineStr">
        <is>
          <t>N/A</t>
        </is>
      </c>
      <c r="AN23" s="610" t="inlineStr">
        <is>
          <t>N/A</t>
        </is>
      </c>
      <c r="AO23" s="610" t="inlineStr">
        <is>
          <t>N/A</t>
        </is>
      </c>
      <c r="AP23" s="610" t="inlineStr">
        <is>
          <t>N/A</t>
        </is>
      </c>
      <c r="AQ23" s="610" t="inlineStr">
        <is>
          <t>N/A</t>
        </is>
      </c>
      <c r="AR23" s="610" t="inlineStr">
        <is>
          <t>N/A</t>
        </is>
      </c>
      <c r="AS23" s="610" t="inlineStr">
        <is>
          <t>N/A</t>
        </is>
      </c>
      <c r="AT23" s="610" t="inlineStr">
        <is>
          <t>N/A</t>
        </is>
      </c>
      <c r="AU23" s="610" t="inlineStr">
        <is>
          <t>O84</t>
        </is>
      </c>
      <c r="AV23" s="610" t="inlineStr">
        <is>
          <t>CO2</t>
        </is>
      </c>
      <c r="AW23" s="610" t="inlineStr">
        <is>
          <t>Positive</t>
        </is>
      </c>
      <c r="AX23" s="610" t="inlineStr">
        <is>
          <t>Pollution control; Resource conservation; Energy conservation</t>
        </is>
      </c>
      <c r="AY23" s="610"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AZ23" s="610" t="inlineStr">
        <is>
          <t>https://www.gov.cn/gongbao/content/2016/content_5100040.htm</t>
        </is>
      </c>
      <c r="BA23" s="610" t="inlineStr">
        <is>
          <t>https://www.gov.cn/gongbao/content/2002/content_61640.htm</t>
        </is>
      </c>
      <c r="BB23" s="610" t="inlineStr"/>
    </row>
    <row r="24">
      <c r="A24" s="610" t="inlineStr">
        <is>
          <t>CHNPAREIAI01S000</t>
        </is>
      </c>
      <c r="B24" s="610" t="inlineStr">
        <is>
          <t>Instrument</t>
        </is>
      </c>
      <c r="C24" s="610" t="inlineStr">
        <is>
          <t>Public appraisal rules</t>
        </is>
      </c>
      <c r="D24" s="610" t="inlineStr">
        <is>
          <t>Environmental impact assessment</t>
        </is>
      </c>
      <c r="E24" s="610" t="inlineStr">
        <is>
          <t>Cross-sectoral</t>
        </is>
      </c>
      <c r="F24" s="610" t="inlineStr">
        <is>
          <t>N/A</t>
        </is>
      </c>
      <c r="G24" s="610" t="inlineStr">
        <is>
          <t>建设项目环境影响评价制度</t>
        </is>
      </c>
      <c r="H24" s="610" t="inlineStr">
        <is>
          <t>Environmental Impact Assessment System for Construction Projects</t>
        </is>
      </c>
      <c r="I24" s="610" t="inlineStr">
        <is>
          <t>Environmental Impact Assessment Law of the People's Republic of China (2002, amended 2016, 2018)</t>
        </is>
      </c>
      <c r="J24" s="610"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610" t="inlineStr">
        <is>
          <t>Pollution control; Ecological protection</t>
        </is>
      </c>
      <c r="L24" s="610" t="inlineStr">
        <is>
          <t>Indirect</t>
        </is>
      </c>
      <c r="M24" s="610" t="inlineStr">
        <is>
          <t>national</t>
        </is>
      </c>
      <c r="N24" s="610" t="inlineStr">
        <is>
          <t>N/A</t>
        </is>
      </c>
      <c r="O24" s="610" t="inlineStr">
        <is>
          <t>28/10/2002</t>
        </is>
      </c>
      <c r="P24" s="610" t="inlineStr">
        <is>
          <t>01/09/2003</t>
        </is>
      </c>
      <c r="Q24" s="610" t="inlineStr">
        <is>
          <t>N/A</t>
        </is>
      </c>
      <c r="R24" s="610" t="inlineStr">
        <is>
          <t>29/12/2018</t>
        </is>
      </c>
      <c r="S24" s="610"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T24" s="610">
        <f>IF(P24="","In force",IF(P24="N/A","In force",IF(TODAY()&lt;DATE(VALUE(RIGHT(P24,4)),VALUE(MID(P24,4,2)),VALUE(LEFT(P24,2))),"Scheduled",IF(Q24="","In force",IF(Q24="N/A","In force",IF(TODAY()&lt;DATE(VALUE(RIGHT(Q24,4)),VALUE(MID(Q24,4,2)),VALUE(LEFT(Q24,2))),"In force","Ended"))))))</f>
        <v/>
      </c>
      <c r="U24" s="610"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V24" s="610" t="inlineStr">
        <is>
          <t>Construction projects — classified into three tiers by environmental impact: environmental impact reports, environmental impact statements, and registration forms</t>
        </is>
      </c>
      <c r="W24" s="610" t="inlineStr">
        <is>
          <t>New</t>
        </is>
      </c>
      <c r="X24" s="610"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Y24" s="610" t="inlineStr">
        <is>
          <t>N/A</t>
        </is>
      </c>
      <c r="Z24" s="610" t="inlineStr">
        <is>
          <t>N/A</t>
        </is>
      </c>
      <c r="AA24" s="610" t="inlineStr">
        <is>
          <t>Firms</t>
        </is>
      </c>
      <c r="AB24" s="610"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C24" s="610" t="inlineStr">
        <is>
          <t>Environmental impact report review; Follow-up inspection; Environmental impact post-assessment</t>
        </is>
      </c>
      <c r="AD24" s="610"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E24" s="610" t="inlineStr">
        <is>
          <t>N/A</t>
        </is>
      </c>
      <c r="AF24" s="610" t="inlineStr">
        <is>
          <t>N/A</t>
        </is>
      </c>
      <c r="AG24" s="610" t="inlineStr">
        <is>
          <t>N/A</t>
        </is>
      </c>
      <c r="AH24" s="610"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I24" s="610" t="inlineStr">
        <is>
          <t>N/A</t>
        </is>
      </c>
      <c r="AJ24" s="610" t="inlineStr">
        <is>
          <t>N/A</t>
        </is>
      </c>
      <c r="AK24" s="610" t="inlineStr">
        <is>
          <t>N/A</t>
        </is>
      </c>
      <c r="AL24" s="610" t="inlineStr">
        <is>
          <t>N/A</t>
        </is>
      </c>
      <c r="AM24" s="610" t="inlineStr">
        <is>
          <t>N/A</t>
        </is>
      </c>
      <c r="AN24" s="610" t="inlineStr">
        <is>
          <t>N/A</t>
        </is>
      </c>
      <c r="AO24" s="610" t="inlineStr">
        <is>
          <t>N/A</t>
        </is>
      </c>
      <c r="AP24" s="610" t="inlineStr">
        <is>
          <t>N/A</t>
        </is>
      </c>
      <c r="AQ24" s="610" t="inlineStr">
        <is>
          <t>N/A</t>
        </is>
      </c>
      <c r="AR24" s="610" t="inlineStr">
        <is>
          <t>N/A</t>
        </is>
      </c>
      <c r="AS24" s="610" t="inlineStr">
        <is>
          <t>N/A</t>
        </is>
      </c>
      <c r="AT24" s="610" t="inlineStr">
        <is>
          <t>N/A</t>
        </is>
      </c>
      <c r="AU24" s="610" t="inlineStr">
        <is>
          <t>O84</t>
        </is>
      </c>
      <c r="AV24" s="610" t="inlineStr">
        <is>
          <t>CO2; CH4; N2O</t>
        </is>
      </c>
      <c r="AW24" s="610" t="inlineStr">
        <is>
          <t>Positive</t>
        </is>
      </c>
      <c r="AX24" s="610" t="inlineStr">
        <is>
          <t>Pollution control; Ecological protection; Resource conservation</t>
        </is>
      </c>
      <c r="AY24" s="610" t="inlineStr">
        <is>
          <t>Environmental Impact Assessment Law of the People's Republic of China (adopted at the 30th Session of the Standing Committee of the 9th NPC on 28 October 2002, amended on 2 July 2016 and 29 December 2018, Presidential Order No. 24)</t>
        </is>
      </c>
      <c r="AZ24" s="610" t="inlineStr">
        <is>
          <t>http://www.npc.gov.cn/npc/c1773/c2518/2019zhhbsjx/sjxflfg/201906/t20190628_298339.html</t>
        </is>
      </c>
      <c r="BA24" s="610" t="inlineStr">
        <is>
          <t>N/A</t>
        </is>
      </c>
      <c r="BB24" s="610" t="inlineStr"/>
    </row>
    <row r="25">
      <c r="A25" s="610" t="inlineStr">
        <is>
          <t>CHNPARCPAI01S000</t>
        </is>
      </c>
      <c r="B25" s="610" t="inlineStr">
        <is>
          <t>Instrument</t>
        </is>
      </c>
      <c r="C25" s="610" t="inlineStr">
        <is>
          <t>Public appraisal rules</t>
        </is>
      </c>
      <c r="D25" s="610" t="inlineStr">
        <is>
          <t>Climate performance assessment and evaluation</t>
        </is>
      </c>
      <c r="E25" s="610" t="inlineStr">
        <is>
          <t>Cross-sectoral</t>
        </is>
      </c>
      <c r="F25" s="610" t="inlineStr">
        <is>
          <t>Carbon emission volume and intensity control; Coal and oil consumption control; Non-fossil energy development; Industry, construction and transport green and low-carbon transition; Building energy conservation; Industrial carbon sinks</t>
        </is>
      </c>
      <c r="G25" s="610" t="inlineStr">
        <is>
          <t>碳达峰碳中和综合评价考核办法</t>
        </is>
      </c>
      <c r="H25" s="610" t="inlineStr">
        <is>
          <t>Comprehensive Performance Assessment for Carbon Peaking and Carbon Neutrality</t>
        </is>
      </c>
      <c r="I25" s="610" t="inlineStr">
        <is>
          <t>Opinions on Accelerating the Establishment of a Dual Carbon Emission Control System (Guo Ban Fa [2024] No. 39)</t>
        </is>
      </c>
      <c r="J25" s="610"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610" t="inlineStr">
        <is>
          <t>Climate change mitigation; Energy security; Green economy</t>
        </is>
      </c>
      <c r="L25" s="610" t="inlineStr">
        <is>
          <t>Indirect</t>
        </is>
      </c>
      <c r="M25" s="610" t="inlineStr">
        <is>
          <t>national</t>
        </is>
      </c>
      <c r="N25" s="610" t="inlineStr">
        <is>
          <t>N/A</t>
        </is>
      </c>
      <c r="O25" s="610" t="inlineStr">
        <is>
          <t>12/04/2026</t>
        </is>
      </c>
      <c r="P25" s="610" t="inlineStr">
        <is>
          <t>12/04/2026</t>
        </is>
      </c>
      <c r="Q25" s="610" t="inlineStr">
        <is>
          <t>N/A</t>
        </is>
      </c>
      <c r="R25" s="610" t="inlineStr">
        <is>
          <t>N/A</t>
        </is>
      </c>
      <c r="S25" s="610"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V25" s="610" t="inlineStr">
        <is>
          <t>N/A</t>
        </is>
      </c>
      <c r="W25" s="610" t="inlineStr">
        <is>
          <t>N/A</t>
        </is>
      </c>
      <c r="X25" s="610" t="inlineStr">
        <is>
          <t>This instrument is a performance assessment and evaluation system; it does not directly regulate specific economic assets.</t>
        </is>
      </c>
      <c r="Y25" s="610" t="inlineStr">
        <is>
          <t>N/A</t>
        </is>
      </c>
      <c r="Z25" s="610" t="inlineStr">
        <is>
          <t>N/A</t>
        </is>
      </c>
      <c r="AA25" s="610" t="inlineStr">
        <is>
          <t>Governments</t>
        </is>
      </c>
      <c r="AB25" s="610"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C25" s="610" t="inlineStr">
        <is>
          <t>Assessment and evaluation</t>
        </is>
      </c>
      <c r="AD25" s="610"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E25" s="610" t="inlineStr">
        <is>
          <t>N/A</t>
        </is>
      </c>
      <c r="AF25" s="610" t="inlineStr">
        <is>
          <t>N/A</t>
        </is>
      </c>
      <c r="AG25" s="610" t="inlineStr">
        <is>
          <t>N/A</t>
        </is>
      </c>
      <c r="AH25" s="610"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I25" s="610" t="inlineStr">
        <is>
          <t>N/A</t>
        </is>
      </c>
      <c r="AJ25" s="610" t="inlineStr">
        <is>
          <t>N/A</t>
        </is>
      </c>
      <c r="AK25" s="610" t="inlineStr">
        <is>
          <t>N/A</t>
        </is>
      </c>
      <c r="AL25" s="610" t="inlineStr">
        <is>
          <t>N/A</t>
        </is>
      </c>
      <c r="AM25" s="610" t="inlineStr">
        <is>
          <t>N/A</t>
        </is>
      </c>
      <c r="AN25" s="610" t="inlineStr">
        <is>
          <t>N/A</t>
        </is>
      </c>
      <c r="AO25" s="610" t="inlineStr">
        <is>
          <t>N/A</t>
        </is>
      </c>
      <c r="AP25" s="610" t="inlineStr">
        <is>
          <t>N/A</t>
        </is>
      </c>
      <c r="AQ25" s="610" t="inlineStr">
        <is>
          <t>N/A</t>
        </is>
      </c>
      <c r="AR25" s="610" t="inlineStr">
        <is>
          <t>N/A</t>
        </is>
      </c>
      <c r="AS25" s="610" t="inlineStr">
        <is>
          <t>N/A</t>
        </is>
      </c>
      <c r="AT25" s="610" t="inlineStr">
        <is>
          <t>N/A</t>
        </is>
      </c>
      <c r="AU25" s="610" t="inlineStr">
        <is>
          <t>O84</t>
        </is>
      </c>
      <c r="AV25" s="610" t="inlineStr">
        <is>
          <t>CO2</t>
        </is>
      </c>
      <c r="AW25" s="610" t="inlineStr">
        <is>
          <t>Positive</t>
        </is>
      </c>
      <c r="AX25" s="610" t="inlineStr">
        <is>
          <t>Energy security; Industrial development; Pollution control</t>
        </is>
      </c>
      <c r="AY25" s="610"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AZ25" s="610" t="inlineStr">
        <is>
          <t>https://www.gov.cn/gongbao/2026/issue_12726/202605/content_7068093.html</t>
        </is>
      </c>
      <c r="BA25" s="610" t="inlineStr">
        <is>
          <t>N/A</t>
        </is>
      </c>
      <c r="BB25" s="610" t="inlineStr"/>
    </row>
  </sheetData>
  <mergeCells count="9">
    <mergeCell ref="G1:L1"/>
    <mergeCell ref="AU1:AX1"/>
    <mergeCell ref="V1:AJ1"/>
    <mergeCell ref="AY1:BA1"/>
    <mergeCell ref="M1:U1"/>
    <mergeCell ref="AK1:AR1"/>
    <mergeCell ref="AS1:AT1"/>
    <mergeCell ref="C1:F1"/>
    <mergeCell ref="A1:B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C32"/>
  <sheetViews>
    <sheetView workbookViewId="0">
      <selection activeCell="A1" sqref="A1:BE2"/>
    </sheetView>
  </sheetViews>
  <sheetFormatPr baseColWidth="8" defaultRowHeight="13.9"/>
  <cols>
    <col width="20" customWidth="1" min="46" max="46"/>
    <col width="20" customWidth="1" min="48" max="48"/>
  </cols>
  <sheetData>
    <row r="1" ht="15.75" customHeight="1">
      <c r="A1" s="591" t="inlineStr">
        <is>
          <t>Identification</t>
        </is>
      </c>
      <c r="B1" s="93" t="n"/>
      <c r="C1" s="592" t="inlineStr">
        <is>
          <t>Instrument typology</t>
        </is>
      </c>
      <c r="D1" s="95" t="n"/>
      <c r="E1" s="95" t="n"/>
      <c r="F1" s="96" t="n"/>
      <c r="G1" s="628" t="inlineStr">
        <is>
          <t>Policy description</t>
        </is>
      </c>
      <c r="H1" s="100" t="n"/>
      <c r="I1" s="100" t="n"/>
      <c r="J1" s="100" t="n"/>
      <c r="K1" s="100" t="n"/>
      <c r="L1" s="100" t="n"/>
      <c r="M1" s="634" t="inlineStr">
        <is>
          <t>Administrative information</t>
        </is>
      </c>
      <c r="N1" s="100" t="n"/>
      <c r="O1" s="100" t="n"/>
      <c r="P1" s="100" t="n"/>
      <c r="Q1" s="100" t="n"/>
      <c r="R1" s="100" t="n"/>
      <c r="S1" s="100" t="n"/>
      <c r="T1" s="100" t="n"/>
      <c r="U1" s="100" t="n"/>
      <c r="V1" s="635" t="inlineStr">
        <is>
          <t>Policy regulatory base and intensity</t>
        </is>
      </c>
      <c r="W1" s="100" t="n"/>
      <c r="X1" s="100" t="n"/>
      <c r="Y1" s="100" t="n"/>
      <c r="Z1" s="100" t="n"/>
      <c r="AA1" s="100" t="n"/>
      <c r="AB1" s="100" t="n"/>
      <c r="AC1" s="100" t="n"/>
      <c r="AD1" s="100" t="n"/>
      <c r="AE1" s="100" t="n"/>
      <c r="AF1" s="100" t="n"/>
      <c r="AG1" s="100" t="n"/>
      <c r="AH1" s="100" t="n"/>
      <c r="AI1" s="100" t="n"/>
      <c r="AJ1" s="100" t="n"/>
      <c r="AK1" s="636" t="inlineStr">
        <is>
          <t>Instrument-specific attributes</t>
        </is>
      </c>
      <c r="AL1" s="392" t="n"/>
      <c r="AM1" s="392" t="n"/>
      <c r="AN1" s="392" t="n"/>
      <c r="AO1" s="392" t="n"/>
      <c r="AP1" s="392" t="n"/>
      <c r="AQ1" s="392" t="n"/>
      <c r="AR1" s="392" t="n"/>
      <c r="AS1" s="392" t="n"/>
      <c r="AT1" s="392" t="n"/>
      <c r="AU1" s="637" t="inlineStr">
        <is>
          <t>GHG emission base</t>
        </is>
      </c>
      <c r="AV1" s="100" t="n"/>
      <c r="AW1" s="638" t="inlineStr">
        <is>
          <t>Classifications &amp; Indicators</t>
        </is>
      </c>
      <c r="BA1" s="639" t="inlineStr">
        <is>
          <t>References to legislation</t>
        </is>
      </c>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t>
        </is>
      </c>
      <c r="S2" s="604" t="inlineStr">
        <is>
          <t>Last revision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Instrument linkage</t>
        </is>
      </c>
      <c r="AL2" s="606" t="inlineStr">
        <is>
          <t>Responsibility information capturing</t>
        </is>
      </c>
      <c r="AM2" s="606" t="inlineStr">
        <is>
          <t>Information transmission</t>
        </is>
      </c>
      <c r="AN2" s="606" t="inlineStr">
        <is>
          <t>Frequency of information provision</t>
        </is>
      </c>
      <c r="AO2" s="606" t="inlineStr">
        <is>
          <t>Public availability of information</t>
        </is>
      </c>
      <c r="AP2" s="606" t="inlineStr">
        <is>
          <t>For labels: Type</t>
        </is>
      </c>
      <c r="AQ2" s="606" t="inlineStr">
        <is>
          <t>Compliance monitoring</t>
        </is>
      </c>
      <c r="AR2" s="606" t="inlineStr">
        <is>
          <t>Compliance enforcement</t>
        </is>
      </c>
      <c r="AS2" s="640" t="inlineStr">
        <is>
          <t>Compliance promotion</t>
        </is>
      </c>
      <c r="AT2" s="606" t="inlineStr">
        <is>
          <t>Details on capacity building, training/education, information campaigns and award schemes</t>
        </is>
      </c>
      <c r="AU2" s="641" t="inlineStr">
        <is>
          <t>GHG emission coverage (absolute)</t>
        </is>
      </c>
      <c r="AV2" s="641" t="inlineStr">
        <is>
          <t>GHG emission coverage (% domestic emissions)</t>
        </is>
      </c>
      <c r="AW2" s="602" t="inlineStr">
        <is>
          <t>Economic sector</t>
        </is>
      </c>
      <c r="AX2" s="602" t="inlineStr">
        <is>
          <t>GHGs affected</t>
        </is>
      </c>
      <c r="AY2" s="602" t="inlineStr">
        <is>
          <t>Mitigation effect</t>
        </is>
      </c>
      <c r="AZ2" s="602" t="inlineStr">
        <is>
          <t>Mitigation co-benefits</t>
        </is>
      </c>
      <c r="BA2" s="604" t="inlineStr">
        <is>
          <t>Legal statute</t>
        </is>
      </c>
      <c r="BB2" s="604" t="inlineStr">
        <is>
          <t>Legal document</t>
        </is>
      </c>
      <c r="BC2" s="604" t="inlineStr">
        <is>
          <t>Other weblinks</t>
        </is>
      </c>
    </row>
    <row r="3">
      <c r="A3" s="610" t="inlineStr">
        <is>
          <t>CHNREPSIDI01S000</t>
        </is>
      </c>
      <c r="B3" s="610" t="inlineStr">
        <is>
          <t>Instrument</t>
        </is>
      </c>
      <c r="C3" s="610" t="inlineStr">
        <is>
          <t>Reporting requirements</t>
        </is>
      </c>
      <c r="D3" s="610" t="inlineStr">
        <is>
          <t>Sustainability information disclosure</t>
        </is>
      </c>
      <c r="E3" s="610" t="inlineStr">
        <is>
          <t>Cross-sectoral</t>
        </is>
      </c>
      <c r="F3" s="610" t="inlineStr">
        <is>
          <t>Key pollutant-discharging industries (power, steel, building materials, chemicals, petrochemicals, etc.)</t>
        </is>
      </c>
      <c r="G3" s="610" t="inlineStr">
        <is>
          <t>企业环境信息依法披露制度</t>
        </is>
      </c>
      <c r="H3" s="610" t="inlineStr">
        <is>
          <t>Enterprise Environmental Information Disclosure System</t>
        </is>
      </c>
      <c r="I3" s="610" t="inlineStr">
        <is>
          <t>N/A</t>
        </is>
      </c>
      <c r="J3" s="610"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610" t="inlineStr">
        <is>
          <t>Information disclosure</t>
        </is>
      </c>
      <c r="L3" s="610" t="inlineStr">
        <is>
          <t>Indirect</t>
        </is>
      </c>
      <c r="M3" s="610" t="inlineStr">
        <is>
          <t>national</t>
        </is>
      </c>
      <c r="N3" s="610" t="inlineStr">
        <is>
          <t>N/A</t>
        </is>
      </c>
      <c r="O3" s="610" t="inlineStr">
        <is>
          <t>11/04/2007</t>
        </is>
      </c>
      <c r="P3" s="610" t="inlineStr">
        <is>
          <t>01/05/2008</t>
        </is>
      </c>
      <c r="Q3" s="610" t="inlineStr">
        <is>
          <t>N/A</t>
        </is>
      </c>
      <c r="R3" s="610" t="inlineStr">
        <is>
          <t>11/12/2021</t>
        </is>
      </c>
      <c r="S3" s="610"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T3" s="610">
        <f>IF(P3="","In force",IF(P3="N/A","In force",IF(TODAY()&lt;DATE(VALUE(RIGHT(P3,4)),VALUE(MID(P3,4,2)),VALUE(LEFT(P3,2))),"Scheduled",IF(Q3="","In force",IF(Q3="N/A","In force",IF(TODAY()&lt;DATE(VALUE(RIGHT(Q3,4)),VALUE(MID(Q3,4,2)),VALUE(LEFT(Q3,2))),"In force","Ended"))))))</f>
        <v/>
      </c>
      <c r="U3" s="610" t="inlineStr">
        <is>
          <t>Ministry of Ecology and Environment; local ecology and environment authorities at all levels</t>
        </is>
      </c>
      <c r="V3" s="610" t="inlineStr">
        <is>
          <t>Industrial enterprises and their production and operation facilities</t>
        </is>
      </c>
      <c r="W3" s="610" t="inlineStr">
        <is>
          <t>Existing</t>
        </is>
      </c>
      <c r="X3" s="610"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Y3" s="610" t="inlineStr">
        <is>
          <t>N/A</t>
        </is>
      </c>
      <c r="Z3" s="610" t="inlineStr">
        <is>
          <t>N/A</t>
        </is>
      </c>
      <c r="AA3" s="610" t="inlineStr">
        <is>
          <t>Firms</t>
        </is>
      </c>
      <c r="AB3" s="610"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C3" s="610" t="inlineStr">
        <is>
          <t>Production</t>
        </is>
      </c>
      <c r="AD3" s="610"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E3" s="610" t="inlineStr">
        <is>
          <t>N/A</t>
        </is>
      </c>
      <c r="AF3" s="610" t="inlineStr">
        <is>
          <t>N/A</t>
        </is>
      </c>
      <c r="AG3" s="610" t="inlineStr">
        <is>
          <t>N/A</t>
        </is>
      </c>
      <c r="AH3" s="610"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I3" s="610" t="inlineStr">
        <is>
          <t>N/A</t>
        </is>
      </c>
      <c r="AJ3" s="610" t="inlineStr">
        <is>
          <t>N/A</t>
        </is>
      </c>
      <c r="AK3" s="610"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L3" s="610"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M3" s="610" t="inlineStr">
        <is>
          <t>Online compilation, uploading and disclosure through the unified national enterprise environmental information disclosure system (online disclosure); disclosure reports are made public and can be queried by the public through the system.</t>
        </is>
      </c>
      <c r="AN3" s="610" t="inlineStr">
        <is>
          <t>Annual reports are disclosed once a year (generally before 15 March of the following year); interim reports are disclosed within the prescribed time limit after the occurrence of prescribed circumstances.</t>
        </is>
      </c>
      <c r="AO3" s="610"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P3" s="610" t="inlineStr">
        <is>
          <t>N/A</t>
        </is>
      </c>
      <c r="AQ3" s="610" t="inlineStr">
        <is>
          <t>Inspections or audits conducted by government authorities</t>
        </is>
      </c>
      <c r="AR3" s="610" t="inlineStr">
        <is>
          <t>Administrative penalties; fines; rectification orders; inclusion in credit records</t>
        </is>
      </c>
      <c r="AS3" s="610" t="inlineStr">
        <is>
          <t>Disclosed environmental information feeds into the enterprise environmental credit evaluation system; compliant enterprises with favourable evaluation results enjoy preferential access to green credit, green bonds and other green finance instruments.</t>
        </is>
      </c>
      <c r="AT3" s="610"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U3" s="610" t="inlineStr">
        <is>
          <t>N/A</t>
        </is>
      </c>
      <c r="AV3" s="610" t="inlineStr">
        <is>
          <t>N/A</t>
        </is>
      </c>
      <c r="AW3" s="610" t="inlineStr">
        <is>
          <t>C19; C20; C23; C24; D35</t>
        </is>
      </c>
      <c r="AX3" s="610" t="inlineStr">
        <is>
          <t>CO2</t>
        </is>
      </c>
      <c r="AY3" s="610" t="inlineStr">
        <is>
          <t>Positive</t>
        </is>
      </c>
      <c r="AZ3" s="610" t="inlineStr">
        <is>
          <t>Pollution control; Technological innovation</t>
        </is>
      </c>
      <c r="BA3" s="610" t="inlineStr">
        <is>
          <t>Measures for the Administration of the Legally-Mandated Disclosure of Enterprise Environmental Information (MEE Order No. 24)</t>
        </is>
      </c>
      <c r="BB3" s="610" t="inlineStr">
        <is>
          <t>https://www.mee.gov.cn/xxgk2018/xxgk/xxgk02/202112/t20211221_964837.html</t>
        </is>
      </c>
      <c r="BC3" s="610" t="inlineStr">
        <is>
          <t>Measures on Open Environmental Information (Trial) (SEPA Order No. 35): https://www.gov.cn/gongbao/content/2008/content_892212.htm</t>
        </is>
      </c>
    </row>
    <row r="4">
      <c r="A4" s="610" t="inlineStr">
        <is>
          <t>CHNREPSIDI02S000</t>
        </is>
      </c>
      <c r="B4" s="610" t="inlineStr">
        <is>
          <t>Instrument</t>
        </is>
      </c>
      <c r="C4" s="610" t="inlineStr">
        <is>
          <t>Reporting requirements</t>
        </is>
      </c>
      <c r="D4" s="610" t="inlineStr">
        <is>
          <t>Sustainability information disclosure</t>
        </is>
      </c>
      <c r="E4" s="610" t="inlineStr">
        <is>
          <t>Cross-sectoral</t>
        </is>
      </c>
      <c r="F4" s="610" t="inlineStr">
        <is>
          <t>N/A</t>
        </is>
      </c>
      <c r="G4" s="610" t="inlineStr">
        <is>
          <t>上市公司可持续发展报告指引</t>
        </is>
      </c>
      <c r="H4" s="610" t="inlineStr">
        <is>
          <t>Sustainability Reporting Guidelines for Listed Companies</t>
        </is>
      </c>
      <c r="I4" s="610" t="inlineStr">
        <is>
          <t>N/A</t>
        </is>
      </c>
      <c r="J4" s="610"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610" t="inlineStr">
        <is>
          <t>Information disclosure; Green economy; Climate change mitigation</t>
        </is>
      </c>
      <c r="L4" s="610" t="inlineStr">
        <is>
          <t>Direct</t>
        </is>
      </c>
      <c r="M4" s="610" t="inlineStr">
        <is>
          <t>national</t>
        </is>
      </c>
      <c r="N4" s="610" t="inlineStr">
        <is>
          <t>N/A</t>
        </is>
      </c>
      <c r="O4" s="610" t="inlineStr">
        <is>
          <t>12/04/2024</t>
        </is>
      </c>
      <c r="P4" s="610" t="inlineStr">
        <is>
          <t>01/05/2024</t>
        </is>
      </c>
      <c r="Q4" s="610" t="inlineStr">
        <is>
          <t>N/A</t>
        </is>
      </c>
      <c r="R4" s="610" t="inlineStr">
        <is>
          <t>N/A</t>
        </is>
      </c>
      <c r="S4" s="610" t="inlineStr">
        <is>
          <t>N/A</t>
        </is>
      </c>
      <c r="T4" s="610">
        <f>IF(P4="","In force",IF(P4="N/A","In force",IF(TODAY()&lt;DATE(VALUE(RIGHT(P4,4)),VALUE(MID(P4,4,2)),VALUE(LEFT(P4,2))),"Scheduled",IF(Q4="","In force",IF(Q4="N/A","In force",IF(TODAY()&lt;DATE(VALUE(RIGHT(Q4,4)),VALUE(MID(Q4,4,2)),VALUE(LEFT(Q4,2))),"In force","Ended"))))))</f>
        <v/>
      </c>
      <c r="U4" s="610" t="inlineStr">
        <is>
          <t>China Securities Regulatory Commission (guiding); Shanghai Stock Exchange; Shenzhen Stock Exchange; Beijing Stock Exchange</t>
        </is>
      </c>
      <c r="V4" s="610" t="inlineStr">
        <is>
          <t>Sustainability reports of listed companies (corporate information disclosure)</t>
        </is>
      </c>
      <c r="W4" s="610" t="inlineStr">
        <is>
          <t>N/A</t>
        </is>
      </c>
      <c r="X4" s="610"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Y4" s="610" t="inlineStr">
        <is>
          <t>N/A</t>
        </is>
      </c>
      <c r="Z4" s="610" t="inlineStr">
        <is>
          <t>N/A</t>
        </is>
      </c>
      <c r="AA4" s="610" t="inlineStr">
        <is>
          <t>Firms</t>
        </is>
      </c>
      <c r="AB4" s="610"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C4" s="610" t="inlineStr">
        <is>
          <t>Registration, licensing or other administrative tasks</t>
        </is>
      </c>
      <c r="AD4" s="610"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E4" s="610" t="inlineStr">
        <is>
          <t>N/A</t>
        </is>
      </c>
      <c r="AF4" s="610" t="inlineStr">
        <is>
          <t>N/A</t>
        </is>
      </c>
      <c r="AG4" s="610" t="inlineStr">
        <is>
          <t>N/A</t>
        </is>
      </c>
      <c r="AH4" s="610"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I4" s="610" t="inlineStr">
        <is>
          <t>N/A</t>
        </is>
      </c>
      <c r="AJ4" s="610" t="inlineStr">
        <is>
          <t>N/A</t>
        </is>
      </c>
      <c r="AK4" s="610"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L4" s="610"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M4" s="610" t="inlineStr">
        <is>
          <t>Listed companies publicly disclose sustainability reports through the exchanges' designated information disclosure platforms (such as the official websites of SSE, SZSE, BSE and cninfo.com.cn) (online public disclosure).</t>
        </is>
      </c>
      <c r="AN4" s="610" t="inlineStr">
        <is>
          <t>Annual disclosure (within four months of the end of each accounting year, published simultaneously with or independently from the annual report).</t>
        </is>
      </c>
      <c r="AO4" s="610" t="inlineStr">
        <is>
          <t>Yes (public). Listed companies disclose sustainability reports in full to the public through the exchanges' designated information disclosure platforms.</t>
        </is>
      </c>
      <c r="AP4" s="610" t="inlineStr">
        <is>
          <t>N/A</t>
        </is>
      </c>
      <c r="AQ4" s="610" t="inlineStr">
        <is>
          <t>On-site inspection/audit undertaken by government bodies</t>
        </is>
      </c>
      <c r="AR4" s="610" t="inlineStr">
        <is>
          <t>Order to take corrective measures; notification of criticism</t>
        </is>
      </c>
      <c r="AS4" s="610" t="inlineStr">
        <is>
          <t>Other incentives or support</t>
        </is>
      </c>
      <c r="AT4" s="610"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U4" s="610"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V4" s="610" t="inlineStr">
        <is>
          <t>N/A (this instrument is an indirect information disclosure tool with no direct GHG emission coverage share)</t>
        </is>
      </c>
      <c r="AW4" s="610" t="inlineStr">
        <is>
          <t>K64</t>
        </is>
      </c>
      <c r="AX4" s="610" t="inlineStr">
        <is>
          <t>CO2; CH4; N2O; HFCs; PFCs; SF6; NF3</t>
        </is>
      </c>
      <c r="AY4" s="610" t="inlineStr">
        <is>
          <t>Positive</t>
        </is>
      </c>
      <c r="AZ4" s="610" t="inlineStr">
        <is>
          <t>Industrial development; Technological innovation; Pollution control</t>
        </is>
      </c>
      <c r="BA4" s="610"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B4" s="610" t="inlineStr">
        <is>
          <t>https://www.sse.com.cn/lawandrules/sselawsrules2025/stocks/mainipo/c/c_20250516_10779150.shtml</t>
        </is>
      </c>
      <c r="BC4" s="610" t="inlineStr">
        <is>
          <t>http://www.szse.cn/www/sustainablefinance/document/guide/t20240412_606839.html; https://www.bse.cn/cxjg_list/200021393.html; https://www.sse.com.cn/lawandrules/guide/stock/zbxxpljg/ssgszljg/c/c_20250117_10770284.shtml (preparation guidance)</t>
        </is>
      </c>
    </row>
    <row r="5">
      <c r="A5" s="610" t="inlineStr">
        <is>
          <t>CHNREPGRVI01S000</t>
        </is>
      </c>
      <c r="B5" s="610" t="inlineStr">
        <is>
          <t>Instrument</t>
        </is>
      </c>
      <c r="C5" s="610" t="inlineStr">
        <is>
          <t>Reporting requirements</t>
        </is>
      </c>
      <c r="D5" s="610" t="inlineStr">
        <is>
          <t>Greenhouse gas emissions reporting</t>
        </is>
      </c>
      <c r="E5" s="610" t="inlineStr">
        <is>
          <t>Energy; Industry; Transport</t>
        </is>
      </c>
      <c r="F5" s="610" t="inlineStr">
        <is>
          <t>Electricity generation; Iron and steel; Cement; Electrolytic aluminium; Petrochemicals; Chemicals; Paper; Civil aviation</t>
        </is>
      </c>
      <c r="G5" s="610" t="inlineStr">
        <is>
          <t>重点行业企业温室气体排放报告与核查制度</t>
        </is>
      </c>
      <c r="H5" s="610" t="inlineStr">
        <is>
          <t>Greenhouse Gas Emissions Reporting and Verification System for Key Industries</t>
        </is>
      </c>
      <c r="I5" s="610" t="inlineStr">
        <is>
          <t>ETS</t>
        </is>
      </c>
      <c r="J5" s="610"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610" t="inlineStr">
        <is>
          <t>Information disclosure; Climate change mitigation</t>
        </is>
      </c>
      <c r="L5" s="610" t="inlineStr">
        <is>
          <t>Direct</t>
        </is>
      </c>
      <c r="M5" s="610" t="inlineStr">
        <is>
          <t>national</t>
        </is>
      </c>
      <c r="N5" s="610" t="inlineStr">
        <is>
          <t>N/A</t>
        </is>
      </c>
      <c r="O5" s="610" t="inlineStr">
        <is>
          <t>10/12/2014</t>
        </is>
      </c>
      <c r="P5" s="610" t="inlineStr">
        <is>
          <t>09/01/2015</t>
        </is>
      </c>
      <c r="Q5" s="610" t="inlineStr">
        <is>
          <t>N/A</t>
        </is>
      </c>
      <c r="R5" s="610" t="inlineStr">
        <is>
          <t>25/01/2024</t>
        </is>
      </c>
      <c r="S5" s="610"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T5" s="610">
        <f>IF(P5="","In force",IF(P5="N/A","In force",IF(TODAY()&lt;DATE(VALUE(RIGHT(P5,4)),VALUE(MID(P5,4,2)),VALUE(LEFT(P5,2))),"Scheduled",IF(Q5="","In force",IF(Q5="N/A","In force",IF(TODAY()&lt;DATE(VALUE(RIGHT(Q5,4)),VALUE(MID(Q5,4,2)),VALUE(LEFT(Q5,2))),"In force","Ended"))))))</f>
        <v/>
      </c>
      <c r="U5" s="610" t="inlineStr">
        <is>
          <t>Ministry of Ecology and Environment (Department of Climate Change); provincial ecology and environment authorities; ecology and environment authorities of districted cities</t>
        </is>
      </c>
      <c r="V5" s="610" t="inlineStr">
        <is>
          <t>Production facilities and emission sources of key emission entities</t>
        </is>
      </c>
      <c r="W5" s="610" t="inlineStr">
        <is>
          <t>Existing</t>
        </is>
      </c>
      <c r="X5" s="610"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Y5" s="610" t="inlineStr">
        <is>
          <t>N/A</t>
        </is>
      </c>
      <c r="Z5" s="610" t="inlineStr">
        <is>
          <t>≥26,000 tCO2e/year</t>
        </is>
      </c>
      <c r="AA5" s="610" t="inlineStr">
        <is>
          <t>Firms</t>
        </is>
      </c>
      <c r="AB5" s="610"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C5" s="610" t="inlineStr">
        <is>
          <t>Production</t>
        </is>
      </c>
      <c r="AD5" s="610"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E5" s="610" t="inlineStr">
        <is>
          <t>26,000</t>
        </is>
      </c>
      <c r="AF5" s="610" t="inlineStr">
        <is>
          <t>tCO2e/year</t>
        </is>
      </c>
      <c r="AG5" s="610"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H5" s="610"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I5" s="610" t="inlineStr">
        <is>
          <t>N/A</t>
        </is>
      </c>
      <c r="AJ5" s="610" t="inlineStr">
        <is>
          <t>N/A</t>
        </is>
      </c>
      <c r="AK5" s="610"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L5" s="610"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M5" s="610"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N5" s="610" t="inlineStr">
        <is>
          <t>Annual emission reports are submitted once a year (generally before 31 March of the following year); third-party verification is organised uniformly by provincial ecology and environment authorities after emission report submission (once a year).</t>
        </is>
      </c>
      <c r="AO5" s="610"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P5" s="610" t="inlineStr">
        <is>
          <t>N/A</t>
        </is>
      </c>
      <c r="AQ5" s="610" t="inlineStr">
        <is>
          <t>Inspections or audits conducted by government authorities</t>
        </is>
      </c>
      <c r="AR5" s="610" t="inlineStr">
        <is>
          <t>Administrative penalties; fines; rectification orders; inclusion in credit records</t>
        </is>
      </c>
      <c r="AS5" s="610" t="inlineStr">
        <is>
          <t>Other incentives or support measures</t>
        </is>
      </c>
      <c r="AT5" s="610"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U5" s="610"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V5" s="610"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AW5" s="610" t="inlineStr">
        <is>
          <t>D35; C24; C23; C20; C21; C17; H51</t>
        </is>
      </c>
      <c r="AX5" s="610" t="inlineStr">
        <is>
          <t>CO2; CH4; N2O; HFCs; PFCs; SF6</t>
        </is>
      </c>
      <c r="AY5" s="610" t="inlineStr">
        <is>
          <t>Positive</t>
        </is>
      </c>
      <c r="AZ5" s="610" t="inlineStr">
        <is>
          <t>Pollution control; Energy conservation</t>
        </is>
      </c>
      <c r="BA5" s="610" t="inlineStr">
        <is>
          <t>Notice on Effectively Conducting the 2023–2025 Greenhouse Gas Emission Reporting and Verification for Enterprises in Certain Key Industries</t>
        </is>
      </c>
      <c r="BB5" s="610" t="inlineStr">
        <is>
          <t>https://www.mee.gov.cn/xxgk2018/xxgk/xxgk06/202310/t20231018_1043427.html</t>
        </is>
      </c>
      <c r="BC5" s="610"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610" t="inlineStr">
        <is>
          <t>CHNREPGFEI01S000</t>
        </is>
      </c>
      <c r="B6" s="610" t="inlineStr">
        <is>
          <t>Instrument</t>
        </is>
      </c>
      <c r="C6" s="610" t="inlineStr">
        <is>
          <t>Reporting requirements</t>
        </is>
      </c>
      <c r="D6" s="610" t="inlineStr">
        <is>
          <t>Green finance performance evaluation</t>
        </is>
      </c>
      <c r="E6" s="610" t="inlineStr">
        <is>
          <t>Cross-sectoral</t>
        </is>
      </c>
      <c r="F6" s="610" t="inlineStr">
        <is>
          <t>N/A</t>
        </is>
      </c>
      <c r="G6" s="610" t="inlineStr">
        <is>
          <t>银行业金融机构绿色金融评价方案</t>
        </is>
      </c>
      <c r="H6" s="610" t="inlineStr">
        <is>
          <t>Green Finance Evaluation Scheme for Banking Financial Institutions</t>
        </is>
      </c>
      <c r="I6" s="610" t="inlineStr">
        <is>
          <t>Guiding Opinions on Building a Green Finance System (PBC Document [2016] No. 228)</t>
        </is>
      </c>
      <c r="J6" s="610"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610" t="inlineStr">
        <is>
          <t>Information disclosure; Green economy; Green finance</t>
        </is>
      </c>
      <c r="L6" s="610" t="inlineStr">
        <is>
          <t>Direct</t>
        </is>
      </c>
      <c r="M6" s="610" t="inlineStr">
        <is>
          <t>national</t>
        </is>
      </c>
      <c r="N6" s="610" t="inlineStr">
        <is>
          <t>N/A</t>
        </is>
      </c>
      <c r="O6" s="610" t="inlineStr">
        <is>
          <t>27/07/2018</t>
        </is>
      </c>
      <c r="P6" s="610" t="inlineStr">
        <is>
          <t>27/07/2018</t>
        </is>
      </c>
      <c r="Q6" s="610" t="inlineStr">
        <is>
          <t>N/A</t>
        </is>
      </c>
      <c r="R6" s="610" t="inlineStr">
        <is>
          <t>09/06/2021</t>
        </is>
      </c>
      <c r="S6" s="610"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T6" s="610">
        <f>IF(P6="","In force",IF(P6="N/A","In force",IF(TODAY()&lt;DATE(VALUE(RIGHT(P6,4)),VALUE(MID(P6,4,2)),VALUE(LEFT(P6,2))),"Scheduled",IF(Q6="","In force",IF(Q6="N/A","In force",IF(TODAY()&lt;DATE(VALUE(RIGHT(Q6,4)),VALUE(MID(Q6,4,2)),VALUE(LEFT(Q6,2))),"In force","Ended"))))))</f>
        <v/>
      </c>
      <c r="U6" s="610" t="inlineStr">
        <is>
          <t>People's Bank of China; branches of the People's Bank of China</t>
        </is>
      </c>
      <c r="V6" s="610" t="inlineStr">
        <is>
          <t>Green finance business</t>
        </is>
      </c>
      <c r="W6" s="610" t="inlineStr">
        <is>
          <t>N/A</t>
        </is>
      </c>
      <c r="X6" s="610" t="inlineStr">
        <is>
          <t>This instrument is a green finance performance evaluation system; the evaluation objects are the green finance business (green loans, green bonds, etc.) of banking financial institutions. It does not directly regulate physical emission assets.</t>
        </is>
      </c>
      <c r="Y6" s="610" t="inlineStr">
        <is>
          <t>N/A</t>
        </is>
      </c>
      <c r="Z6" s="610" t="inlineStr">
        <is>
          <t>N/A</t>
        </is>
      </c>
      <c r="AA6" s="610" t="inlineStr">
        <is>
          <t>Firms</t>
        </is>
      </c>
      <c r="AB6" s="610"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C6" s="610" t="inlineStr">
        <is>
          <t>Registration, licensing or other administrative tasks</t>
        </is>
      </c>
      <c r="AD6" s="610"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E6" s="610" t="inlineStr">
        <is>
          <t>N/A</t>
        </is>
      </c>
      <c r="AF6" s="610" t="inlineStr">
        <is>
          <t>N/A</t>
        </is>
      </c>
      <c r="AG6" s="610" t="inlineStr">
        <is>
          <t>N/A</t>
        </is>
      </c>
      <c r="AH6" s="610"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I6" s="610" t="inlineStr">
        <is>
          <t>N/A</t>
        </is>
      </c>
      <c r="AJ6" s="610" t="inlineStr">
        <is>
          <t>N/A</t>
        </is>
      </c>
      <c r="AK6" s="610"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L6" s="610"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M6" s="610"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N6" s="610" t="inlineStr">
        <is>
          <t>Evaluation is conducted quarterly (once per quarter).</t>
        </is>
      </c>
      <c r="AO6" s="610"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P6" s="610" t="inlineStr">
        <is>
          <t>N/A</t>
        </is>
      </c>
      <c r="AQ6" s="610" t="inlineStr">
        <is>
          <t>Inspections or audits conducted by government authorities</t>
        </is>
      </c>
      <c r="AR6" s="610" t="inlineStr">
        <is>
          <t>Rectification orders; public notification</t>
        </is>
      </c>
      <c r="AS6" s="610" t="inlineStr">
        <is>
          <t>Other incentives or support measures</t>
        </is>
      </c>
      <c r="AT6" s="610"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U6" s="610"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V6" s="610" t="inlineStr">
        <is>
          <t>N/A (this is an indirect financial instrument with no direct greenhouse gas emission coverage share)</t>
        </is>
      </c>
      <c r="AW6" s="610" t="inlineStr">
        <is>
          <t>K64</t>
        </is>
      </c>
      <c r="AX6" s="610" t="inlineStr">
        <is>
          <t>CO2</t>
        </is>
      </c>
      <c r="AY6" s="610" t="inlineStr">
        <is>
          <t>Positive</t>
        </is>
      </c>
      <c r="AZ6" s="610" t="inlineStr">
        <is>
          <t>Industrial development; Technological innovation</t>
        </is>
      </c>
      <c r="BA6" s="610" t="inlineStr">
        <is>
          <t>Notice of the People's Bank of China on Issuing the Green Finance Evaluation Scheme for Banking Financial Institutions (PBC Document [2021] No. 142)</t>
        </is>
      </c>
      <c r="BB6" s="610" t="inlineStr">
        <is>
          <t>https://www.gov.cn/zhengce/zhengceku/2021-06/11/content_5616962.htm</t>
        </is>
      </c>
      <c r="BC6" s="610" t="inlineStr">
        <is>
          <t>N/A</t>
        </is>
      </c>
    </row>
    <row r="7">
      <c r="A7" s="610" t="inlineStr">
        <is>
          <t>CHNREPGFSI01S000</t>
        </is>
      </c>
      <c r="B7" s="610" t="inlineStr">
        <is>
          <t>Instrument</t>
        </is>
      </c>
      <c r="C7" s="610" t="inlineStr">
        <is>
          <t>Reporting requirements</t>
        </is>
      </c>
      <c r="D7" s="610" t="inlineStr">
        <is>
          <t>Green finance statistics</t>
        </is>
      </c>
      <c r="E7" s="610" t="inlineStr">
        <is>
          <t>Cross-sectoral</t>
        </is>
      </c>
      <c r="F7" s="610" t="inlineStr">
        <is>
          <t>N/A</t>
        </is>
      </c>
      <c r="G7" s="610" t="inlineStr">
        <is>
          <t>绿色贷款专项统计制度</t>
        </is>
      </c>
      <c r="H7" s="610" t="inlineStr">
        <is>
          <t>Green Loan Special Statistics System</t>
        </is>
      </c>
      <c r="I7" s="610" t="inlineStr">
        <is>
          <t>Guiding Opinions on Building a Green Finance System (PBC Document [2016] No. 228)</t>
        </is>
      </c>
      <c r="J7" s="610"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610" t="inlineStr">
        <is>
          <t>Information disclosure; Green economy; Green finance</t>
        </is>
      </c>
      <c r="L7" s="610" t="inlineStr">
        <is>
          <t>Indirect</t>
        </is>
      </c>
      <c r="M7" s="610" t="inlineStr">
        <is>
          <t>national</t>
        </is>
      </c>
      <c r="N7" s="610" t="inlineStr">
        <is>
          <t>N/A</t>
        </is>
      </c>
      <c r="O7" s="610" t="inlineStr">
        <is>
          <t>04/07/2013</t>
        </is>
      </c>
      <c r="P7" s="610" t="inlineStr">
        <is>
          <t>04/07/2013</t>
        </is>
      </c>
      <c r="Q7" s="610" t="inlineStr">
        <is>
          <t>N/A</t>
        </is>
      </c>
      <c r="R7" s="610" t="inlineStr">
        <is>
          <t>27/12/2019</t>
        </is>
      </c>
      <c r="S7" s="610"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T7" s="610">
        <f>IF(P7="","In force",IF(P7="N/A","In force",IF(TODAY()&lt;DATE(VALUE(RIGHT(P7,4)),VALUE(MID(P7,4,2)),VALUE(LEFT(P7,2))),"Scheduled",IF(Q7="","In force",IF(Q7="N/A","In force",IF(TODAY()&lt;DATE(VALUE(RIGHT(Q7,4)),VALUE(MID(Q7,4,2)),VALUE(LEFT(Q7,2))),"In force","Ended"))))))</f>
        <v/>
      </c>
      <c r="U7" s="610" t="inlineStr">
        <is>
          <t>People's Bank of China; branches of the People's Bank of China</t>
        </is>
      </c>
      <c r="V7" s="610" t="inlineStr">
        <is>
          <t>Green loan business</t>
        </is>
      </c>
      <c r="W7" s="610" t="inlineStr">
        <is>
          <t>N/A</t>
        </is>
      </c>
      <c r="X7" s="610"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Y7" s="610" t="inlineStr">
        <is>
          <t>N/A</t>
        </is>
      </c>
      <c r="Z7" s="610" t="inlineStr">
        <is>
          <t>N/A</t>
        </is>
      </c>
      <c r="AA7" s="610" t="inlineStr">
        <is>
          <t>Firms</t>
        </is>
      </c>
      <c r="AB7" s="610"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C7" s="610" t="inlineStr">
        <is>
          <t>Registration, licensing or other administrative tasks</t>
        </is>
      </c>
      <c r="AD7" s="610"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E7" s="610" t="inlineStr">
        <is>
          <t>N/A</t>
        </is>
      </c>
      <c r="AF7" s="610" t="inlineStr">
        <is>
          <t>N/A</t>
        </is>
      </c>
      <c r="AG7" s="610" t="inlineStr">
        <is>
          <t>N/A</t>
        </is>
      </c>
      <c r="AH7" s="610"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I7" s="610" t="inlineStr">
        <is>
          <t>N/A</t>
        </is>
      </c>
      <c r="AJ7" s="610" t="inlineStr">
        <is>
          <t>N/A</t>
        </is>
      </c>
      <c r="AK7" s="610"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L7" s="610"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M7" s="610" t="inlineStr">
        <is>
          <t>Banking financial institutions report green loan special statistical tables online through reporting channels such as the People's Bank of China's financial statistics monitoring and management information system (online reporting).</t>
        </is>
      </c>
      <c r="AN7" s="610" t="inlineStr">
        <is>
          <t>Reported quarterly (the previous quarter's green loan statistical data is reported within the prescribed period after the end of each quarter).</t>
        </is>
      </c>
      <c r="AO7" s="610"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P7" s="610" t="inlineStr">
        <is>
          <t>N/A</t>
        </is>
      </c>
      <c r="AQ7" s="610" t="inlineStr">
        <is>
          <t>Inspections or audits conducted by government authorities</t>
        </is>
      </c>
      <c r="AR7" s="610" t="inlineStr">
        <is>
          <t>Rectification orders; public notification</t>
        </is>
      </c>
      <c r="AS7" s="610" t="inlineStr">
        <is>
          <t>Other incentives or support measures</t>
        </is>
      </c>
      <c r="AT7" s="610"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U7" s="610" t="inlineStr">
        <is>
          <t>N/A (this instrument is a green finance statistics system that indirectly supports green and low-carbon development by guiding the allocation of credit resources, and has no directly quantifiable greenhouse gas emission coverage)</t>
        </is>
      </c>
      <c r="AV7" s="610" t="inlineStr">
        <is>
          <t>N/A (this is an indirect financial instrument with no direct greenhouse gas emission coverage share)</t>
        </is>
      </c>
      <c r="AW7" s="610" t="inlineStr">
        <is>
          <t>K64</t>
        </is>
      </c>
      <c r="AX7" s="610" t="inlineStr">
        <is>
          <t>CO2</t>
        </is>
      </c>
      <c r="AY7" s="610" t="inlineStr">
        <is>
          <t>Positive</t>
        </is>
      </c>
      <c r="AZ7" s="610" t="inlineStr">
        <is>
          <t>Industrial development; Technological innovation; Pollution control</t>
        </is>
      </c>
      <c r="BA7" s="610" t="inlineStr">
        <is>
          <t>Notice of the People's Bank of China on Revising the Special Statistical System for Green Loans (PBC Document [2019] No. 326)</t>
        </is>
      </c>
      <c r="BB7" s="610" t="inlineStr">
        <is>
          <t>http://www.gzgfa.org.cn/Guojiazhengce-35/171.html</t>
        </is>
      </c>
      <c r="BC7" s="610" t="inlineStr">
        <is>
          <t>https://gfm.sceex.com.cn/upload/20200120/23eaa84cde292b9125f6eb2ad890536f.pdf</t>
        </is>
      </c>
    </row>
    <row r="8">
      <c r="A8" s="610" t="inlineStr">
        <is>
          <t>CHNREPGFSI02S000</t>
        </is>
      </c>
      <c r="B8" s="610" t="inlineStr">
        <is>
          <t>Instrument</t>
        </is>
      </c>
      <c r="C8" s="610" t="inlineStr">
        <is>
          <t>Reporting requirements</t>
        </is>
      </c>
      <c r="D8" s="610" t="inlineStr">
        <is>
          <t>Green finance statistics</t>
        </is>
      </c>
      <c r="E8" s="610" t="inlineStr">
        <is>
          <t>Cross-sectoral</t>
        </is>
      </c>
      <c r="F8" s="610" t="inlineStr">
        <is>
          <t>N/A</t>
        </is>
      </c>
      <c r="G8" s="610" t="inlineStr">
        <is>
          <t>绿色保险业务统计制度</t>
        </is>
      </c>
      <c r="H8" s="610" t="inlineStr">
        <is>
          <t>Green Insurance Business Statistics System</t>
        </is>
      </c>
      <c r="I8" s="610" t="inlineStr">
        <is>
          <t>Guiding Opinions on Building a Green Finance System (PBC Document [2016] No. 228)</t>
        </is>
      </c>
      <c r="J8" s="610"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610" t="inlineStr">
        <is>
          <t>Information disclosure; Green economy; Green finance</t>
        </is>
      </c>
      <c r="L8" s="610" t="inlineStr">
        <is>
          <t>Indirect</t>
        </is>
      </c>
      <c r="M8" s="610" t="inlineStr">
        <is>
          <t>national</t>
        </is>
      </c>
      <c r="N8" s="610" t="inlineStr">
        <is>
          <t>N/A</t>
        </is>
      </c>
      <c r="O8" s="610" t="inlineStr">
        <is>
          <t>10/11/2022</t>
        </is>
      </c>
      <c r="P8" s="610" t="inlineStr">
        <is>
          <t>10/11/2022</t>
        </is>
      </c>
      <c r="Q8" s="610" t="inlineStr">
        <is>
          <t>N/A</t>
        </is>
      </c>
      <c r="R8" s="610" t="inlineStr">
        <is>
          <t>N/A</t>
        </is>
      </c>
      <c r="S8" s="610" t="inlineStr">
        <is>
          <t>N/A</t>
        </is>
      </c>
      <c r="T8" s="610">
        <f>IF(P8="","In force",IF(P8="N/A","In force",IF(TODAY()&lt;DATE(VALUE(RIGHT(P8,4)),VALUE(MID(P8,4,2)),VALUE(LEFT(P8,2))),"Scheduled",IF(Q8="","In force",IF(Q8="N/A","In force",IF(TODAY()&lt;DATE(VALUE(RIGHT(Q8,4)),VALUE(MID(Q8,4,2)),VALUE(LEFT(Q8,2))),"In force","Ended"))))))</f>
        <v/>
      </c>
      <c r="U8" s="610" t="inlineStr">
        <is>
          <t>National Financial Regulatory Administration (formerly the China Banking and Insurance Regulatory Commission); dispatched offices of the National Financial Regulatory Administration</t>
        </is>
      </c>
      <c r="V8" s="610" t="inlineStr">
        <is>
          <t>Green insurance business</t>
        </is>
      </c>
      <c r="W8" s="610" t="inlineStr">
        <is>
          <t>N/A</t>
        </is>
      </c>
      <c r="X8" s="610"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Y8" s="610" t="inlineStr">
        <is>
          <t>N/A</t>
        </is>
      </c>
      <c r="Z8" s="610" t="inlineStr">
        <is>
          <t>N/A</t>
        </is>
      </c>
      <c r="AA8" s="610" t="inlineStr">
        <is>
          <t>Firms</t>
        </is>
      </c>
      <c r="AB8" s="610"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C8" s="610" t="inlineStr">
        <is>
          <t>Registration, licensing or other administrative tasks</t>
        </is>
      </c>
      <c r="AD8" s="610"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E8" s="610" t="inlineStr">
        <is>
          <t>N/A</t>
        </is>
      </c>
      <c r="AF8" s="610" t="inlineStr">
        <is>
          <t>N/A</t>
        </is>
      </c>
      <c r="AG8" s="610" t="inlineStr">
        <is>
          <t>N/A</t>
        </is>
      </c>
      <c r="AH8" s="610"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I8" s="610" t="inlineStr">
        <is>
          <t>N/A</t>
        </is>
      </c>
      <c r="AJ8" s="610" t="inlineStr">
        <is>
          <t>N/A</t>
        </is>
      </c>
      <c r="AK8" s="610"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L8" s="610"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M8" s="610" t="inlineStr">
        <is>
          <t>Insurance company head offices report green insurance business statistical tables online through the innovation business statistics information system (online reporting).</t>
        </is>
      </c>
      <c r="AN8" s="610" t="inlineStr">
        <is>
          <t>Reported monthly (the previous month's green insurance business statistical data is reported within the prescribed period each month).</t>
        </is>
      </c>
      <c r="AO8" s="610"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P8" s="610" t="inlineStr">
        <is>
          <t>N/A</t>
        </is>
      </c>
      <c r="AQ8" s="610" t="inlineStr">
        <is>
          <t>Inspections or audits conducted by government authorities</t>
        </is>
      </c>
      <c r="AR8" s="610" t="inlineStr">
        <is>
          <t>Rectification orders; public notification</t>
        </is>
      </c>
      <c r="AS8" s="610" t="inlineStr">
        <is>
          <t>Other incentives or support measures</t>
        </is>
      </c>
      <c r="AT8" s="610"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U8" s="610" t="inlineStr">
        <is>
          <t>N/A (this instrument is a green finance statistics system that indirectly serves green and low-carbon development through insurance protection and financial support, and has no directly quantifiable greenhouse gas emission coverage)</t>
        </is>
      </c>
      <c r="AV8" s="610" t="inlineStr">
        <is>
          <t>N/A (this is an indirect financial instrument with no direct greenhouse gas emission coverage share)</t>
        </is>
      </c>
      <c r="AW8" s="610" t="inlineStr">
        <is>
          <t>K65</t>
        </is>
      </c>
      <c r="AX8" s="610" t="inlineStr">
        <is>
          <t>CO2</t>
        </is>
      </c>
      <c r="AY8" s="610" t="inlineStr">
        <is>
          <t>Positive</t>
        </is>
      </c>
      <c r="AZ8" s="610" t="inlineStr">
        <is>
          <t>Industrial development; Pollution control; Ecological protection</t>
        </is>
      </c>
      <c r="BA8" s="610" t="inlineStr">
        <is>
          <t>Notice of the General Office of the China Banking and Insurance Regulatory Commission on Issuing the Green Insurance Business Statistical System (CBIRC General Office Document [2022] No. 103)</t>
        </is>
      </c>
      <c r="BB8" s="610" t="inlineStr">
        <is>
          <t>https://www.nfra.gov.cn/cn/view/pages/ItemDetail.html?docId=1081137&amp;itemId=915&amp;generaltype=0</t>
        </is>
      </c>
      <c r="BC8" s="610" t="inlineStr">
        <is>
          <t>N/A</t>
        </is>
      </c>
    </row>
    <row r="9">
      <c r="A9" s="610" t="inlineStr">
        <is>
          <t>CHNREPESAI01S000</t>
        </is>
      </c>
      <c r="B9" s="610" t="inlineStr">
        <is>
          <t>Instrument</t>
        </is>
      </c>
      <c r="C9" s="610" t="inlineStr">
        <is>
          <t>Reporting requirements</t>
        </is>
      </c>
      <c r="D9" s="610" t="inlineStr">
        <is>
          <t>Energy statistics and audit</t>
        </is>
      </c>
      <c r="E9" s="610" t="inlineStr">
        <is>
          <t>Buildings; Transport</t>
        </is>
      </c>
      <c r="F9" s="610" t="inlineStr">
        <is>
          <t>Public institutions (Party and government organs, public institutions and civil organisations)</t>
        </is>
      </c>
      <c r="G9" s="610" t="inlineStr">
        <is>
          <t>公共机构能源消费统计调查与审计</t>
        </is>
      </c>
      <c r="H9" s="610" t="inlineStr">
        <is>
          <t>Public Institution Energy Consumption Statistics Survey and Audit</t>
        </is>
      </c>
      <c r="I9" s="610" t="inlineStr">
        <is>
          <t>N/A</t>
        </is>
      </c>
      <c r="J9" s="610"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610" t="inlineStr">
        <is>
          <t>Energy efficiency</t>
        </is>
      </c>
      <c r="L9" s="610" t="inlineStr">
        <is>
          <t>Indirect</t>
        </is>
      </c>
      <c r="M9" s="610" t="inlineStr">
        <is>
          <t>national</t>
        </is>
      </c>
      <c r="N9" s="610" t="inlineStr">
        <is>
          <t>N/A</t>
        </is>
      </c>
      <c r="O9" s="610" t="inlineStr">
        <is>
          <t>01/08/2008</t>
        </is>
      </c>
      <c r="P9" s="610" t="inlineStr">
        <is>
          <t>01/10/2008</t>
        </is>
      </c>
      <c r="Q9" s="610" t="inlineStr">
        <is>
          <t>N/A</t>
        </is>
      </c>
      <c r="R9" s="610" t="inlineStr">
        <is>
          <t>01/03/2017</t>
        </is>
      </c>
      <c r="S9" s="610"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T9" s="610">
        <f>IF(P9="","In force",IF(P9="N/A","In force",IF(TODAY()&lt;DATE(VALUE(RIGHT(P9,4)),VALUE(MID(P9,4,2)),VALUE(LEFT(P9,2))),"Scheduled",IF(Q9="","In force",IF(Q9="N/A","In force",IF(TODAY()&lt;DATE(VALUE(RIGHT(Q9,4)),VALUE(MID(Q9,4,2)),VALUE(LEFT(Q9,2))),"In force","Ended"))))))</f>
        <v/>
      </c>
      <c r="U9" s="610" t="inlineStr">
        <is>
          <t>Government Offices Administration of the State Council; National Bureau of Statistics; National Development and Reform Commission; institutions responsible for government offices administration of people's governments at and above county level</t>
        </is>
      </c>
      <c r="V9" s="610" t="inlineStr">
        <is>
          <t>Public institution buildings, energy-using systems and official vehicles</t>
        </is>
      </c>
      <c r="W9" s="610" t="inlineStr">
        <is>
          <t>Existing</t>
        </is>
      </c>
      <c r="X9" s="610"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Y9" s="610" t="inlineStr">
        <is>
          <t>N/A</t>
        </is>
      </c>
      <c r="Z9" s="610" t="inlineStr">
        <is>
          <t>N/A</t>
        </is>
      </c>
      <c r="AA9" s="610" t="inlineStr">
        <is>
          <t>Governments</t>
        </is>
      </c>
      <c r="AB9" s="610"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C9" s="610" t="inlineStr">
        <is>
          <t>Use</t>
        </is>
      </c>
      <c r="AD9" s="610"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E9" s="610" t="inlineStr">
        <is>
          <t>N/A</t>
        </is>
      </c>
      <c r="AF9" s="610" t="inlineStr">
        <is>
          <t>N/A</t>
        </is>
      </c>
      <c r="AG9" s="610" t="inlineStr">
        <is>
          <t>N/A</t>
        </is>
      </c>
      <c r="AH9" s="610"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I9" s="610" t="inlineStr">
        <is>
          <t>N/A</t>
        </is>
      </c>
      <c r="AJ9" s="610" t="inlineStr">
        <is>
          <t>N/A</t>
        </is>
      </c>
      <c r="AK9" s="610"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L9" s="610"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M9" s="610"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N9" s="610" t="inlineStr">
        <is>
          <t>Energy and resource consumption statistics are reported quarterly and annually; energy audits are conducted for key energy-using public institutions at prescribed intervals (generally once every few years).</t>
        </is>
      </c>
      <c r="AO9" s="610"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P9" s="610" t="inlineStr">
        <is>
          <t>N/A</t>
        </is>
      </c>
      <c r="AQ9" s="610" t="inlineStr">
        <is>
          <t>Inspections or audits conducted by government authorities</t>
        </is>
      </c>
      <c r="AR9" s="610" t="inlineStr">
        <is>
          <t>Administrative penalties; circulated criticism; rectification orders</t>
        </is>
      </c>
      <c r="AS9" s="610" t="inlineStr">
        <is>
          <t>Public institutions with outstanding energy-saving performance are commended and rewarded; energy-saving achievements contribute to the designation of energy-conserving government institutions.</t>
        </is>
      </c>
      <c r="AT9" s="610"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U9" s="610" t="inlineStr">
        <is>
          <t>N/A</t>
        </is>
      </c>
      <c r="AV9" s="610" t="inlineStr">
        <is>
          <t>N/A</t>
        </is>
      </c>
      <c r="AW9" s="610" t="inlineStr">
        <is>
          <t>O84; P85; Q86</t>
        </is>
      </c>
      <c r="AX9" s="610" t="inlineStr">
        <is>
          <t>CO2</t>
        </is>
      </c>
      <c r="AY9" s="610" t="inlineStr">
        <is>
          <t>Positive</t>
        </is>
      </c>
      <c r="AZ9" s="610" t="inlineStr">
        <is>
          <t>Energy conservation; Resource conservation</t>
        </is>
      </c>
      <c r="BA9" s="610" t="inlineStr">
        <is>
          <t>Regulations on Energy Conservation by Public Institutions (State Council Order No. 531)</t>
        </is>
      </c>
      <c r="BB9" s="610" t="inlineStr">
        <is>
          <t>https://www.gov.cn/zhengce/2008-08/11/content_2602516.htm</t>
        </is>
      </c>
      <c r="BC9" s="610" t="inlineStr">
        <is>
          <t>Interim Measures for the Administration of Energy Audits of Public Institutions: https://gbc.ggj.gov.cn/zcfg/bmgz/202201/t20220126_34491.htm</t>
        </is>
      </c>
    </row>
    <row r="10">
      <c r="A10" s="610" t="inlineStr">
        <is>
          <t>CHNCELELPI01S000</t>
        </is>
      </c>
      <c r="B10" s="610" t="inlineStr">
        <is>
          <t>Instrument</t>
        </is>
      </c>
      <c r="C10" s="610" t="inlineStr">
        <is>
          <t>Comparative energy efficiency label</t>
        </is>
      </c>
      <c r="D10" s="610" t="inlineStr">
        <is>
          <t>Energy labels for products and appliances</t>
        </is>
      </c>
      <c r="E10" s="610" t="inlineStr">
        <is>
          <t>Industry; Buildings; Energy</t>
        </is>
      </c>
      <c r="F10" s="610" t="inlineStr">
        <is>
          <t>Household appliance manufacturing; Industrial equipment manufacturing; Office equipment manufacturing; Lighting equipment manufacturing</t>
        </is>
      </c>
      <c r="G10" s="610" t="inlineStr">
        <is>
          <t>能源效率标识</t>
        </is>
      </c>
      <c r="H10" s="610" t="inlineStr">
        <is>
          <t>China Energy Label</t>
        </is>
      </c>
      <c r="I10" s="610" t="inlineStr">
        <is>
          <t>N/A</t>
        </is>
      </c>
      <c r="J10" s="610"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610" t="inlineStr">
        <is>
          <t>Energy efficiency; Information disclosure; Green consumption</t>
        </is>
      </c>
      <c r="L10" s="610" t="inlineStr">
        <is>
          <t>Indirect</t>
        </is>
      </c>
      <c r="M10" s="610" t="inlineStr">
        <is>
          <t>national</t>
        </is>
      </c>
      <c r="N10" s="610" t="inlineStr">
        <is>
          <t>N/A</t>
        </is>
      </c>
      <c r="O10" s="610" t="inlineStr">
        <is>
          <t>13/08/2004</t>
        </is>
      </c>
      <c r="P10" s="610" t="inlineStr">
        <is>
          <t>01/03/2005</t>
        </is>
      </c>
      <c r="Q10" s="610" t="inlineStr">
        <is>
          <t>N/A</t>
        </is>
      </c>
      <c r="R10" s="610" t="inlineStr">
        <is>
          <t>29/02/2016</t>
        </is>
      </c>
      <c r="S10" s="610"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State Administration for Market Regulation; China National Institute of Standardization (authorised registration body)</t>
        </is>
      </c>
      <c r="V10" s="610" t="inlineStr">
        <is>
          <t>Energy-using products listed in the catalogue</t>
        </is>
      </c>
      <c r="W10" s="610" t="inlineStr">
        <is>
          <t>Existing</t>
        </is>
      </c>
      <c r="X10" s="610"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Y10" s="610" t="inlineStr">
        <is>
          <t>N/A</t>
        </is>
      </c>
      <c r="Z10" s="610" t="inlineStr">
        <is>
          <t>N/A</t>
        </is>
      </c>
      <c r="AA10" s="610" t="inlineStr">
        <is>
          <t>Firms</t>
        </is>
      </c>
      <c r="AB10" s="610"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C10" s="610" t="inlineStr">
        <is>
          <t>Production; Import; Sale</t>
        </is>
      </c>
      <c r="AD10" s="610"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E10" s="610" t="inlineStr">
        <is>
          <t>N/A</t>
        </is>
      </c>
      <c r="AF10" s="610" t="inlineStr">
        <is>
          <t>N/A</t>
        </is>
      </c>
      <c r="AG10" s="610" t="inlineStr">
        <is>
          <t>N/A</t>
        </is>
      </c>
      <c r="AH10" s="610"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I10" s="610" t="inlineStr">
        <is>
          <t>N/A</t>
        </is>
      </c>
      <c r="AJ10" s="610" t="inlineStr">
        <is>
          <t>N/A</t>
        </is>
      </c>
      <c r="AK10" s="610"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L10" s="610"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M10" s="610"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N10" s="610" t="inlineStr">
        <is>
          <t>Once (registration before product placement on the market); re-registration required when the product model or energy efficiency information changes; the label must be continuously displayed on the product until final sale.</t>
        </is>
      </c>
      <c r="AO10" s="610"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P10" s="610" t="inlineStr">
        <is>
          <t>Comparative label (1–5 energy efficiency grades, graded, with energy efficiency information code / QR code)</t>
        </is>
      </c>
      <c r="AQ10" s="610" t="inlineStr">
        <is>
          <t>Inspections or audits conducted by government authorities or third parties</t>
        </is>
      </c>
      <c r="AR10" s="610" t="inlineStr">
        <is>
          <t>Monetary penalties; Rectification orders; Credit disciplinary action</t>
        </is>
      </c>
      <c r="AS10" s="610" t="inlineStr">
        <is>
          <t>Tax incentives; fiscal subsidies. High-energy-efficiency-grade products are eligible for inclusion in the government procurement energy-saving product list and consumer subsidy programmes.</t>
        </is>
      </c>
      <c r="AT10" s="610"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U10" s="610" t="inlineStr">
        <is>
          <t>N/A</t>
        </is>
      </c>
      <c r="AV10" s="610" t="inlineStr">
        <is>
          <t>N/A</t>
        </is>
      </c>
      <c r="AW10" s="610" t="inlineStr">
        <is>
          <t>C27; C28; G47</t>
        </is>
      </c>
      <c r="AX10" s="610" t="inlineStr">
        <is>
          <t>CO2</t>
        </is>
      </c>
      <c r="AY10" s="610" t="inlineStr">
        <is>
          <t>Positive</t>
        </is>
      </c>
      <c r="AZ10" s="610" t="inlineStr">
        <is>
          <t>Energy conservation; Green consumption; Technological innovation</t>
        </is>
      </c>
      <c r="BA10" s="610" t="inlineStr">
        <is>
          <t>Measures for the Administration of Energy Efficiency Labels (NDRC and AQSIQ Order No. 35, revised 2016)</t>
        </is>
      </c>
      <c r="BB10" s="610" t="inlineStr">
        <is>
          <t>https://www.gov.cn/gongbao/content/2016/content_5074057.htm</t>
        </is>
      </c>
      <c r="BC10" s="610" t="inlineStr">
        <is>
          <t>China Energy Label website: www.energylabelrecord.com</t>
        </is>
      </c>
    </row>
    <row r="11">
      <c r="A11" s="610" t="inlineStr">
        <is>
          <t>CHNCELELBI01S000</t>
        </is>
      </c>
      <c r="B11" s="610" t="inlineStr">
        <is>
          <t>Instrument</t>
        </is>
      </c>
      <c r="C11" s="610" t="inlineStr">
        <is>
          <t>Comparative energy efficiency label</t>
        </is>
      </c>
      <c r="D11" s="610" t="inlineStr">
        <is>
          <t>Energy labels for buildings</t>
        </is>
      </c>
      <c r="E11" s="610" t="inlineStr">
        <is>
          <t>Buildings</t>
        </is>
      </c>
      <c r="F11" s="610" t="inlineStr">
        <is>
          <t>Building construction</t>
        </is>
      </c>
      <c r="G11" s="610" t="inlineStr">
        <is>
          <t>民用建筑能效测评标识</t>
        </is>
      </c>
      <c r="H11" s="610" t="inlineStr">
        <is>
          <t>Civil Building Energy Efficiency Evaluation and Labeling</t>
        </is>
      </c>
      <c r="I11" s="610" t="inlineStr">
        <is>
          <t>N/A</t>
        </is>
      </c>
      <c r="J11" s="610"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610" t="inlineStr">
        <is>
          <t>Energy efficiency; Information disclosure; Green economy</t>
        </is>
      </c>
      <c r="L11" s="610" t="inlineStr">
        <is>
          <t>Indirect</t>
        </is>
      </c>
      <c r="M11" s="610" t="inlineStr">
        <is>
          <t>national</t>
        </is>
      </c>
      <c r="N11" s="610" t="inlineStr">
        <is>
          <t>N/A</t>
        </is>
      </c>
      <c r="O11" s="610" t="inlineStr">
        <is>
          <t>28/04/2008</t>
        </is>
      </c>
      <c r="P11" s="610" t="inlineStr">
        <is>
          <t>28/04/2008</t>
        </is>
      </c>
      <c r="Q11" s="610" t="inlineStr">
        <is>
          <t>N/A</t>
        </is>
      </c>
      <c r="R11" s="610" t="inlineStr">
        <is>
          <t>N/A</t>
        </is>
      </c>
      <c r="S11" s="610" t="inlineStr">
        <is>
          <t>N/A</t>
        </is>
      </c>
      <c r="T11" s="610">
        <f>IF(P11="","In force",IF(P11="N/A","In force",IF(TODAY()&lt;DATE(VALUE(RIGHT(P11,4)),VALUE(MID(P11,4,2)),VALUE(LEFT(P11,2))),"Scheduled",IF(Q11="","In force",IF(Q11="N/A","In force",IF(TODAY()&lt;DATE(VALUE(RIGHT(Q11,4)),VALUE(MID(Q11,4,2)),VALUE(LEFT(Q11,2))),"In force","Ended"))))))</f>
        <v/>
      </c>
      <c r="U11" s="610" t="inlineStr">
        <is>
          <t>Ministry of Housing and Urban-Rural Development; provincial housing and urban-rural development authorities; national and provincial building energy efficiency evaluation institutions</t>
        </is>
      </c>
      <c r="V11" s="610" t="inlineStr">
        <is>
          <t>Civil buildings</t>
        </is>
      </c>
      <c r="W11" s="610" t="inlineStr">
        <is>
          <t>Existing</t>
        </is>
      </c>
      <c r="X11" s="610"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Y11" s="610" t="inlineStr">
        <is>
          <t>N/A</t>
        </is>
      </c>
      <c r="Z11" s="610" t="inlineStr">
        <is>
          <t>N/A</t>
        </is>
      </c>
      <c r="AA11" s="610" t="inlineStr">
        <is>
          <t>Firms</t>
        </is>
      </c>
      <c r="AB11" s="610"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C11" s="610" t="inlineStr">
        <is>
          <t>Design; Construction; Operation</t>
        </is>
      </c>
      <c r="AD11" s="610"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E11" s="610" t="inlineStr">
        <is>
          <t>N/A</t>
        </is>
      </c>
      <c r="AF11" s="610" t="inlineStr">
        <is>
          <t>N/A</t>
        </is>
      </c>
      <c r="AG11" s="610" t="inlineStr">
        <is>
          <t>N/A</t>
        </is>
      </c>
      <c r="AH11" s="610"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I11" s="610" t="inlineStr">
        <is>
          <t>N/A</t>
        </is>
      </c>
      <c r="AJ11" s="610" t="inlineStr">
        <is>
          <t>N/A</t>
        </is>
      </c>
      <c r="AK11" s="610"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L11" s="610"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M11" s="610"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N11" s="610" t="inlineStr">
        <is>
          <t>Theoretical-value label: issued once after construction completion and acceptance (valid 1 year); measured-value label: updated once after one full year of operation (valid 5 years); renewal requires re-evaluation upon expiry.</t>
        </is>
      </c>
      <c r="AO11" s="610"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P11" s="610" t="inlineStr">
        <is>
          <t>Comparative label (1–5 stars, ★ to ★★★★★, based on percentage building energy savings above the mandatory standard baseline)</t>
        </is>
      </c>
      <c r="AQ11" s="610" t="inlineStr">
        <is>
          <t>Inspections or audits conducted by government authorities or third parties</t>
        </is>
      </c>
      <c r="AR11" s="610" t="inlineStr">
        <is>
          <t>Administrative penalties; Rectification orders; Revocation of evaluation institution accreditation</t>
        </is>
      </c>
      <c r="AS11" s="610" t="inlineStr">
        <is>
          <t>N/A</t>
        </is>
      </c>
      <c r="AT11" s="610"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U11" s="610" t="inlineStr">
        <is>
          <t>N/A</t>
        </is>
      </c>
      <c r="AV11" s="610" t="inlineStr">
        <is>
          <t>N/A</t>
        </is>
      </c>
      <c r="AW11" s="610" t="inlineStr">
        <is>
          <t>F41</t>
        </is>
      </c>
      <c r="AX11" s="610" t="inlineStr">
        <is>
          <t>CO2</t>
        </is>
      </c>
      <c r="AY11" s="610" t="inlineStr">
        <is>
          <t>Positive</t>
        </is>
      </c>
      <c r="AZ11" s="610" t="inlineStr">
        <is>
          <t>Energy conservation; Industrial development</t>
        </is>
      </c>
      <c r="BA11" s="610" t="inlineStr">
        <is>
          <t>Notice on Piloting the Civil Building Energy Efficiency Evaluation and Labeling System (Jian Ke [2008] No. 80)</t>
        </is>
      </c>
      <c r="BB11" s="610" t="inlineStr">
        <is>
          <t>https://www.mohurd.gov.cn/gongkai/zc/wjk/art/2008/art_17339_167570.html</t>
        </is>
      </c>
      <c r="BC11" s="610" t="inlineStr">
        <is>
          <t>Civil Building Energy Efficiency Regulation (State Council Order No. 530): https://www.gov.cn/zhengce/content/2008-08/08/content_4927.htm</t>
        </is>
      </c>
    </row>
    <row r="12">
      <c r="A12" s="610" t="inlineStr">
        <is>
          <t>CHNCELELVI01S000</t>
        </is>
      </c>
      <c r="B12" s="610" t="inlineStr">
        <is>
          <t>Instrument</t>
        </is>
      </c>
      <c r="C12" s="610" t="inlineStr">
        <is>
          <t>Comparative energy efficiency label</t>
        </is>
      </c>
      <c r="D12" s="610" t="inlineStr">
        <is>
          <t>Energy labels for vehicles</t>
        </is>
      </c>
      <c r="E12" s="610" t="inlineStr">
        <is>
          <t>Transport</t>
        </is>
      </c>
      <c r="F12" s="610" t="inlineStr">
        <is>
          <t>Road transport</t>
        </is>
      </c>
      <c r="G12" s="610" t="inlineStr">
        <is>
          <t>轻型汽车能源消耗量标识</t>
        </is>
      </c>
      <c r="H12" s="610" t="inlineStr">
        <is>
          <t>Light-duty Vehicle Energy Consumption Label</t>
        </is>
      </c>
      <c r="I12" s="610" t="inlineStr">
        <is>
          <t>N/A</t>
        </is>
      </c>
      <c r="J12" s="610"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610" t="inlineStr">
        <is>
          <t>Energy efficiency; Green consumption; Information disclosure</t>
        </is>
      </c>
      <c r="L12" s="610" t="inlineStr">
        <is>
          <t>Indirect</t>
        </is>
      </c>
      <c r="M12" s="610" t="inlineStr">
        <is>
          <t>national</t>
        </is>
      </c>
      <c r="N12" s="610" t="inlineStr">
        <is>
          <t>N/A</t>
        </is>
      </c>
      <c r="O12" s="610" t="inlineStr">
        <is>
          <t>31/12/2008</t>
        </is>
      </c>
      <c r="P12" s="610" t="inlineStr">
        <is>
          <t>01/01/2010</t>
        </is>
      </c>
      <c r="Q12" s="610" t="inlineStr">
        <is>
          <t>N/A</t>
        </is>
      </c>
      <c r="R12" s="610" t="inlineStr">
        <is>
          <t>2017</t>
        </is>
      </c>
      <c r="S12" s="610"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T12" s="610">
        <f>IF(P12="","In force",IF(P12="N/A","In force",IF(TODAY()&lt;DATE(VALUE(RIGHT(P12,4)),VALUE(MID(P12,4,2)),VALUE(LEFT(P12,2))),"Scheduled",IF(Q12="","In force",IF(Q12="N/A","In force",IF(TODAY()&lt;DATE(VALUE(RIGHT(Q12,4)),VALUE(MID(Q12,4,2)),VALUE(LEFT(Q12,2))),"In force","Ended"))))))</f>
        <v/>
      </c>
      <c r="U12" s="610" t="inlineStr">
        <is>
          <t>Ministry of Industry and Information Technology; State Administration for Market Regulation; China Automotive Technology and Research Center (technical support body)</t>
        </is>
      </c>
      <c r="V12" s="610" t="inlineStr">
        <is>
          <t>Light-duty vehicles (M1, M2, N1 categories, gross mass &lt;= 3,500 kg)</t>
        </is>
      </c>
      <c r="W12" s="610" t="inlineStr">
        <is>
          <t>Existing</t>
        </is>
      </c>
      <c r="X12" s="610"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Y12" s="610" t="inlineStr">
        <is>
          <t>N/A</t>
        </is>
      </c>
      <c r="Z12" s="610" t="inlineStr">
        <is>
          <t>N/A</t>
        </is>
      </c>
      <c r="AA12" s="610" t="inlineStr">
        <is>
          <t>Firms</t>
        </is>
      </c>
      <c r="AB12" s="610"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C12" s="610" t="inlineStr">
        <is>
          <t>Production; Import; Sale</t>
        </is>
      </c>
      <c r="AD12" s="610"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E12" s="610" t="inlineStr">
        <is>
          <t>N/A</t>
        </is>
      </c>
      <c r="AF12" s="610" t="inlineStr">
        <is>
          <t>N/A</t>
        </is>
      </c>
      <c r="AG12" s="610" t="inlineStr">
        <is>
          <t>N/A</t>
        </is>
      </c>
      <c r="AH12" s="610"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I12" s="610" t="inlineStr">
        <is>
          <t>N/A</t>
        </is>
      </c>
      <c r="AJ12" s="610" t="inlineStr">
        <is>
          <t>N/A</t>
        </is>
      </c>
      <c r="AK12" s="610"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L12" s="610"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M12" s="610"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N12" s="610"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O12" s="610"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P12" s="610" t="inlineStr">
        <is>
          <t>Comparative label (includes combined, urban and extra-urban fuel consumption figures and the applicable mandatory limit standard, enabling direct consumer comparison across models)</t>
        </is>
      </c>
      <c r="AQ12" s="610" t="inlineStr">
        <is>
          <t>Inspections or audits conducted by government authorities or third parties</t>
        </is>
      </c>
      <c r="AR12" s="610" t="inlineStr">
        <is>
          <t>Monetary penalties; Rectification orders</t>
        </is>
      </c>
      <c r="AS12" s="610" t="inlineStr">
        <is>
          <t>N/A</t>
        </is>
      </c>
      <c r="AT12" s="610"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U12" s="610" t="inlineStr">
        <is>
          <t>N/A</t>
        </is>
      </c>
      <c r="AV12" s="610" t="inlineStr">
        <is>
          <t>N/A</t>
        </is>
      </c>
      <c r="AW12" s="610" t="inlineStr">
        <is>
          <t>C29; G45</t>
        </is>
      </c>
      <c r="AX12" s="610" t="inlineStr">
        <is>
          <t>CO2</t>
        </is>
      </c>
      <c r="AY12" s="610" t="inlineStr">
        <is>
          <t>Positive</t>
        </is>
      </c>
      <c r="AZ12" s="610" t="inlineStr">
        <is>
          <t>Green consumption; Energy conservation</t>
        </is>
      </c>
      <c r="BA12" s="610" t="inlineStr">
        <is>
          <t>Administrative Provisions on the Marking of Light-duty Vehicle Fuel Consumption (Gong Zhuang [2009] No. 50); GB 22757.1-2017 Light-duty Vehicle Energy Consumption Label — Part 1: Gasoline and Diesel Vehicles</t>
        </is>
      </c>
      <c r="BB12" s="610" t="inlineStr">
        <is>
          <t>https://www.miit.gov.cn/jgsj/zbys/qcgy/art/2020/art_3fa9c86d1d6d4339a3dca85de7cdacfa.html</t>
        </is>
      </c>
      <c r="BC12" s="610" t="inlineStr">
        <is>
          <t>MIIT China Motor Vehicle Fuel Consumption Query System: https://www.miit.gov.cn/</t>
        </is>
      </c>
    </row>
    <row r="13">
      <c r="A13" s="610" t="inlineStr">
        <is>
          <t>CHNCBAIGCI01S000</t>
        </is>
      </c>
      <c r="B13" s="610" t="inlineStr">
        <is>
          <t>Instrument</t>
        </is>
      </c>
      <c r="C13" s="610" t="inlineStr">
        <is>
          <t>Capacity building and public awareness</t>
        </is>
      </c>
      <c r="D13" s="610" t="inlineStr">
        <is>
          <t>Industry guidance catalogue</t>
        </is>
      </c>
      <c r="E13" s="610" t="inlineStr">
        <is>
          <t>Cross-sectoral</t>
        </is>
      </c>
      <c r="F13" s="610" t="inlineStr">
        <is>
          <t>N/A</t>
        </is>
      </c>
      <c r="G13" s="610" t="inlineStr">
        <is>
          <t>绿色低碳转型产业指导目录</t>
        </is>
      </c>
      <c r="H13" s="610" t="inlineStr">
        <is>
          <t>Green Low-Carbon Transition Industry Guidance Catalogue</t>
        </is>
      </c>
      <c r="I13" s="610" t="inlineStr">
        <is>
          <t>N/A</t>
        </is>
      </c>
      <c r="J13" s="610"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610" t="inlineStr">
        <is>
          <t>Industrial development; Green economy; Climate change mitigation</t>
        </is>
      </c>
      <c r="L13" s="610" t="inlineStr">
        <is>
          <t>Direct</t>
        </is>
      </c>
      <c r="M13" s="610" t="inlineStr">
        <is>
          <t>national</t>
        </is>
      </c>
      <c r="N13" s="610" t="inlineStr">
        <is>
          <t>N/A</t>
        </is>
      </c>
      <c r="O13" s="610" t="inlineStr">
        <is>
          <t>14/02/2019</t>
        </is>
      </c>
      <c r="P13" s="610" t="inlineStr">
        <is>
          <t>14/02/2019</t>
        </is>
      </c>
      <c r="Q13" s="610" t="inlineStr">
        <is>
          <t>N/A</t>
        </is>
      </c>
      <c r="R13" s="610" t="inlineStr">
        <is>
          <t>29/02/2024</t>
        </is>
      </c>
      <c r="S13" s="610"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T13" s="610">
        <f>IF(P13="","In force",IF(P13="N/A","In force",IF(TODAY()&lt;DATE(VALUE(RIGHT(P13,4)),VALUE(MID(P13,4,2)),VALUE(LEFT(P13,2))),"Scheduled",IF(Q13="","In force",IF(Q13="N/A","In force",IF(TODAY()&lt;DATE(VALUE(RIGHT(Q13,4)),VALUE(MID(Q13,4,2)),VALUE(LEFT(Q13,2))),"In force","Ended"))))))</f>
        <v/>
      </c>
      <c r="U13" s="610"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V13" s="610" t="inlineStr">
        <is>
          <t>Green and low-carbon industrial activities (industry classification standard)</t>
        </is>
      </c>
      <c r="W13" s="610" t="inlineStr">
        <is>
          <t>N/A</t>
        </is>
      </c>
      <c r="X13" s="610"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Y13" s="610" t="inlineStr">
        <is>
          <t>N/A</t>
        </is>
      </c>
      <c r="Z13" s="610" t="inlineStr">
        <is>
          <t>N/A</t>
        </is>
      </c>
      <c r="AA13" s="610" t="inlineStr">
        <is>
          <t>Firms</t>
        </is>
      </c>
      <c r="AB13" s="610"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C13" s="610" t="inlineStr">
        <is>
          <t>Production</t>
        </is>
      </c>
      <c r="AD13" s="610"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E13" s="610" t="inlineStr">
        <is>
          <t>N/A</t>
        </is>
      </c>
      <c r="AF13" s="610" t="inlineStr">
        <is>
          <t>N/A</t>
        </is>
      </c>
      <c r="AG13" s="610" t="inlineStr">
        <is>
          <t>N/A</t>
        </is>
      </c>
      <c r="AH13" s="610"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I13" s="610" t="inlineStr">
        <is>
          <t>N/A</t>
        </is>
      </c>
      <c r="AJ13" s="610" t="inlineStr">
        <is>
          <t>N/A</t>
        </is>
      </c>
      <c r="AK13" s="610"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L13" s="610" t="inlineStr">
        <is>
          <t>The National Development and Reform Commission (Department of Environmental and Resource Comprehensive Utilisation) together with relevant departments is responsible for organising the research, compilation, revision and release of the catalogue.</t>
        </is>
      </c>
      <c r="AM13" s="610" t="inlineStr">
        <is>
          <t>NDRC and other departments publicly release the catalogue through notices and official portals (government public release).</t>
        </is>
      </c>
      <c r="AN13" s="610" t="inlineStr">
        <is>
          <t>Revised and updated from time to time (2019 Edition, 2024 Edition).</t>
        </is>
      </c>
      <c r="AO13" s="610" t="inlineStr">
        <is>
          <t>Yes (public). The catalogue is fully disclosed to the public through the competent departments' notices and official portals.</t>
        </is>
      </c>
      <c r="AP13" s="610" t="inlineStr">
        <is>
          <t>N/A</t>
        </is>
      </c>
      <c r="AQ13" s="610" t="inlineStr">
        <is>
          <t>No compliance monitoring</t>
        </is>
      </c>
      <c r="AR13" s="610" t="inlineStr">
        <is>
          <t>No compliance enforcement</t>
        </is>
      </c>
      <c r="AS13" s="610" t="inlineStr">
        <is>
          <t>Other incentives or support measures</t>
        </is>
      </c>
      <c r="AT13" s="610"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U13" s="610"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V13" s="610" t="inlineStr">
        <is>
          <t>N/A (this is an indirect industry-guidance instrument with no direct greenhouse gas emission coverage share)</t>
        </is>
      </c>
      <c r="AW13" s="610" t="inlineStr">
        <is>
          <t>M72</t>
        </is>
      </c>
      <c r="AX13" s="610" t="inlineStr">
        <is>
          <t>CO2; CH4; N2O</t>
        </is>
      </c>
      <c r="AY13" s="610" t="inlineStr">
        <is>
          <t>Positive</t>
        </is>
      </c>
      <c r="AZ13" s="610" t="inlineStr">
        <is>
          <t>Industrial development; Technological innovation; Pollution control; Resource conservation; Circular economy</t>
        </is>
      </c>
      <c r="BA13" s="610" t="inlineStr">
        <is>
          <t>Notice on Issuing the Green Low-Carbon Transition Industry Guidance Catalogue (2024 Edition) (NDRC Environmental Resources [2024] No. 165)</t>
        </is>
      </c>
      <c r="BB13" s="610" t="inlineStr">
        <is>
          <t>https://zfxxgk.ndrc.gov.cn/web/iteminfo.jsp?id=20340</t>
        </is>
      </c>
      <c r="BC13" s="610" t="inlineStr">
        <is>
          <t>https://sfgw.xuchang.gov.cn/fzgg/076006/20190308/3168d8b5-5db4-4b24-8fd1-59d29295085a.html</t>
        </is>
      </c>
    </row>
    <row r="14">
      <c r="A14" s="610" t="inlineStr">
        <is>
          <t>CHNCBAPACI01S000</t>
        </is>
      </c>
      <c r="B14" s="610" t="inlineStr">
        <is>
          <t>Instrument</t>
        </is>
      </c>
      <c r="C14" s="610" t="inlineStr">
        <is>
          <t>Capacity building and public awareness</t>
        </is>
      </c>
      <c r="D14" s="610" t="inlineStr">
        <is>
          <t>Public awareness campaign</t>
        </is>
      </c>
      <c r="E14" s="610" t="inlineStr">
        <is>
          <t>Waste</t>
        </is>
      </c>
      <c r="F14" s="610" t="inlineStr">
        <is>
          <t>N/A</t>
        </is>
      </c>
      <c r="G14" s="610" t="inlineStr">
        <is>
          <t>全国城市生活垃圾分类宣传周</t>
        </is>
      </c>
      <c r="H14" s="610" t="inlineStr">
        <is>
          <t>National Urban Waste Sorting Awareness Week</t>
        </is>
      </c>
      <c r="I14" s="610" t="inlineStr">
        <is>
          <t>N/A</t>
        </is>
      </c>
      <c r="J14" s="610"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610" t="inlineStr">
        <is>
          <t>Public awareness; Green consumption</t>
        </is>
      </c>
      <c r="L14" s="610" t="inlineStr">
        <is>
          <t>Direct</t>
        </is>
      </c>
      <c r="M14" s="610" t="inlineStr">
        <is>
          <t>national</t>
        </is>
      </c>
      <c r="N14" s="610" t="inlineStr">
        <is>
          <t>N/A</t>
        </is>
      </c>
      <c r="O14" s="610" t="inlineStr">
        <is>
          <t>18/05/2023</t>
        </is>
      </c>
      <c r="P14" s="610" t="inlineStr">
        <is>
          <t>18/05/2023</t>
        </is>
      </c>
      <c r="Q14" s="610" t="inlineStr">
        <is>
          <t>N/A</t>
        </is>
      </c>
      <c r="R14" s="610" t="inlineStr">
        <is>
          <t>N/A</t>
        </is>
      </c>
      <c r="S14" s="610" t="inlineStr">
        <is>
          <t>N/A</t>
        </is>
      </c>
      <c r="T14" s="610">
        <f>IF(P14="","In force",IF(P14="N/A","In force",IF(TODAY()&lt;DATE(VALUE(RIGHT(P14,4)),VALUE(MID(P14,4,2)),VALUE(LEFT(P14,2))),"Scheduled",IF(Q14="","In force",IF(Q14="N/A","In force",IF(TODAY()&lt;DATE(VALUE(RIGHT(Q14,4)),VALUE(MID(Q14,4,2)),VALUE(LEFT(Q14,2))),"In force","Ended"))))))</f>
        <v/>
      </c>
      <c r="U14" s="610" t="inlineStr">
        <is>
          <t>Ministry of Housing and Urban-Rural Development; Ministry of Education; National Government Offices Administration; All-China Federation of Trade Unions; Communist Youth League Central Committee</t>
        </is>
      </c>
      <c r="V14" s="610" t="inlineStr">
        <is>
          <t>Public awareness/knowledge (awareness and education campaign)</t>
        </is>
      </c>
      <c r="W14" s="610" t="inlineStr">
        <is>
          <t>N/A</t>
        </is>
      </c>
      <c r="X14" s="610"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Y14" s="610" t="inlineStr">
        <is>
          <t>N/A</t>
        </is>
      </c>
      <c r="Z14" s="610" t="inlineStr">
        <is>
          <t>N/A</t>
        </is>
      </c>
      <c r="AA14" s="610" t="inlineStr">
        <is>
          <t>Households; Firms; Governments</t>
        </is>
      </c>
      <c r="AB14" s="610"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C14" s="610" t="inlineStr">
        <is>
          <t>Disposal, collection or sorting after use</t>
        </is>
      </c>
      <c r="AD14" s="610"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E14" s="610" t="inlineStr">
        <is>
          <t>N/A</t>
        </is>
      </c>
      <c r="AF14" s="610" t="inlineStr">
        <is>
          <t>N/A</t>
        </is>
      </c>
      <c r="AG14" s="610" t="inlineStr">
        <is>
          <t>N/A</t>
        </is>
      </c>
      <c r="AH14" s="610"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I14" s="610" t="inlineStr">
        <is>
          <t>N/A</t>
        </is>
      </c>
      <c r="AJ14" s="610" t="inlineStr">
        <is>
          <t>N/A</t>
        </is>
      </c>
      <c r="AK14" s="610"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L14" s="610"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M14" s="610" t="inlineStr">
        <is>
          <t>The five departments jointly publish activity plans through notices and official web portals (government public release); awareness content is disseminated to the public through traditional media, new media, community bulletin boards and volunteer services.</t>
        </is>
      </c>
      <c r="AN14" s="610" t="inlineStr">
        <is>
          <t>Annual (fourth week of May each year); activity notice issued annually.</t>
        </is>
      </c>
      <c r="AO14" s="610" t="inlineStr">
        <is>
          <t>Yes (public). Awareness Week activity notices and content are made publicly available through government websites and various media channels.</t>
        </is>
      </c>
      <c r="AP14" s="610" t="inlineStr">
        <is>
          <t>N/A</t>
        </is>
      </c>
      <c r="AQ14" s="610" t="inlineStr">
        <is>
          <t>No compliance monitoring</t>
        </is>
      </c>
      <c r="AR14" s="610" t="inlineStr">
        <is>
          <t>No compliance enforcement</t>
        </is>
      </c>
      <c r="AS14" s="610" t="inlineStr">
        <is>
          <t>Other incentives or support</t>
        </is>
      </c>
      <c r="AT14" s="610"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U14" s="610" t="inlineStr">
        <is>
          <t>N/A (this instrument is a public awareness and education campaign; it indirectly reduces methane emissions from landfills by raising waste sorting awareness and participation rates, and has no directly quantifiable emission coverage)</t>
        </is>
      </c>
      <c r="AV14" s="610" t="inlineStr">
        <is>
          <t>N/A (this instrument is an indirect awareness and education tool with no direct GHG emission coverage share)</t>
        </is>
      </c>
      <c r="AW14" s="610" t="inlineStr">
        <is>
          <t>E38</t>
        </is>
      </c>
      <c r="AX14" s="610" t="inlineStr">
        <is>
          <t>CO2; CH4</t>
        </is>
      </c>
      <c r="AY14" s="610" t="inlineStr">
        <is>
          <t>Positive</t>
        </is>
      </c>
      <c r="AZ14" s="610" t="inlineStr">
        <is>
          <t>Resource conservation; Circular economy; Pollution control; Industrial development</t>
        </is>
      </c>
      <c r="BA14" s="610" t="inlineStr">
        <is>
          <t>Notice of the General Office of the Ministry of Housing and Urban-Rural Development and Four Other Departments on Carrying Out the National Urban Waste Sorting Awareness Week Activities</t>
        </is>
      </c>
      <c r="BB14" s="610" t="inlineStr">
        <is>
          <t>https://www.mohurd.gov.cn/gongkai/zc/wjk/art/2023/art_17339_777696.html</t>
        </is>
      </c>
      <c r="BC14" s="610" t="inlineStr">
        <is>
          <t>https://gbc.ggj.gov.cn/xwzx/ggjxw/202305/t20230522_42974.htm</t>
        </is>
      </c>
    </row>
    <row r="15">
      <c r="A15" s="610" t="inlineStr">
        <is>
          <t>CHNCBAPACI03S000</t>
        </is>
      </c>
      <c r="B15" s="610" t="inlineStr">
        <is>
          <t>Instrument</t>
        </is>
      </c>
      <c r="C15" s="610" t="inlineStr">
        <is>
          <t>Capacity building and public awareness</t>
        </is>
      </c>
      <c r="D15" s="610" t="inlineStr">
        <is>
          <t>Public awareness campaign</t>
        </is>
      </c>
      <c r="E15" s="610" t="inlineStr">
        <is>
          <t>Cross-sectoral</t>
        </is>
      </c>
      <c r="F15" s="610" t="inlineStr">
        <is>
          <t>N/A</t>
        </is>
      </c>
      <c r="G15" s="610" t="inlineStr">
        <is>
          <t>全国节能宣传周</t>
        </is>
      </c>
      <c r="H15" s="610" t="inlineStr">
        <is>
          <t>National Energy Conservation Awareness Week</t>
        </is>
      </c>
      <c r="I15" s="610" t="inlineStr">
        <is>
          <t>N/A</t>
        </is>
      </c>
      <c r="J15" s="610"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610" t="inlineStr">
        <is>
          <t>Public awareness; Energy efficiency</t>
        </is>
      </c>
      <c r="L15" s="610" t="inlineStr">
        <is>
          <t>Direct</t>
        </is>
      </c>
      <c r="M15" s="610" t="inlineStr">
        <is>
          <t>national</t>
        </is>
      </c>
      <c r="N15" s="610" t="inlineStr">
        <is>
          <t>N/A</t>
        </is>
      </c>
      <c r="O15" s="610" t="inlineStr">
        <is>
          <t>07/10/1991</t>
        </is>
      </c>
      <c r="P15" s="610" t="inlineStr">
        <is>
          <t>07/10/1991</t>
        </is>
      </c>
      <c r="Q15" s="610" t="inlineStr">
        <is>
          <t>N/A</t>
        </is>
      </c>
      <c r="R15" s="610" t="inlineStr">
        <is>
          <t>17/06/2013</t>
        </is>
      </c>
      <c r="S15" s="610"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T15" s="610">
        <f>IF(P15="","In force",IF(P15="N/A","In force",IF(TODAY()&lt;DATE(VALUE(RIGHT(P15,4)),VALUE(MID(P15,4,2)),VALUE(LEFT(P15,2))),"Scheduled",IF(Q15="","In force",IF(Q15="N/A","In force",IF(TODAY()&lt;DATE(VALUE(RIGHT(Q15,4)),VALUE(MID(Q15,4,2)),VALUE(LEFT(Q15,2))),"In force","Ended"))))))</f>
        <v/>
      </c>
      <c r="U15" s="610"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V15" s="610" t="inlineStr">
        <is>
          <t>Public awareness/knowledge (awareness and education campaign)</t>
        </is>
      </c>
      <c r="W15" s="610" t="inlineStr">
        <is>
          <t>N/A</t>
        </is>
      </c>
      <c r="X15" s="610"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Y15" s="610" t="inlineStr">
        <is>
          <t>N/A</t>
        </is>
      </c>
      <c r="Z15" s="610" t="inlineStr">
        <is>
          <t>N/A</t>
        </is>
      </c>
      <c r="AA15" s="610" t="inlineStr">
        <is>
          <t>Households; Firms; Governments</t>
        </is>
      </c>
      <c r="AB15" s="610"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C15" s="610" t="inlineStr">
        <is>
          <t>Consumption, use or operation</t>
        </is>
      </c>
      <c r="AD15" s="610"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E15" s="610" t="inlineStr">
        <is>
          <t>N/A</t>
        </is>
      </c>
      <c r="AF15" s="610" t="inlineStr">
        <is>
          <t>N/A</t>
        </is>
      </c>
      <c r="AG15" s="610" t="inlineStr">
        <is>
          <t>N/A</t>
        </is>
      </c>
      <c r="AH15" s="610"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I15" s="610" t="inlineStr">
        <is>
          <t>N/A</t>
        </is>
      </c>
      <c r="AJ15" s="610" t="inlineStr">
        <is>
          <t>N/A</t>
        </is>
      </c>
      <c r="AK15" s="610"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L15" s="610" t="inlineStr">
        <is>
          <t>The NDRC (Department of Resource Conservation and Environmental Protection) and the MEE (Department of Climate Change) jointly take the lead in formulating the annual activity plan.</t>
        </is>
      </c>
      <c r="AM15" s="610"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N15" s="610" t="inlineStr">
        <is>
          <t>Annual (June each year); activity notice issued annually.</t>
        </is>
      </c>
      <c r="AO15" s="610" t="inlineStr">
        <is>
          <t>Yes (public). Energy Conservation Awareness Week activity notices and content are made publicly available through government websites and various media channels.</t>
        </is>
      </c>
      <c r="AP15" s="610" t="inlineStr">
        <is>
          <t>N/A</t>
        </is>
      </c>
      <c r="AQ15" s="610" t="inlineStr">
        <is>
          <t>No compliance monitoring</t>
        </is>
      </c>
      <c r="AR15" s="610" t="inlineStr">
        <is>
          <t>No compliance enforcement</t>
        </is>
      </c>
      <c r="AS15" s="610" t="inlineStr">
        <is>
          <t>Other incentives or support</t>
        </is>
      </c>
      <c r="AT15" s="610"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U15" s="610"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V15" s="610" t="inlineStr">
        <is>
          <t>N/A (this instrument is an indirect awareness and education tool with no direct GHG emission coverage share)</t>
        </is>
      </c>
      <c r="AW15" s="610" t="inlineStr">
        <is>
          <t>M72</t>
        </is>
      </c>
      <c r="AX15" s="610" t="inlineStr">
        <is>
          <t>CO2; CH4; N2O</t>
        </is>
      </c>
      <c r="AY15" s="610" t="inlineStr">
        <is>
          <t>Positive</t>
        </is>
      </c>
      <c r="AZ15" s="610" t="inlineStr">
        <is>
          <t>Energy conservation; Energy security; Industrial development; Technological innovation; Pollution control</t>
        </is>
      </c>
      <c r="BA15" s="610" t="inlineStr">
        <is>
          <t>Notice of the National Development and Reform Commission and the Ministry of Ecology and Environment on Carrying Out the 2026 National Energy Conservation Awareness Week and National Low-Carbon Day Activities (NDRC Environment and Resources [2026] No. 664)</t>
        </is>
      </c>
      <c r="BB15" s="610" t="inlineStr">
        <is>
          <t>https://www.ndrc.gov.cn/xwdt/tzgg/202605/t20260520_1405335.html</t>
        </is>
      </c>
      <c r="BC15" s="610" t="inlineStr">
        <is>
          <t>https://zfxxgk.ndrc.gov.cn/web/iteminfo.jsp?id=20632</t>
        </is>
      </c>
    </row>
    <row r="16">
      <c r="A16" s="610" t="inlineStr">
        <is>
          <t>CHNCBAPACI04S000</t>
        </is>
      </c>
      <c r="B16" s="610" t="inlineStr">
        <is>
          <t>Instrument</t>
        </is>
      </c>
      <c r="C16" s="610" t="inlineStr">
        <is>
          <t>Capacity building and public awareness</t>
        </is>
      </c>
      <c r="D16" s="610" t="inlineStr">
        <is>
          <t>Public awareness campaign</t>
        </is>
      </c>
      <c r="E16" s="610" t="inlineStr">
        <is>
          <t>Cross-sectoral</t>
        </is>
      </c>
      <c r="F16" s="610" t="inlineStr">
        <is>
          <t>N/A</t>
        </is>
      </c>
      <c r="G16" s="610" t="inlineStr">
        <is>
          <t>全国低碳日</t>
        </is>
      </c>
      <c r="H16" s="610" t="inlineStr">
        <is>
          <t>National Low-Carbon Day</t>
        </is>
      </c>
      <c r="I16" s="610" t="inlineStr">
        <is>
          <t>N/A</t>
        </is>
      </c>
      <c r="J16" s="610"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610" t="inlineStr">
        <is>
          <t>Public awareness; Climate change mitigation</t>
        </is>
      </c>
      <c r="L16" s="610" t="inlineStr">
        <is>
          <t>Direct</t>
        </is>
      </c>
      <c r="M16" s="610" t="inlineStr">
        <is>
          <t>national</t>
        </is>
      </c>
      <c r="N16" s="610" t="inlineStr">
        <is>
          <t>N/A</t>
        </is>
      </c>
      <c r="O16" s="610" t="inlineStr">
        <is>
          <t>19/09/2012</t>
        </is>
      </c>
      <c r="P16" s="610" t="inlineStr">
        <is>
          <t>17/06/2013</t>
        </is>
      </c>
      <c r="Q16" s="610" t="inlineStr">
        <is>
          <t>N/A</t>
        </is>
      </c>
      <c r="R16" s="610" t="inlineStr">
        <is>
          <t>N/A</t>
        </is>
      </c>
      <c r="S16" s="610" t="inlineStr">
        <is>
          <t>N/A</t>
        </is>
      </c>
      <c r="T16" s="610">
        <f>IF(P16="","In force",IF(P16="N/A","In force",IF(TODAY()&lt;DATE(VALUE(RIGHT(P16,4)),VALUE(MID(P16,4,2)),VALUE(LEFT(P16,2))),"Scheduled",IF(Q16="","In force",IF(Q16="N/A","In force",IF(TODAY()&lt;DATE(VALUE(RIGHT(Q16,4)),VALUE(MID(Q16,4,2)),VALUE(LEFT(Q16,2))),"In force","Ended"))))))</f>
        <v/>
      </c>
      <c r="U16" s="610"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V16" s="610" t="inlineStr">
        <is>
          <t>Public awareness/knowledge (awareness and education campaign)</t>
        </is>
      </c>
      <c r="W16" s="610" t="inlineStr">
        <is>
          <t>N/A</t>
        </is>
      </c>
      <c r="X16" s="610"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Y16" s="610" t="inlineStr">
        <is>
          <t>N/A</t>
        </is>
      </c>
      <c r="Z16" s="610" t="inlineStr">
        <is>
          <t>N/A</t>
        </is>
      </c>
      <c r="AA16" s="610" t="inlineStr">
        <is>
          <t>Households; Firms; Governments</t>
        </is>
      </c>
      <c r="AB16" s="610"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C16" s="610" t="inlineStr">
        <is>
          <t>Consumption, use or operation</t>
        </is>
      </c>
      <c r="AD16" s="610"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E16" s="610" t="inlineStr">
        <is>
          <t>N/A</t>
        </is>
      </c>
      <c r="AF16" s="610" t="inlineStr">
        <is>
          <t>N/A</t>
        </is>
      </c>
      <c r="AG16" s="610" t="inlineStr">
        <is>
          <t>N/A</t>
        </is>
      </c>
      <c r="AH16" s="610"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I16" s="610" t="inlineStr">
        <is>
          <t>N/A</t>
        </is>
      </c>
      <c r="AJ16" s="610" t="inlineStr">
        <is>
          <t>N/A</t>
        </is>
      </c>
      <c r="AK16" s="610"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L16" s="610" t="inlineStr">
        <is>
          <t>The NDRC (Department of Resource Conservation and Environmental Protection) and the MEE (Department of Climate Change) jointly take the lead in formulating the annual activity plan.</t>
        </is>
      </c>
      <c r="AM16" s="610"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N16" s="610" t="inlineStr">
        <is>
          <t>Annual (the third day of the National Energy Conservation Awareness Week, around mid-June); activity notice issued annually.</t>
        </is>
      </c>
      <c r="AO16" s="610" t="inlineStr">
        <is>
          <t>Yes (public). National Low-Carbon Day activity notices and content are made publicly available through government websites and various media channels.</t>
        </is>
      </c>
      <c r="AP16" s="610" t="inlineStr">
        <is>
          <t>N/A</t>
        </is>
      </c>
      <c r="AQ16" s="610" t="inlineStr">
        <is>
          <t>No compliance monitoring</t>
        </is>
      </c>
      <c r="AR16" s="610" t="inlineStr">
        <is>
          <t>No compliance enforcement</t>
        </is>
      </c>
      <c r="AS16" s="610" t="inlineStr">
        <is>
          <t>Other incentives or support</t>
        </is>
      </c>
      <c r="AT16" s="610"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U16" s="610" t="inlineStr">
        <is>
          <t>N/A (this instrument is a public awareness and education campaign; it indirectly reduces GHG emissions by raising climate change awareness and low-carbon action participation across the whole society, and has no directly quantifiable emission coverage)</t>
        </is>
      </c>
      <c r="AV16" s="610" t="inlineStr">
        <is>
          <t>N/A (this instrument is an indirect awareness and education tool with no direct GHG emission coverage share)</t>
        </is>
      </c>
      <c r="AW16" s="610" t="inlineStr">
        <is>
          <t>M72</t>
        </is>
      </c>
      <c r="AX16" s="610" t="inlineStr">
        <is>
          <t>CO2; CH4; N2O</t>
        </is>
      </c>
      <c r="AY16" s="610" t="inlineStr">
        <is>
          <t>Positive</t>
        </is>
      </c>
      <c r="AZ16" s="610" t="inlineStr">
        <is>
          <t>Energy conservation; Industrial development; Technological innovation; Pollution control; Public health</t>
        </is>
      </c>
      <c r="BA16" s="610" t="inlineStr">
        <is>
          <t>Notice of the National Development and Reform Commission and the Ministry of Ecology and Environment on Carrying Out the 2026 National Energy Conservation Awareness Week and National Low-Carbon Day Activities (NDRC Environment and Resources [2026] No. 664)</t>
        </is>
      </c>
      <c r="BB16" s="610" t="inlineStr">
        <is>
          <t>https://www.ndrc.gov.cn/xwdt/tzgg/202605/t20260520_1405335.html</t>
        </is>
      </c>
      <c r="BC16" s="610" t="inlineStr">
        <is>
          <t>https://www.gov.cn/zwgk/2013-05/07/content_2397275.htm</t>
        </is>
      </c>
    </row>
    <row r="17">
      <c r="A17" s="610" t="inlineStr">
        <is>
          <t>CHNCBAPACI05S000</t>
        </is>
      </c>
      <c r="B17" s="610" t="inlineStr">
        <is>
          <t>Instrument</t>
        </is>
      </c>
      <c r="C17" s="610" t="inlineStr">
        <is>
          <t>Capacity building and public awareness</t>
        </is>
      </c>
      <c r="D17" s="610" t="inlineStr">
        <is>
          <t>Public awareness campaign</t>
        </is>
      </c>
      <c r="E17" s="610" t="inlineStr">
        <is>
          <t>Transport</t>
        </is>
      </c>
      <c r="F17" s="610" t="inlineStr">
        <is>
          <t>N/A</t>
        </is>
      </c>
      <c r="G17" s="610" t="inlineStr">
        <is>
          <t>绿色出行宣传月和公交出行宣传周</t>
        </is>
      </c>
      <c r="H17" s="610" t="inlineStr">
        <is>
          <t>Green Travel Awareness Month and Public Transit Awareness Week</t>
        </is>
      </c>
      <c r="I17" s="610" t="inlineStr">
        <is>
          <t>N/A</t>
        </is>
      </c>
      <c r="J17" s="610"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610" t="inlineStr">
        <is>
          <t>Public awareness; Green consumption</t>
        </is>
      </c>
      <c r="L17" s="610" t="inlineStr">
        <is>
          <t>Direct</t>
        </is>
      </c>
      <c r="M17" s="610" t="inlineStr">
        <is>
          <t>national</t>
        </is>
      </c>
      <c r="N17" s="610" t="inlineStr">
        <is>
          <t>N/A</t>
        </is>
      </c>
      <c r="O17" s="610" t="inlineStr">
        <is>
          <t>31/08/2013</t>
        </is>
      </c>
      <c r="P17" s="610" t="inlineStr">
        <is>
          <t>16/09/2013</t>
        </is>
      </c>
      <c r="Q17" s="610" t="inlineStr">
        <is>
          <t>N/A</t>
        </is>
      </c>
      <c r="R17" s="610" t="inlineStr">
        <is>
          <t>01/09/2018</t>
        </is>
      </c>
      <c r="S17" s="610"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T17" s="610">
        <f>IF(P17="","In force",IF(P17="N/A","In force",IF(TODAY()&lt;DATE(VALUE(RIGHT(P17,4)),VALUE(MID(P17,4,2)),VALUE(LEFT(P17,2))),"Scheduled",IF(Q17="","In force",IF(Q17="N/A","In force",IF(TODAY()&lt;DATE(VALUE(RIGHT(Q17,4)),VALUE(MID(Q17,4,2)),VALUE(LEFT(Q17,2))),"In force","Ended"))))))</f>
        <v/>
      </c>
      <c r="U17" s="610" t="inlineStr">
        <is>
          <t>Ministry of Transport; Ministry of Public Security; Ministry of Civil Affairs; National Government Offices Administration; All-China Federation of Trade Unions; Communist Youth League Central Committee; China Disabled Persons' Federation</t>
        </is>
      </c>
      <c r="V17" s="610" t="inlineStr">
        <is>
          <t>Public awareness/knowledge (awareness and education campaign)</t>
        </is>
      </c>
      <c r="W17" s="610" t="inlineStr">
        <is>
          <t>N/A</t>
        </is>
      </c>
      <c r="X17" s="610"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Y17" s="610" t="inlineStr">
        <is>
          <t>N/A</t>
        </is>
      </c>
      <c r="Z17" s="610" t="inlineStr">
        <is>
          <t>N/A</t>
        </is>
      </c>
      <c r="AA17" s="610" t="inlineStr">
        <is>
          <t>Households; Firms; Governments</t>
        </is>
      </c>
      <c r="AB17" s="610"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C17" s="610" t="inlineStr">
        <is>
          <t>Consumption, use or operation</t>
        </is>
      </c>
      <c r="AD17" s="610"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E17" s="610" t="inlineStr">
        <is>
          <t>N/A</t>
        </is>
      </c>
      <c r="AF17" s="610" t="inlineStr">
        <is>
          <t>N/A</t>
        </is>
      </c>
      <c r="AG17" s="610" t="inlineStr">
        <is>
          <t>N/A</t>
        </is>
      </c>
      <c r="AH17" s="610"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I17" s="610" t="inlineStr">
        <is>
          <t>N/A</t>
        </is>
      </c>
      <c r="AJ17" s="610" t="inlineStr">
        <is>
          <t>N/A</t>
        </is>
      </c>
      <c r="AK17" s="610"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L17" s="610"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M17" s="610"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N17" s="610" t="inlineStr">
        <is>
          <t>Annual (Green Travel Awareness Month in September each year; Public Transit Awareness Week from 16 to 22 September each year).</t>
        </is>
      </c>
      <c r="AO17" s="610" t="inlineStr">
        <is>
          <t>Yes (public). Green Travel Awareness Month and Public Transit Awareness Week activity notices and content are made publicly available through government websites and various media channels.</t>
        </is>
      </c>
      <c r="AP17" s="610" t="inlineStr">
        <is>
          <t>N/A</t>
        </is>
      </c>
      <c r="AQ17" s="610" t="inlineStr">
        <is>
          <t>No compliance monitoring</t>
        </is>
      </c>
      <c r="AR17" s="610" t="inlineStr">
        <is>
          <t>No compliance enforcement</t>
        </is>
      </c>
      <c r="AS17" s="610" t="inlineStr">
        <is>
          <t>Other incentives or support</t>
        </is>
      </c>
      <c r="AT17" s="610"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U17" s="610" t="inlineStr">
        <is>
          <t>N/A (this instrument is a public awareness and education campaign; it indirectly reduces transport carbon emissions by guiding the public to choose public transport and green travel modes, and has no directly quantifiable emission coverage)</t>
        </is>
      </c>
      <c r="AV17" s="610" t="inlineStr">
        <is>
          <t>N/A (this instrument is an indirect awareness and education tool with no direct GHG emission coverage share)</t>
        </is>
      </c>
      <c r="AW17" s="610" t="inlineStr">
        <is>
          <t>H49</t>
        </is>
      </c>
      <c r="AX17" s="610" t="inlineStr">
        <is>
          <t>CO2; CH4; N2O</t>
        </is>
      </c>
      <c r="AY17" s="610" t="inlineStr">
        <is>
          <t>Positive</t>
        </is>
      </c>
      <c r="AZ17" s="610" t="inlineStr">
        <is>
          <t>Energy conservation; Pollution control; Public health; Industrial development</t>
        </is>
      </c>
      <c r="BA17" s="610"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B17" s="610" t="inlineStr">
        <is>
          <t>https://xxgk.mot.gov.cn/2020/jigou/ysfws/202508/t20250828_4175597.html</t>
        </is>
      </c>
      <c r="BC17" s="610" t="inlineStr">
        <is>
          <t>https://www.gov.cn/xinwen/2019-08/23/content_5423683.htm</t>
        </is>
      </c>
    </row>
    <row r="18">
      <c r="A18" s="610" t="inlineStr">
        <is>
          <t>CHNCBATGCI01S000</t>
        </is>
      </c>
      <c r="B18" s="610" t="inlineStr">
        <is>
          <t>Instrument</t>
        </is>
      </c>
      <c r="C18" s="610" t="inlineStr">
        <is>
          <t>Capacity building and public awareness</t>
        </is>
      </c>
      <c r="D18" s="610" t="inlineStr">
        <is>
          <t>Technical guidance</t>
        </is>
      </c>
      <c r="E18" s="610" t="inlineStr">
        <is>
          <t>Industry</t>
        </is>
      </c>
      <c r="F18" s="610" t="inlineStr">
        <is>
          <t>N/A</t>
        </is>
      </c>
      <c r="G18" s="610" t="inlineStr">
        <is>
          <t>工业企业和园区数字化能碳管理中心建设指南</t>
        </is>
      </c>
      <c r="H18" s="610" t="inlineStr">
        <is>
          <t>Digital Energy-Carbon Management Center Construction Guide for Industrial Enterprises and Parks</t>
        </is>
      </c>
      <c r="I18" s="610" t="inlineStr">
        <is>
          <t>N/A</t>
        </is>
      </c>
      <c r="J18" s="610"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610" t="inlineStr">
        <is>
          <t>Technological innovation; Energy efficiency; Climate change mitigation</t>
        </is>
      </c>
      <c r="L18" s="610" t="inlineStr">
        <is>
          <t>Direct</t>
        </is>
      </c>
      <c r="M18" s="610" t="inlineStr">
        <is>
          <t>national</t>
        </is>
      </c>
      <c r="N18" s="610" t="inlineStr">
        <is>
          <t>N/A</t>
        </is>
      </c>
      <c r="O18" s="610" t="inlineStr">
        <is>
          <t>07/03/2025</t>
        </is>
      </c>
      <c r="P18" s="610" t="inlineStr">
        <is>
          <t>07/03/2025</t>
        </is>
      </c>
      <c r="Q18" s="610" t="inlineStr">
        <is>
          <t>N/A</t>
        </is>
      </c>
      <c r="R18" s="610" t="inlineStr">
        <is>
          <t>N/A</t>
        </is>
      </c>
      <c r="S18" s="610" t="inlineStr">
        <is>
          <t>N/A</t>
        </is>
      </c>
      <c r="T18" s="610">
        <f>IF(P18="","In force",IF(P18="N/A","In force",IF(TODAY()&lt;DATE(VALUE(RIGHT(P18,4)),VALUE(MID(P18,4,2)),VALUE(LEFT(P18,2))),"Scheduled",IF(Q18="","In force",IF(Q18="N/A","In force",IF(TODAY()&lt;DATE(VALUE(RIGHT(Q18,4)),VALUE(MID(Q18,4,2)),VALUE(LEFT(Q18,2))),"In force","Ended"))))))</f>
        <v/>
      </c>
      <c r="U18" s="610" t="inlineStr">
        <is>
          <t>Ministry of Industry and Information Technology (Department of Energy Conservation and Comprehensive Utilisation)</t>
        </is>
      </c>
      <c r="V18" s="610" t="inlineStr">
        <is>
          <t>Digital energy-carbon management centres (enterprise-level and park-level)</t>
        </is>
      </c>
      <c r="W18" s="610" t="inlineStr">
        <is>
          <t>N/A</t>
        </is>
      </c>
      <c r="X18" s="610"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Y18" s="610" t="inlineStr">
        <is>
          <t>N/A</t>
        </is>
      </c>
      <c r="Z18" s="610" t="inlineStr">
        <is>
          <t>N/A</t>
        </is>
      </c>
      <c r="AA18" s="610" t="inlineStr">
        <is>
          <t>Firms</t>
        </is>
      </c>
      <c r="AB18" s="610"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C18" s="610" t="inlineStr">
        <is>
          <t>Production</t>
        </is>
      </c>
      <c r="AD18" s="610"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E18" s="610" t="inlineStr">
        <is>
          <t>N/A</t>
        </is>
      </c>
      <c r="AF18" s="610" t="inlineStr">
        <is>
          <t>N/A</t>
        </is>
      </c>
      <c r="AG18" s="610" t="inlineStr">
        <is>
          <t>N/A</t>
        </is>
      </c>
      <c r="AH18" s="610"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I18" s="610" t="inlineStr">
        <is>
          <t>N/A</t>
        </is>
      </c>
      <c r="AJ18" s="610" t="inlineStr">
        <is>
          <t>N/A</t>
        </is>
      </c>
      <c r="AK18" s="610"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L18" s="610" t="inlineStr">
        <is>
          <t>The Ministry of Industry and Information Technology (Department  of Energy Conservation and Comprehensive Utilisation) is  responsible for the research, formulation, release and promotion  of the Guide.</t>
        </is>
      </c>
      <c r="AM18" s="610" t="inlineStr">
        <is>
          <t>The Ministry of Industry and Information Technology releases the  Guide through a notice and its official website, making it  publicly available to society.</t>
        </is>
      </c>
      <c r="AN18" s="610" t="inlineStr">
        <is>
          <t>One-off release (2025 edition); no regular update unless needed.</t>
        </is>
      </c>
      <c r="AO18" s="610" t="inlineStr">
        <is>
          <t>Yes (public). The Guide is fully disclosed to the public through  the MIIT official website.</t>
        </is>
      </c>
      <c r="AP18" s="610" t="inlineStr">
        <is>
          <t>N/A</t>
        </is>
      </c>
      <c r="AQ18" s="610" t="inlineStr">
        <is>
          <t>No compliance monitoring</t>
        </is>
      </c>
      <c r="AR18" s="610" t="inlineStr">
        <is>
          <t>No compliance enforcement</t>
        </is>
      </c>
      <c r="AS18" s="610" t="inlineStr">
        <is>
          <t>Other incentives or support</t>
        </is>
      </c>
      <c r="AT18" s="610"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U18" s="610"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V18" s="610" t="inlineStr">
        <is>
          <t>N/A (this is an indirect technical guidance instrument with no  direct greenhouse gas emission coverage share)</t>
        </is>
      </c>
      <c r="AW18" s="610" t="inlineStr">
        <is>
          <t>C10; C11; C12; C13; C14; C15; C16; C17; C18; C19; C20; C21; C22; C23; C24; C25; C26; C27; C28; C29; C30; C31; C32; C33</t>
        </is>
      </c>
      <c r="AX18" s="610" t="inlineStr">
        <is>
          <t>CO2; CH4; N2O</t>
        </is>
      </c>
      <c r="AY18" s="610" t="inlineStr">
        <is>
          <t>Positive</t>
        </is>
      </c>
      <c r="AZ18" s="610" t="inlineStr">
        <is>
          <t>Energy conservation; Technological innovation; Pollution control; Industrial development</t>
        </is>
      </c>
      <c r="BA18" s="610" t="inlineStr">
        <is>
          <t>Notice of the General Office of the Ministry of Industry and  Information Technology on Issuing the Digital Energy-Carbon  Management Center Construction Guide for Industrial Enterprises  and Parks (MIIT General Office Jie [2025] No. 13)</t>
        </is>
      </c>
      <c r="BB18" s="610" t="inlineStr">
        <is>
          <t>https://www.miit.gov.cn/jgsj/jns/nyjy/art/2025/art_bd4ed4ce13314ce58ee3896579b27ba0.html</t>
        </is>
      </c>
      <c r="BC18" s="610" t="inlineStr">
        <is>
          <t>N/A</t>
        </is>
      </c>
    </row>
    <row r="19">
      <c r="A19" s="610" t="inlineStr">
        <is>
          <t>CHNCBATGCI02S000</t>
        </is>
      </c>
      <c r="B19" s="610" t="inlineStr">
        <is>
          <t>Instrument</t>
        </is>
      </c>
      <c r="C19" s="610" t="inlineStr">
        <is>
          <t>Capacity building and public awareness</t>
        </is>
      </c>
      <c r="D19" s="610" t="inlineStr">
        <is>
          <t>Technical guidance</t>
        </is>
      </c>
      <c r="E19" s="610" t="inlineStr">
        <is>
          <t>Industry</t>
        </is>
      </c>
      <c r="F19" s="610"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610" t="inlineStr">
        <is>
          <t>高耗能行业重点领域节能降碳改造升级实施指南（2022年版）</t>
        </is>
      </c>
      <c r="H19" s="610" t="inlineStr">
        <is>
          <t>Implementation Guide for Energy-Saving and Carbon-Reduction Retrofit and Upgrade in Key Areas of Energy-Intensive Industries (2022 Edition)</t>
        </is>
      </c>
      <c r="I19" s="610" t="inlineStr">
        <is>
          <t>N/A</t>
        </is>
      </c>
      <c r="J19" s="610"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610" t="inlineStr">
        <is>
          <t>Energy efficiency; Climate change mitigation; Industrial development</t>
        </is>
      </c>
      <c r="L19" s="610" t="inlineStr">
        <is>
          <t>Direct</t>
        </is>
      </c>
      <c r="M19" s="610" t="inlineStr">
        <is>
          <t>national</t>
        </is>
      </c>
      <c r="N19" s="610" t="inlineStr">
        <is>
          <t>N/A</t>
        </is>
      </c>
      <c r="O19" s="610" t="inlineStr">
        <is>
          <t>03/02/2022</t>
        </is>
      </c>
      <c r="P19" s="610" t="inlineStr">
        <is>
          <t>03/02/2022</t>
        </is>
      </c>
      <c r="Q19" s="610" t="inlineStr">
        <is>
          <t>N/A</t>
        </is>
      </c>
      <c r="R19" s="610" t="inlineStr">
        <is>
          <t>N/A</t>
        </is>
      </c>
      <c r="S19" s="610" t="inlineStr">
        <is>
          <t>N/A</t>
        </is>
      </c>
      <c r="T19" s="610">
        <f>IF(P19="","In force",IF(P19="N/A","In force",IF(TODAY()&lt;DATE(VALUE(RIGHT(P19,4)),VALUE(MID(P19,4,2)),VALUE(LEFT(P19,2))),"Scheduled",IF(Q19="","In force",IF(Q19="N/A","In force",IF(TODAY()&lt;DATE(VALUE(RIGHT(Q19,4)),VALUE(MID(Q19,4,2)),VALUE(LEFT(Q19,2))),"In force","Ended"))))))</f>
        <v/>
      </c>
      <c r="U19" s="610" t="inlineStr">
        <is>
          <t>National Development and Reform Commission, Ministry of Industry  and Information Technology, Ministry of Ecology and Environment,  National Energy Administration</t>
        </is>
      </c>
      <c r="V19" s="610" t="inlineStr">
        <is>
          <t>Production facilities and energy systems of energy-intensive industries</t>
        </is>
      </c>
      <c r="W19" s="610" t="inlineStr">
        <is>
          <t>Existing</t>
        </is>
      </c>
      <c r="X19" s="610"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Y19" s="610" t="inlineStr">
        <is>
          <t>N/A</t>
        </is>
      </c>
      <c r="Z19" s="610" t="inlineStr">
        <is>
          <t>N/A</t>
        </is>
      </c>
      <c r="AA19" s="610" t="inlineStr">
        <is>
          <t>Firms</t>
        </is>
      </c>
      <c r="AB19" s="610"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C19" s="610" t="inlineStr">
        <is>
          <t>Production</t>
        </is>
      </c>
      <c r="AD19" s="610"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E19" s="610" t="inlineStr">
        <is>
          <t>N/A</t>
        </is>
      </c>
      <c r="AF19" s="610" t="inlineStr">
        <is>
          <t>N/A</t>
        </is>
      </c>
      <c r="AG19" s="610" t="inlineStr">
        <is>
          <t>N/A</t>
        </is>
      </c>
      <c r="AH19" s="610"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I19" s="610" t="inlineStr">
        <is>
          <t>N/A</t>
        </is>
      </c>
      <c r="AJ19" s="610" t="inlineStr">
        <is>
          <t>N/A</t>
        </is>
      </c>
      <c r="AK19" s="610"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L19" s="610"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M19" s="610" t="inlineStr">
        <is>
          <t>The four departments jointly release the Guide through a notice  and their official websites, making it publicly available to  society.</t>
        </is>
      </c>
      <c r="AN19" s="610" t="inlineStr">
        <is>
          <t>One-off release (2022 edition); no regular update unless needed.</t>
        </is>
      </c>
      <c r="AO19" s="610" t="inlineStr">
        <is>
          <t>Yes (public). The Guide is fully disclosed to the public through  the NDRC and MIIT official websites.</t>
        </is>
      </c>
      <c r="AP19" s="610" t="inlineStr">
        <is>
          <t>N/A</t>
        </is>
      </c>
      <c r="AQ19" s="610" t="inlineStr">
        <is>
          <t>No compliance monitoring</t>
        </is>
      </c>
      <c r="AR19" s="610" t="inlineStr">
        <is>
          <t>No compliance enforcement</t>
        </is>
      </c>
      <c r="AS19" s="610" t="inlineStr">
        <is>
          <t>Other incentives or support</t>
        </is>
      </c>
      <c r="AT19" s="610"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U19" s="610"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V19" s="610" t="inlineStr">
        <is>
          <t>N/A (this is an indirect technical guidance instrument with no  direct greenhouse gas emission coverage share)</t>
        </is>
      </c>
      <c r="AW19" s="610" t="inlineStr">
        <is>
          <t>C19; C20; C23; C24</t>
        </is>
      </c>
      <c r="AX19" s="610" t="inlineStr">
        <is>
          <t>CO2; CH4; N2O</t>
        </is>
      </c>
      <c r="AY19" s="610" t="inlineStr">
        <is>
          <t>Positive</t>
        </is>
      </c>
      <c r="AZ19" s="610" t="inlineStr">
        <is>
          <t>Energy conservation; Pollution control; Industrial development</t>
        </is>
      </c>
      <c r="BA19" s="610" t="inlineStr">
        <is>
          <t>Notice of Four Departments on Issuing the Implementation Guide  for Energy-Saving and Carbon-Reduction Retrofit and Upgrade in  Key Areas of Energy-Intensive Industries (2022 Edition) (NDRC Fa  Gai Chan Ye [2022] No. 200)</t>
        </is>
      </c>
      <c r="BB19" s="610" t="inlineStr">
        <is>
          <t>https://www.ndrc.gov.cn/xwdt/tzgg/202202/t20220211_1315447_ext.html</t>
        </is>
      </c>
      <c r="BC19" s="610" t="inlineStr">
        <is>
          <t>https://www.miit.gov.cn/jgsj/jns/nyjy/art/2022/art_17b6f40586b84957b3503c78ce8584ac.html</t>
        </is>
      </c>
    </row>
    <row r="20">
      <c r="A20" s="610" t="inlineStr">
        <is>
          <t>CHNCBATGCI03S000</t>
        </is>
      </c>
      <c r="B20" s="610" t="inlineStr">
        <is>
          <t>Instrument</t>
        </is>
      </c>
      <c r="C20" s="610" t="inlineStr">
        <is>
          <t>Capacity building and public awareness</t>
        </is>
      </c>
      <c r="D20" s="610" t="inlineStr">
        <is>
          <t>Technical guidance</t>
        </is>
      </c>
      <c r="E20" s="610" t="inlineStr">
        <is>
          <t>Industry</t>
        </is>
      </c>
      <c r="F20" s="610" t="inlineStr">
        <is>
          <t>N/A</t>
        </is>
      </c>
      <c r="G20" s="610" t="inlineStr">
        <is>
          <t>工业绿色微电网建设与应用指南</t>
        </is>
      </c>
      <c r="H20" s="610" t="inlineStr">
        <is>
          <t>Industrial Green Microgrid Construction and Application Guide</t>
        </is>
      </c>
      <c r="I20" s="610" t="inlineStr">
        <is>
          <t>N/A</t>
        </is>
      </c>
      <c r="J20" s="610"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610" t="inlineStr">
        <is>
          <t>Non-fossil energy; Energy efficiency; Climate change mitigation</t>
        </is>
      </c>
      <c r="L20" s="610" t="inlineStr">
        <is>
          <t>Direct</t>
        </is>
      </c>
      <c r="M20" s="610" t="inlineStr">
        <is>
          <t>national</t>
        </is>
      </c>
      <c r="N20" s="610" t="inlineStr">
        <is>
          <t>N/A</t>
        </is>
      </c>
      <c r="O20" s="610" t="inlineStr">
        <is>
          <t>31/12/2025</t>
        </is>
      </c>
      <c r="P20" s="610" t="inlineStr">
        <is>
          <t>09/01/2026</t>
        </is>
      </c>
      <c r="Q20" s="610" t="inlineStr">
        <is>
          <t>N/A</t>
        </is>
      </c>
      <c r="R20" s="610" t="inlineStr">
        <is>
          <t>N/A</t>
        </is>
      </c>
      <c r="S20" s="610" t="inlineStr">
        <is>
          <t>N/A</t>
        </is>
      </c>
      <c r="T20" s="610">
        <f>IF(P20="","In force",IF(P20="N/A","In force",IF(TODAY()&lt;DATE(VALUE(RIGHT(P20,4)),VALUE(MID(P20,4,2)),VALUE(LEFT(P20,2))),"Scheduled",IF(Q20="","In force",IF(Q20="N/A","In force",IF(TODAY()&lt;DATE(VALUE(RIGHT(Q20,4)),VALUE(MID(Q20,4,2)),VALUE(LEFT(Q20,2))),"In force","Ended"))))))</f>
        <v/>
      </c>
      <c r="U20" s="610"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V20" s="610" t="inlineStr">
        <is>
          <t>Industrial green microgrid systems (renewable energy generation, energy storage, waste energy recovery, etc.)</t>
        </is>
      </c>
      <c r="W20" s="610" t="inlineStr">
        <is>
          <t>N/A</t>
        </is>
      </c>
      <c r="X20" s="610"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Y20" s="610" t="inlineStr">
        <is>
          <t>N/A</t>
        </is>
      </c>
      <c r="Z20" s="610" t="inlineStr">
        <is>
          <t>N/A</t>
        </is>
      </c>
      <c r="AA20" s="610" t="inlineStr">
        <is>
          <t>Firms</t>
        </is>
      </c>
      <c r="AB20" s="610"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C20" s="610" t="inlineStr">
        <is>
          <t>Production</t>
        </is>
      </c>
      <c r="AD20" s="610"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E20" s="610" t="inlineStr">
        <is>
          <t>N/A</t>
        </is>
      </c>
      <c r="AF20" s="610" t="inlineStr">
        <is>
          <t>N/A</t>
        </is>
      </c>
      <c r="AG20" s="610" t="inlineStr">
        <is>
          <t>N/A</t>
        </is>
      </c>
      <c r="AH20" s="610"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I20" s="610" t="inlineStr">
        <is>
          <t>N/A</t>
        </is>
      </c>
      <c r="AJ20" s="610" t="inlineStr">
        <is>
          <t>N/A</t>
        </is>
      </c>
      <c r="AK20" s="610"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L20" s="610"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M20" s="610" t="inlineStr">
        <is>
          <t>The five departments jointly release the Guide through a notice  and their official websites, making it publicly available to  society.</t>
        </is>
      </c>
      <c r="AN20" s="610" t="inlineStr">
        <is>
          <t>One-off release (2026-2030 planning period); no regular update  unless needed.</t>
        </is>
      </c>
      <c r="AO20" s="610" t="inlineStr">
        <is>
          <t>Yes (public). The Guide is fully disclosed to the public through  the MIIT official website and other channels.</t>
        </is>
      </c>
      <c r="AP20" s="610" t="inlineStr">
        <is>
          <t>N/A</t>
        </is>
      </c>
      <c r="AQ20" s="610" t="inlineStr">
        <is>
          <t>No compliance monitoring</t>
        </is>
      </c>
      <c r="AR20" s="610" t="inlineStr">
        <is>
          <t>No compliance enforcement</t>
        </is>
      </c>
      <c r="AS20" s="610" t="inlineStr">
        <is>
          <t>Other incentives or support</t>
        </is>
      </c>
      <c r="AT20" s="610"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U20" s="610" t="inlineStr">
        <is>
          <t>N/A (this instrument is an advisory technical guidance instrument  that promotes emission reduction indirectly by guiding enterprises  and parks to build green microgrid systems, and has no directly  quantifiable fixed greenhouse gas emission coverage)</t>
        </is>
      </c>
      <c r="AV20" s="610" t="inlineStr">
        <is>
          <t>N/A (this is an indirect technical guidance instrument with no  direct greenhouse gas emission coverage share)</t>
        </is>
      </c>
      <c r="AW20" s="610" t="inlineStr">
        <is>
          <t>C10; C11; C12; C13; C14; C15; C16; C17; C18; C19; C20; C21; C22; C23; C24; C25; C26; C27; C28; C29; C30; C31; C32; C33</t>
        </is>
      </c>
      <c r="AX20" s="610" t="inlineStr">
        <is>
          <t>CO2; CH4; N2O</t>
        </is>
      </c>
      <c r="AY20" s="610" t="inlineStr">
        <is>
          <t>Positive</t>
        </is>
      </c>
      <c r="AZ20" s="610" t="inlineStr">
        <is>
          <t>Renewable energy development; Energy conservation; Energy security; Pollution control</t>
        </is>
      </c>
      <c r="BA20" s="610"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B20" s="610" t="inlineStr">
        <is>
          <t>https://www.miit.gov.cn/zwgk/zcwj/wjfb/tz/art/2026/art_44c5364d80b748e4b797bc115388c6aa.html</t>
        </is>
      </c>
      <c r="BC20" s="610" t="inlineStr">
        <is>
          <t>https://www.miit.gov.cn/jgsj/jns/nyjy/art/2026/art_3ef4f0f5b8d54fab92e87517355fb0e1.html</t>
        </is>
      </c>
    </row>
    <row r="21">
      <c r="A21" s="610" t="inlineStr">
        <is>
          <t>CHNCBATGCI04S000</t>
        </is>
      </c>
      <c r="B21" s="610" t="inlineStr">
        <is>
          <t>Instrument</t>
        </is>
      </c>
      <c r="C21" s="610" t="inlineStr">
        <is>
          <t>Capacity building and public awareness</t>
        </is>
      </c>
      <c r="D21" s="610" t="inlineStr">
        <is>
          <t>Technical guidance</t>
        </is>
      </c>
      <c r="E21" s="610" t="inlineStr">
        <is>
          <t>AFOLU</t>
        </is>
      </c>
      <c r="F21" s="610" t="inlineStr">
        <is>
          <t>N/A</t>
        </is>
      </c>
      <c r="G21" s="610" t="inlineStr">
        <is>
          <t>农业绿色发展技术导则（2018—2030年）</t>
        </is>
      </c>
      <c r="H21" s="610" t="inlineStr">
        <is>
          <t>Agricultural Green Development Technical Guidance (2018-2030)</t>
        </is>
      </c>
      <c r="I21" s="610" t="inlineStr">
        <is>
          <t>N/A</t>
        </is>
      </c>
      <c r="J21" s="610"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610" t="inlineStr">
        <is>
          <t>Climate change mitigation; Circular economy; Ecological protection</t>
        </is>
      </c>
      <c r="L21" s="610" t="inlineStr">
        <is>
          <t>Direct</t>
        </is>
      </c>
      <c r="M21" s="610" t="inlineStr">
        <is>
          <t>national</t>
        </is>
      </c>
      <c r="N21" s="610" t="inlineStr">
        <is>
          <t>N/A</t>
        </is>
      </c>
      <c r="O21" s="610" t="inlineStr">
        <is>
          <t>02/07/2018</t>
        </is>
      </c>
      <c r="P21" s="610" t="inlineStr">
        <is>
          <t>02/07/2018</t>
        </is>
      </c>
      <c r="Q21" s="610" t="inlineStr">
        <is>
          <t>N/A</t>
        </is>
      </c>
      <c r="R21" s="610" t="inlineStr">
        <is>
          <t>N/A</t>
        </is>
      </c>
      <c r="S21" s="610" t="inlineStr">
        <is>
          <t>N/A</t>
        </is>
      </c>
      <c r="T21" s="610">
        <f>IF(P21="","In force",IF(P21="N/A","In force",IF(TODAY()&lt;DATE(VALUE(RIGHT(P21,4)),VALUE(MID(P21,4,2)),VALUE(LEFT(P21,2))),"Scheduled",IF(Q21="","In force",IF(Q21="N/A","In force",IF(TODAY()&lt;DATE(VALUE(RIGHT(Q21,4)),VALUE(MID(Q21,4,2)),VALUE(LEFT(Q21,2))),"In force","Ended"))))))</f>
        <v/>
      </c>
      <c r="U21" s="610" t="inlineStr">
        <is>
          <t>Ministry of Agriculture and Rural Affairs (Department of Science, Technology and Education)</t>
        </is>
      </c>
      <c r="V21" s="610" t="inlineStr">
        <is>
          <t>Agricultural technologies (information/knowledge)</t>
        </is>
      </c>
      <c r="W21" s="610" t="inlineStr">
        <is>
          <t>New</t>
        </is>
      </c>
      <c r="X21" s="610"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Y21" s="610" t="inlineStr">
        <is>
          <t>N/A</t>
        </is>
      </c>
      <c r="Z21" s="610" t="inlineStr">
        <is>
          <t>N/A</t>
        </is>
      </c>
      <c r="AA21" s="610" t="inlineStr">
        <is>
          <t>Firms</t>
        </is>
      </c>
      <c r="AB21" s="610"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C21" s="610" t="inlineStr">
        <is>
          <t>Production</t>
        </is>
      </c>
      <c r="AD21" s="610"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E21" s="610" t="inlineStr">
        <is>
          <t>N/A</t>
        </is>
      </c>
      <c r="AF21" s="610" t="inlineStr">
        <is>
          <t>N/A</t>
        </is>
      </c>
      <c r="AG21" s="610" t="inlineStr">
        <is>
          <t>N/A</t>
        </is>
      </c>
      <c r="AH21" s="610"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I21" s="610" t="inlineStr">
        <is>
          <t>N/A</t>
        </is>
      </c>
      <c r="AJ21" s="610" t="inlineStr">
        <is>
          <t>N/A</t>
        </is>
      </c>
      <c r="AK21" s="610"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L21" s="610" t="inlineStr">
        <is>
          <t>The Department of Science, Technology and Education of the Ministry of Agriculture and Rural Affairs is responsible for organising the research, compilation and issuance of the Guidance.</t>
        </is>
      </c>
      <c r="AM21" s="610" t="inlineStr">
        <is>
          <t>The Ministry of Agriculture and Rural Affairs publicly issued the Guidance via notice and government portal (public release by government).</t>
        </is>
      </c>
      <c r="AN21" s="610" t="inlineStr">
        <is>
          <t>Medium- to long-term plan (2018-2030), revised and updated on an ad hoc basis.</t>
        </is>
      </c>
      <c r="AO21" s="610" t="inlineStr">
        <is>
          <t>Yes (public). The Guidance is publicly available in full text via government portals.</t>
        </is>
      </c>
      <c r="AP21" s="610" t="inlineStr">
        <is>
          <t>N/A</t>
        </is>
      </c>
      <c r="AQ21" s="610" t="inlineStr">
        <is>
          <t>No compliance monitoring</t>
        </is>
      </c>
      <c r="AR21" s="610" t="inlineStr">
        <is>
          <t>No compliance enforcement</t>
        </is>
      </c>
      <c r="AS21" s="610" t="inlineStr">
        <is>
          <t>Other incentives or support</t>
        </is>
      </c>
      <c r="AT21" s="610"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U21" s="610" t="inlineStr">
        <is>
          <t>N/A (this instrument is a technical guidance; it indirectly supports agricultural GHG emission reductions by guiding the R&amp;D and application of green agricultural production technologies and has no directly quantifiable emission coverage)</t>
        </is>
      </c>
      <c r="AV21" s="610" t="inlineStr">
        <is>
          <t>N/A (this instrument is an indirect technical guidance instrument with no direct GHG emission coverage share)</t>
        </is>
      </c>
      <c r="AW21" s="610" t="inlineStr">
        <is>
          <t>A01</t>
        </is>
      </c>
      <c r="AX21" s="610" t="inlineStr">
        <is>
          <t>CO2; CH4; N2O</t>
        </is>
      </c>
      <c r="AY21" s="610" t="inlineStr">
        <is>
          <t>Positive</t>
        </is>
      </c>
      <c r="AZ21" s="610" t="inlineStr">
        <is>
          <t>Pollution control; Resource conservation; Circular economy; Ecological protection; Food security</t>
        </is>
      </c>
      <c r="BA21" s="610" t="inlineStr">
        <is>
          <t>Notice of the Ministry of Agriculture and Rural Affairs on Issuing the Agricultural Green Development Technical Guidance (2018-2030) (N.K.J.F. [2018] No. 3)</t>
        </is>
      </c>
      <c r="BB21" s="610" t="inlineStr">
        <is>
          <t>https://www.gov.cn/zhengce/zhengceku/2018-12/31/content_5445929.htm</t>
        </is>
      </c>
      <c r="BC21" s="610" t="inlineStr">
        <is>
          <t>https://www.moa.gov.cn/gk/zcjd/201904/t20190418_6184810.htm</t>
        </is>
      </c>
    </row>
    <row r="22">
      <c r="A22" s="610" t="inlineStr">
        <is>
          <t>CHNCBATGCI06S000</t>
        </is>
      </c>
      <c r="B22" s="610" t="inlineStr">
        <is>
          <t>Instrument</t>
        </is>
      </c>
      <c r="C22" s="610" t="inlineStr">
        <is>
          <t>Capacity building and public awareness</t>
        </is>
      </c>
      <c r="D22" s="610" t="inlineStr">
        <is>
          <t>Technical guidance</t>
        </is>
      </c>
      <c r="E22" s="610" t="inlineStr">
        <is>
          <t>Industry</t>
        </is>
      </c>
      <c r="F22" s="610" t="inlineStr">
        <is>
          <t>Automobiles; Engineering machinery; Machine tools; Bearings; Wind power equipment; Hydrogen energy equipment; Photovoltaics; Lithium batteries; Household appliances; Packaging; Cleaning products; Textiles; Biomanufacturing; Methanol; Tyres</t>
        </is>
      </c>
      <c r="G22" s="610" t="inlineStr">
        <is>
          <t>工业产品绿色设计指南</t>
        </is>
      </c>
      <c r="H22" s="610" t="inlineStr">
        <is>
          <t>Industrial Product Green Design Guide</t>
        </is>
      </c>
      <c r="I22" s="610" t="inlineStr">
        <is>
          <t>N/A</t>
        </is>
      </c>
      <c r="J22" s="610"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610" t="inlineStr">
        <is>
          <t>Circular economy; Pollution control; Climate change mitigation</t>
        </is>
      </c>
      <c r="L22" s="610" t="inlineStr">
        <is>
          <t>Direct</t>
        </is>
      </c>
      <c r="M22" s="610" t="inlineStr">
        <is>
          <t>national</t>
        </is>
      </c>
      <c r="N22" s="610" t="inlineStr">
        <is>
          <t>N/A</t>
        </is>
      </c>
      <c r="O22" s="610" t="inlineStr">
        <is>
          <t>01/04/2026</t>
        </is>
      </c>
      <c r="P22" s="610" t="inlineStr">
        <is>
          <t>01/04/2026</t>
        </is>
      </c>
      <c r="Q22" s="610" t="inlineStr">
        <is>
          <t>N/A</t>
        </is>
      </c>
      <c r="R22" s="610" t="inlineStr">
        <is>
          <t>N/A</t>
        </is>
      </c>
      <c r="S22" s="610" t="inlineStr">
        <is>
          <t>N/A</t>
        </is>
      </c>
      <c r="T22" s="610">
        <f>IF(P22="","In force",IF(P22="N/A","In force",IF(TODAY()&lt;DATE(VALUE(RIGHT(P22,4)),VALUE(MID(P22,4,2)),VALUE(LEFT(P22,2))),"Scheduled",IF(Q22="","In force",IF(Q22="N/A","In force",IF(TODAY()&lt;DATE(VALUE(RIGHT(Q22,4)),VALUE(MID(Q22,4,2)),VALUE(LEFT(Q22,2))),"In force","Ended"))))))</f>
        <v/>
      </c>
      <c r="U22" s="610"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V22" s="610" t="inlineStr">
        <is>
          <t>Industrial products (design stage)</t>
        </is>
      </c>
      <c r="W22" s="610" t="inlineStr">
        <is>
          <t>New</t>
        </is>
      </c>
      <c r="X22" s="610"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Y22" s="610" t="inlineStr">
        <is>
          <t>N/A</t>
        </is>
      </c>
      <c r="Z22" s="610" t="inlineStr">
        <is>
          <t>N/A</t>
        </is>
      </c>
      <c r="AA22" s="610" t="inlineStr">
        <is>
          <t>Firms</t>
        </is>
      </c>
      <c r="AB22" s="610"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C22" s="610" t="inlineStr">
        <is>
          <t>Research and development</t>
        </is>
      </c>
      <c r="AD22" s="610"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E22" s="610" t="inlineStr">
        <is>
          <t>N/A</t>
        </is>
      </c>
      <c r="AF22" s="610" t="inlineStr">
        <is>
          <t>N/A</t>
        </is>
      </c>
      <c r="AG22" s="610" t="inlineStr">
        <is>
          <t>N/A</t>
        </is>
      </c>
      <c r="AH22" s="610"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I22" s="610" t="inlineStr">
        <is>
          <t>N/A</t>
        </is>
      </c>
      <c r="AJ22" s="610" t="inlineStr">
        <is>
          <t>N/A</t>
        </is>
      </c>
      <c r="AK22" s="610"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L22" s="610"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M22" s="610" t="inlineStr">
        <is>
          <t>The five departments jointly publicly issued the Guide via notice and government portals (public release by government).</t>
        </is>
      </c>
      <c r="AN22" s="610" t="inlineStr">
        <is>
          <t>Revised and updated on an ad hoc basis (e.g., 2026 edition).</t>
        </is>
      </c>
      <c r="AO22" s="610" t="inlineStr">
        <is>
          <t>Yes (public). The Guide is publicly available in full text via the portals of MIIT and other competent departments.</t>
        </is>
      </c>
      <c r="AP22" s="610" t="inlineStr">
        <is>
          <t>N/A</t>
        </is>
      </c>
      <c r="AQ22" s="610" t="inlineStr">
        <is>
          <t>No compliance monitoring</t>
        </is>
      </c>
      <c r="AR22" s="610" t="inlineStr">
        <is>
          <t>No compliance enforcement</t>
        </is>
      </c>
      <c r="AS22" s="610" t="inlineStr">
        <is>
          <t>Other incentives or support</t>
        </is>
      </c>
      <c r="AT22" s="610"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U22" s="610" t="inlineStr">
        <is>
          <t>N/A (this instrument is a technical guide; it indirectly reduces product full-life-cycle GHG emissions by guiding enterprises to implement green design from the design source and has no directly quantifiable emission coverage)</t>
        </is>
      </c>
      <c r="AV22" s="610" t="inlineStr">
        <is>
          <t>N/A (this instrument is an indirect technical guidance instrument with no direct GHG emission coverage share)</t>
        </is>
      </c>
      <c r="AW22" s="610" t="inlineStr">
        <is>
          <t>C13; C17; C20; C21; C22; C27; C28; C29</t>
        </is>
      </c>
      <c r="AX22" s="610" t="inlineStr">
        <is>
          <t>CO2; CH4; N2O</t>
        </is>
      </c>
      <c r="AY22" s="610" t="inlineStr">
        <is>
          <t>Positive</t>
        </is>
      </c>
      <c r="AZ22" s="610" t="inlineStr">
        <is>
          <t>Industrial development; Technological innovation; Resource conservation; Circular economy; Pollution control</t>
        </is>
      </c>
      <c r="BA22" s="610" t="inlineStr">
        <is>
          <t>Notice of Five Departments Including the Ministry of Industry and Information Technology on Issuing the Industrial Product Green Design Guide (2026 Edition) (G.X.T.L.J. [2026] No. 15)</t>
        </is>
      </c>
      <c r="BB22" s="610" t="inlineStr">
        <is>
          <t>https://www.miit.gov.cn/zwgk/zcwj/wjfb/tz/art/2026/art_0e02aa4c9dfe40c0ae322af3c185eed6.html</t>
        </is>
      </c>
      <c r="BC22" s="610" t="inlineStr">
        <is>
          <t>https://www.miit.gov.cn/jgsj/jns/lszz/art/2026/art_a240711299e045b284c4bff34f13450e.html</t>
        </is>
      </c>
    </row>
    <row r="23">
      <c r="A23" s="610" t="inlineStr">
        <is>
          <t>CHNCBATPCI01S000</t>
        </is>
      </c>
      <c r="B23" s="610" t="inlineStr">
        <is>
          <t>Instrument</t>
        </is>
      </c>
      <c r="C23" s="610" t="inlineStr">
        <is>
          <t>Capacity building and public awareness</t>
        </is>
      </c>
      <c r="D23" s="610" t="inlineStr">
        <is>
          <t>Technology promotion catalogue</t>
        </is>
      </c>
      <c r="E23" s="610" t="inlineStr">
        <is>
          <t>Industry</t>
        </is>
      </c>
      <c r="F23" s="610" t="inlineStr">
        <is>
          <t>N/A</t>
        </is>
      </c>
      <c r="G23" s="610" t="inlineStr">
        <is>
          <t>国家工业和信息化领域节能降碳技术装备推荐目录</t>
        </is>
      </c>
      <c r="H23" s="610" t="inlineStr">
        <is>
          <t>National Catalogue of Recommended Energy-Saving and Carbon-Reduction Technologies and Equipment for the Industry and Information Technology Sector</t>
        </is>
      </c>
      <c r="I23" s="610" t="inlineStr">
        <is>
          <t>N/A</t>
        </is>
      </c>
      <c r="J23" s="610"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610" t="inlineStr">
        <is>
          <t>Energy efficiency; Technological innovation; Climate change mitigation</t>
        </is>
      </c>
      <c r="L23" s="610" t="inlineStr">
        <is>
          <t>Direct</t>
        </is>
      </c>
      <c r="M23" s="610" t="inlineStr">
        <is>
          <t>national</t>
        </is>
      </c>
      <c r="N23" s="610" t="inlineStr">
        <is>
          <t>N/A</t>
        </is>
      </c>
      <c r="O23" s="610" t="inlineStr">
        <is>
          <t>10/11/2017</t>
        </is>
      </c>
      <c r="P23" s="610" t="inlineStr">
        <is>
          <t>10/11/2017</t>
        </is>
      </c>
      <c r="Q23" s="610" t="inlineStr">
        <is>
          <t>N/A</t>
        </is>
      </c>
      <c r="R23" s="610" t="inlineStr">
        <is>
          <t>08/12/2025</t>
        </is>
      </c>
      <c r="S23" s="610"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T23" s="610">
        <f>IF(P23="","In force",IF(P23="N/A","In force",IF(TODAY()&lt;DATE(VALUE(RIGHT(P23,4)),VALUE(MID(P23,4,2)),VALUE(LEFT(P23,2))),"Scheduled",IF(Q23="","In force",IF(Q23="N/A","In force",IF(TODAY()&lt;DATE(VALUE(RIGHT(Q23,4)),VALUE(MID(Q23,4,2)),VALUE(LEFT(Q23,2))),"In force","Ended"))))))</f>
        <v/>
      </c>
      <c r="U23" s="610" t="inlineStr">
        <is>
          <t>Ministry of Industry and Information Technology (Department of Energy Conservation and Comprehensive Utilisation)</t>
        </is>
      </c>
      <c r="V23" s="610" t="inlineStr">
        <is>
          <t>Energy-saving and carbon-reduction technologies and equipment (R&amp;D and promotion outputs)</t>
        </is>
      </c>
      <c r="W23" s="610" t="inlineStr">
        <is>
          <t>N/A</t>
        </is>
      </c>
      <c r="X23" s="610"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Y23" s="610" t="inlineStr">
        <is>
          <t>N/A</t>
        </is>
      </c>
      <c r="Z23" s="610" t="inlineStr">
        <is>
          <t>N/A</t>
        </is>
      </c>
      <c r="AA23" s="610" t="inlineStr">
        <is>
          <t>Firms</t>
        </is>
      </c>
      <c r="AB23" s="610"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C23" s="610" t="inlineStr">
        <is>
          <t>Research and development</t>
        </is>
      </c>
      <c r="AD23" s="610"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E23" s="610" t="inlineStr">
        <is>
          <t>N/A</t>
        </is>
      </c>
      <c r="AF23" s="610" t="inlineStr">
        <is>
          <t>N/A</t>
        </is>
      </c>
      <c r="AG23" s="610" t="inlineStr">
        <is>
          <t>N/A</t>
        </is>
      </c>
      <c r="AH23" s="610"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I23" s="610" t="inlineStr">
        <is>
          <t>N/A</t>
        </is>
      </c>
      <c r="AJ23" s="610" t="inlineStr">
        <is>
          <t>N/A</t>
        </is>
      </c>
      <c r="AK23" s="610"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L23" s="610"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M23" s="610" t="inlineStr">
        <is>
          <t>MIIT publicly releases the recommended catalogue through announcements and its official portal (government public release); enterprises submit application materials through the catalogue application channel.</t>
        </is>
      </c>
      <c r="AN23" s="610" t="inlineStr">
        <is>
          <t>Irregular / updated roughly every one to two years (2017, 2018, 2020, 2022, 2024 and 2025 editions).</t>
        </is>
      </c>
      <c r="AO23" s="610" t="inlineStr">
        <is>
          <t>Yes (public). The recommended catalogue is fully disclosed to the public through MIIT announcements and its official portal.</t>
        </is>
      </c>
      <c r="AP23" s="610" t="inlineStr">
        <is>
          <t>N/A</t>
        </is>
      </c>
      <c r="AQ23" s="610" t="inlineStr">
        <is>
          <t>No compliance monitoring</t>
        </is>
      </c>
      <c r="AR23" s="610" t="inlineStr">
        <is>
          <t>No compliance enforcement</t>
        </is>
      </c>
      <c r="AS23" s="610" t="inlineStr">
        <is>
          <t>Other incentives or support measures</t>
        </is>
      </c>
      <c r="AT23" s="610"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U23" s="610"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V23" s="610" t="inlineStr">
        <is>
          <t>N/A (this is an indirect technology-promotion instrument with no direct greenhouse gas emission coverage share)</t>
        </is>
      </c>
      <c r="AW23" s="610" t="inlineStr">
        <is>
          <t>C25; C27; C28</t>
        </is>
      </c>
      <c r="AX23" s="610" t="inlineStr">
        <is>
          <t>CO2</t>
        </is>
      </c>
      <c r="AY23" s="610" t="inlineStr">
        <is>
          <t>Positive</t>
        </is>
      </c>
      <c r="AZ23" s="610" t="inlineStr">
        <is>
          <t>Energy conservation; Technological innovation; Industrial development</t>
        </is>
      </c>
      <c r="BA23" s="610" t="inlineStr">
        <is>
          <t>MIIT Announcement No. 37 of 2025, National Catalogue of Recommended Energy-Saving and Carbon-Reduction Technologies and Equipment for the Industry and Information Technology Sector (2025 Edition)</t>
        </is>
      </c>
      <c r="BB23" s="610" t="inlineStr">
        <is>
          <t>https://www.miit.gov.cn/jgsj/jns/gzdt/art/2025/art_6047ab0f0b1846cf8918ed2e3d01395c.html</t>
        </is>
      </c>
      <c r="BC23" s="610" t="inlineStr">
        <is>
          <t>https://www.miit.gov.cn/jgsj/jns/gzdt/art/2024/art_60736b016395460890aeda756751526d.html; https://www.miit.gov.cn/jgsj/jns/gzdt/art/2022/art_9d1d61dbfd264efd970e76ea81074d4c.html</t>
        </is>
      </c>
    </row>
    <row r="24">
      <c r="A24" s="610" t="inlineStr">
        <is>
          <t>CHNCBATPCI02S000</t>
        </is>
      </c>
      <c r="B24" s="610" t="inlineStr">
        <is>
          <t>Instrument</t>
        </is>
      </c>
      <c r="C24" s="610" t="inlineStr">
        <is>
          <t>Capacity building and public awareness</t>
        </is>
      </c>
      <c r="D24" s="610" t="inlineStr">
        <is>
          <t>Technology promotion catalogue</t>
        </is>
      </c>
      <c r="E24" s="610" t="inlineStr">
        <is>
          <t>Cross-sectoral</t>
        </is>
      </c>
      <c r="F24" s="610" t="inlineStr">
        <is>
          <t>N/A</t>
        </is>
      </c>
      <c r="G24" s="610" t="inlineStr">
        <is>
          <t>国家重点推广的低碳技术目录</t>
        </is>
      </c>
      <c r="H24" s="610" t="inlineStr">
        <is>
          <t>National Catalogue of Key Low-Carbon Technologies for Promotion</t>
        </is>
      </c>
      <c r="I24" s="610" t="inlineStr">
        <is>
          <t>N/A</t>
        </is>
      </c>
      <c r="J24" s="610"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610" t="inlineStr">
        <is>
          <t>Technological innovation; Climate change mitigation</t>
        </is>
      </c>
      <c r="L24" s="610" t="inlineStr">
        <is>
          <t>Direct</t>
        </is>
      </c>
      <c r="M24" s="610" t="inlineStr">
        <is>
          <t>national</t>
        </is>
      </c>
      <c r="N24" s="610" t="inlineStr">
        <is>
          <t>N/A</t>
        </is>
      </c>
      <c r="O24" s="610" t="inlineStr">
        <is>
          <t>25/08/2014</t>
        </is>
      </c>
      <c r="P24" s="610" t="inlineStr">
        <is>
          <t>25/08/2014</t>
        </is>
      </c>
      <c r="Q24" s="610" t="inlineStr">
        <is>
          <t>N/A</t>
        </is>
      </c>
      <c r="R24" s="610" t="inlineStr">
        <is>
          <t>20/01/2025</t>
        </is>
      </c>
      <c r="S24" s="610"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T24" s="610">
        <f>IF(P24="","In force",IF(P24="N/A","In force",IF(TODAY()&lt;DATE(VALUE(RIGHT(P24,4)),VALUE(MID(P24,4,2)),VALUE(LEFT(P24,2))),"Scheduled",IF(Q24="","In force",IF(Q24="N/A","In force",IF(TODAY()&lt;DATE(VALUE(RIGHT(Q24,4)),VALUE(MID(Q24,4,2)),VALUE(LEFT(Q24,2))),"In force","Ended"))))))</f>
        <v/>
      </c>
      <c r="U24" s="610"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V24" s="610" t="inlineStr">
        <is>
          <t>Low-carbon technologies (R&amp;D and promotion outputs)</t>
        </is>
      </c>
      <c r="W24" s="610" t="inlineStr">
        <is>
          <t>N/A</t>
        </is>
      </c>
      <c r="X24" s="610"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Y24" s="610" t="inlineStr">
        <is>
          <t>N/A</t>
        </is>
      </c>
      <c r="Z24" s="610" t="inlineStr">
        <is>
          <t>N/A</t>
        </is>
      </c>
      <c r="AA24" s="610" t="inlineStr">
        <is>
          <t>Firms</t>
        </is>
      </c>
      <c r="AB24" s="610"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C24" s="610" t="inlineStr">
        <is>
          <t>Research and development</t>
        </is>
      </c>
      <c r="AD24" s="610"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E24" s="610" t="inlineStr">
        <is>
          <t>N/A</t>
        </is>
      </c>
      <c r="AF24" s="610" t="inlineStr">
        <is>
          <t>N/A</t>
        </is>
      </c>
      <c r="AG24" s="610" t="inlineStr">
        <is>
          <t>N/A</t>
        </is>
      </c>
      <c r="AH24" s="610"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I24" s="610" t="inlineStr">
        <is>
          <t>N/A</t>
        </is>
      </c>
      <c r="AJ24" s="610" t="inlineStr">
        <is>
          <t>N/A</t>
        </is>
      </c>
      <c r="AK24" s="610"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L24" s="610"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M24" s="610" t="inlineStr">
        <is>
          <t>NDRC/MEE publicly releases the catalogue through announcements, notices and official portals (government public release); entities submit application materials through the solicitation channel.</t>
        </is>
      </c>
      <c r="AN24" s="610" t="inlineStr">
        <is>
          <t>Irregular batch release (the first to fifth batches were issued in 2014, 2015, 2017, 2022 and 2025 respectively).</t>
        </is>
      </c>
      <c r="AO24" s="610" t="inlineStr">
        <is>
          <t>Yes (public). The catalogue is fully disclosed to the public through the competent department's announcements/notices and official portals.</t>
        </is>
      </c>
      <c r="AP24" s="610" t="inlineStr">
        <is>
          <t>N/A</t>
        </is>
      </c>
      <c r="AQ24" s="610" t="inlineStr">
        <is>
          <t>No compliance monitoring</t>
        </is>
      </c>
      <c r="AR24" s="610" t="inlineStr">
        <is>
          <t>No compliance enforcement</t>
        </is>
      </c>
      <c r="AS24" s="610" t="inlineStr">
        <is>
          <t>Other incentives or support measures</t>
        </is>
      </c>
      <c r="AT24" s="610"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U24" s="610" t="inlineStr">
        <is>
          <t>N/A (this instrument is a technology-promotion catalogue that indirectly supports emission reduction by guiding the promotion and application of low-carbon technologies, and has no directly quantifiable greenhouse gas emission coverage)</t>
        </is>
      </c>
      <c r="AV24" s="610" t="inlineStr">
        <is>
          <t>N/A (this is an indirect technology-promotion instrument with no direct greenhouse gas emission coverage share)</t>
        </is>
      </c>
      <c r="AW24" s="610" t="inlineStr">
        <is>
          <t>M72</t>
        </is>
      </c>
      <c r="AX24" s="610" t="inlineStr">
        <is>
          <t>CO2; CH4; N2O</t>
        </is>
      </c>
      <c r="AY24" s="610" t="inlineStr">
        <is>
          <t>Positive</t>
        </is>
      </c>
      <c r="AZ24" s="610" t="inlineStr">
        <is>
          <t>Technological innovation; Energy conservation; Industrial development; Pollution control</t>
        </is>
      </c>
      <c r="BA24" s="610" t="inlineStr">
        <is>
          <t>Notice on Releasing the National Catalogue of Key Low-Carbon Technologies for Promotion (Fifth Batch) (MEE General Office Climate Letter [2025] No. 44)</t>
        </is>
      </c>
      <c r="BB24" s="610" t="inlineStr">
        <is>
          <t>https://www.mee.gov.cn/xxgk2018/xxgk/xxgk06/202502/t20250212_1102102.html</t>
        </is>
      </c>
      <c r="BC24" s="610" t="inlineStr">
        <is>
          <t>https://www.mee.gov.cn/xxgk2018/xxgk/xxgk06/202212/t20221221_1008424.html; https://www.ndrc.gov.cn/xxgk/zcfb/gg/201409/t20140905_961102.html; https://www.ndrc.gov.cn/xxgk/zcfb/gg/201512/t20151218_961138.html</t>
        </is>
      </c>
    </row>
    <row r="25">
      <c r="A25" s="610" t="inlineStr">
        <is>
          <t>CHNCBATPCI03S000</t>
        </is>
      </c>
      <c r="B25" s="610" t="inlineStr">
        <is>
          <t>Instrument</t>
        </is>
      </c>
      <c r="C25" s="610" t="inlineStr">
        <is>
          <t>Capacity building and public awareness</t>
        </is>
      </c>
      <c r="D25" s="610" t="inlineStr">
        <is>
          <t>Technology promotion catalogue</t>
        </is>
      </c>
      <c r="E25" s="610" t="inlineStr">
        <is>
          <t>Cross-sectoral</t>
        </is>
      </c>
      <c r="F25" s="610" t="inlineStr">
        <is>
          <t>N/A</t>
        </is>
      </c>
      <c r="G25" s="610" t="inlineStr">
        <is>
          <t>绿色技术推广目录</t>
        </is>
      </c>
      <c r="H25" s="610" t="inlineStr">
        <is>
          <t>Green Technology Promotion Catalogue</t>
        </is>
      </c>
      <c r="I25" s="610" t="inlineStr">
        <is>
          <t>N/A</t>
        </is>
      </c>
      <c r="J25" s="610"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610" t="inlineStr">
        <is>
          <t>Technological innovation; Green economy</t>
        </is>
      </c>
      <c r="L25" s="610" t="inlineStr">
        <is>
          <t>Indirect</t>
        </is>
      </c>
      <c r="M25" s="610" t="inlineStr">
        <is>
          <t>national</t>
        </is>
      </c>
      <c r="N25" s="610" t="inlineStr">
        <is>
          <t>N/A</t>
        </is>
      </c>
      <c r="O25" s="610" t="inlineStr">
        <is>
          <t>31/12/2020</t>
        </is>
      </c>
      <c r="P25" s="610" t="inlineStr">
        <is>
          <t>31/12/2020</t>
        </is>
      </c>
      <c r="Q25" s="610" t="inlineStr">
        <is>
          <t>N/A</t>
        </is>
      </c>
      <c r="R25" s="610" t="inlineStr">
        <is>
          <t>24/12/2024</t>
        </is>
      </c>
      <c r="S25" s="610"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V25" s="610" t="inlineStr">
        <is>
          <t>Green technologies (R&amp;D and promotion outputs)</t>
        </is>
      </c>
      <c r="W25" s="610" t="inlineStr">
        <is>
          <t>N/A</t>
        </is>
      </c>
      <c r="X25" s="610"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Y25" s="610" t="inlineStr">
        <is>
          <t>N/A</t>
        </is>
      </c>
      <c r="Z25" s="610" t="inlineStr">
        <is>
          <t>N/A</t>
        </is>
      </c>
      <c r="AA25" s="610" t="inlineStr">
        <is>
          <t>Firms</t>
        </is>
      </c>
      <c r="AB25" s="610"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C25" s="610" t="inlineStr">
        <is>
          <t>Research and development</t>
        </is>
      </c>
      <c r="AD25" s="610"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E25" s="610" t="inlineStr">
        <is>
          <t>N/A</t>
        </is>
      </c>
      <c r="AF25" s="610" t="inlineStr">
        <is>
          <t>N/A</t>
        </is>
      </c>
      <c r="AG25" s="610" t="inlineStr">
        <is>
          <t>N/A</t>
        </is>
      </c>
      <c r="AH25" s="610"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I25" s="610" t="inlineStr">
        <is>
          <t>N/A</t>
        </is>
      </c>
      <c r="AJ25" s="610" t="inlineStr">
        <is>
          <t>N/A</t>
        </is>
      </c>
      <c r="AK25" s="610"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L25" s="610" t="inlineStr">
        <is>
          <t>Green technology R&amp;D or application entities voluntarily apply and provide green technology information; NDRC and other departments are responsible for organising the review, screening and catalogue release.</t>
        </is>
      </c>
      <c r="AM25" s="610" t="inlineStr">
        <is>
          <t>NDRC and other departments publicly release the catalogue through notices and official portals (government public release); entities submit application materials through the solicitation channel.</t>
        </is>
      </c>
      <c r="AN25" s="610" t="inlineStr">
        <is>
          <t>Irregular updates (2020 edition, 2024 edition).</t>
        </is>
      </c>
      <c r="AO25" s="610" t="inlineStr">
        <is>
          <t>Yes (public). The catalogue is fully disclosed to the public through the competent departments' notices and official portals.</t>
        </is>
      </c>
      <c r="AP25" s="610" t="inlineStr">
        <is>
          <t>N/A</t>
        </is>
      </c>
      <c r="AQ25" s="610" t="inlineStr">
        <is>
          <t>No compliance monitoring</t>
        </is>
      </c>
      <c r="AR25" s="610" t="inlineStr">
        <is>
          <t>No compliance enforcement</t>
        </is>
      </c>
      <c r="AS25" s="610" t="inlineStr">
        <is>
          <t>Other incentives or support measures</t>
        </is>
      </c>
      <c r="AT25" s="610"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U25" s="610" t="inlineStr">
        <is>
          <t>N/A (this instrument is a technology-promotion catalogue that indirectly supports emission reduction by guiding the promotion and application of green technologies, and has no directly quantifiable greenhouse gas emission coverage)</t>
        </is>
      </c>
      <c r="AV25" s="610" t="inlineStr">
        <is>
          <t>N/A (this is an indirect technology-promotion instrument with no direct greenhouse gas emission coverage share)</t>
        </is>
      </c>
      <c r="AW25" s="610" t="inlineStr">
        <is>
          <t>M72</t>
        </is>
      </c>
      <c r="AX25" s="610" t="inlineStr">
        <is>
          <t>CO2; CH4; N2O</t>
        </is>
      </c>
      <c r="AY25" s="610" t="inlineStr">
        <is>
          <t>Positive</t>
        </is>
      </c>
      <c r="AZ25" s="610" t="inlineStr">
        <is>
          <t>Technological innovation; Industrial development; Pollution control; Resource conservation; Ecological protection</t>
        </is>
      </c>
      <c r="BA25" s="610" t="inlineStr">
        <is>
          <t>Notice on Issuing the Green Technology Promotion Catalogue (2024 Edition) (NDRC Environmental Resources [2024] No. 1812)</t>
        </is>
      </c>
      <c r="BB25" s="610" t="inlineStr">
        <is>
          <t>https://www.ndrc.gov.cn/xxgk/zcfb/tz/202501/t20250120_1395788.html</t>
        </is>
      </c>
      <c r="BC25" s="610" t="inlineStr">
        <is>
          <t>https://www.ndrc.gov.cn/xxgk/zcfb/tz/202101/t20210108_1264625.html</t>
        </is>
      </c>
    </row>
    <row r="26">
      <c r="A26" s="610" t="inlineStr">
        <is>
          <t>CHNCBATPCI04S000</t>
        </is>
      </c>
      <c r="B26" s="610" t="inlineStr">
        <is>
          <t>Instrument</t>
        </is>
      </c>
      <c r="C26" s="610" t="inlineStr">
        <is>
          <t>Capacity building and public awareness</t>
        </is>
      </c>
      <c r="D26" s="610" t="inlineStr">
        <is>
          <t>Technology promotion catalogue</t>
        </is>
      </c>
      <c r="E26" s="610" t="inlineStr">
        <is>
          <t>Industry; Waste</t>
        </is>
      </c>
      <c r="F26" s="610" t="inlineStr">
        <is>
          <t>N/A</t>
        </is>
      </c>
      <c r="G26" s="610" t="inlineStr">
        <is>
          <t>国家工业资源综合利用先进适用工艺技术设备目录</t>
        </is>
      </c>
      <c r="H26" s="610" t="inlineStr">
        <is>
          <t>National Catalogue of Advanced and Applicable Processes, Technologies and Equipment for the Comprehensive Utilisation of Industrial Resources</t>
        </is>
      </c>
      <c r="I26" s="610" t="inlineStr">
        <is>
          <t>N/A</t>
        </is>
      </c>
      <c r="J26" s="610"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610" t="inlineStr">
        <is>
          <t>Circular economy; Technological innovation</t>
        </is>
      </c>
      <c r="L26" s="610" t="inlineStr">
        <is>
          <t>Indirect</t>
        </is>
      </c>
      <c r="M26" s="610" t="inlineStr">
        <is>
          <t>national</t>
        </is>
      </c>
      <c r="N26" s="610" t="inlineStr">
        <is>
          <t>N/A</t>
        </is>
      </c>
      <c r="O26" s="610" t="inlineStr">
        <is>
          <t>13/10/2017</t>
        </is>
      </c>
      <c r="P26" s="610" t="inlineStr">
        <is>
          <t>13/10/2017</t>
        </is>
      </c>
      <c r="Q26" s="610" t="inlineStr">
        <is>
          <t>N/A</t>
        </is>
      </c>
      <c r="R26" s="610" t="inlineStr">
        <is>
          <t>10/09/2025</t>
        </is>
      </c>
      <c r="S26" s="610"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T26" s="610">
        <f>IF(P26="","In force",IF(P26="N/A","In force",IF(TODAY()&lt;DATE(VALUE(RIGHT(P26,4)),VALUE(MID(P26,4,2)),VALUE(LEFT(P26,2))),"Scheduled",IF(Q26="","In force",IF(Q26="N/A","In force",IF(TODAY()&lt;DATE(VALUE(RIGHT(Q26,4)),VALUE(MID(Q26,4,2)),VALUE(LEFT(Q26,2))),"In force","Ended"))))))</f>
        <v/>
      </c>
      <c r="U26" s="610" t="inlineStr">
        <is>
          <t>Ministry of Industry and Information Technology (Department of Energy Conservation and Comprehensive Utilisation); National Development and Reform Commission; Ministry of Ecology and Environment</t>
        </is>
      </c>
      <c r="V26" s="610" t="inlineStr">
        <is>
          <t>Industrial resource comprehensive utilisation processes, technologies and equipment (R&amp;D and promotion outputs)</t>
        </is>
      </c>
      <c r="W26" s="610" t="inlineStr">
        <is>
          <t>N/A</t>
        </is>
      </c>
      <c r="X26" s="610"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Y26" s="610" t="inlineStr">
        <is>
          <t>N/A</t>
        </is>
      </c>
      <c r="Z26" s="610" t="inlineStr">
        <is>
          <t>N/A</t>
        </is>
      </c>
      <c r="AA26" s="610" t="inlineStr">
        <is>
          <t>Firms</t>
        </is>
      </c>
      <c r="AB26" s="610"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C26" s="610" t="inlineStr">
        <is>
          <t>Research and development</t>
        </is>
      </c>
      <c r="AD26" s="610"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E26" s="610" t="inlineStr">
        <is>
          <t>N/A</t>
        </is>
      </c>
      <c r="AF26" s="610" t="inlineStr">
        <is>
          <t>N/A</t>
        </is>
      </c>
      <c r="AG26" s="610" t="inlineStr">
        <is>
          <t>N/A</t>
        </is>
      </c>
      <c r="AH26" s="610"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I26" s="610" t="inlineStr">
        <is>
          <t>N/A</t>
        </is>
      </c>
      <c r="AJ26" s="610" t="inlineStr">
        <is>
          <t>N/A</t>
        </is>
      </c>
      <c r="AK26" s="610"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L26" s="610"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M26" s="610" t="inlineStr">
        <is>
          <t>MIIT and others publicly release the catalogue through announcements and official portals (government public release); enterprises submit application materials through the catalogue application channel.</t>
        </is>
      </c>
      <c r="AN26" s="610" t="inlineStr">
        <is>
          <t>Irregular / updated roughly every one to two years (2017, 2019, 2021, 2023 and 2025 editions).</t>
        </is>
      </c>
      <c r="AO26" s="610" t="inlineStr">
        <is>
          <t>Yes (public). The catalogue is fully disclosed to the public through MIIT and others' announcements and official portals.</t>
        </is>
      </c>
      <c r="AP26" s="610" t="inlineStr">
        <is>
          <t>N/A</t>
        </is>
      </c>
      <c r="AQ26" s="610" t="inlineStr">
        <is>
          <t>No compliance monitoring</t>
        </is>
      </c>
      <c r="AR26" s="610" t="inlineStr">
        <is>
          <t>No compliance enforcement</t>
        </is>
      </c>
      <c r="AS26" s="610" t="inlineStr">
        <is>
          <t>Other incentives or support measures</t>
        </is>
      </c>
      <c r="AT26" s="610"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U26" s="610"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V26" s="610" t="inlineStr">
        <is>
          <t>N/A (this is an indirect technology-promotion instrument with no direct greenhouse gas emission coverage share)</t>
        </is>
      </c>
      <c r="AW26" s="610" t="inlineStr">
        <is>
          <t>E38</t>
        </is>
      </c>
      <c r="AX26" s="610" t="inlineStr">
        <is>
          <t>CO2; CH4</t>
        </is>
      </c>
      <c r="AY26" s="610" t="inlineStr">
        <is>
          <t>Positive</t>
        </is>
      </c>
      <c r="AZ26" s="610" t="inlineStr">
        <is>
          <t>Resource conservation; Circular economy; Pollution control; Industrial development</t>
        </is>
      </c>
      <c r="BA26" s="610" t="inlineStr">
        <is>
          <t>MIIT et al. Announcement No. 21 of 2025, National Catalogue of Advanced and Applicable Processes, Technologies and Equipment for the Comprehensive Utilisation of Industrial Resources (2025 Edition)</t>
        </is>
      </c>
      <c r="BB26" s="610" t="inlineStr">
        <is>
          <t>https://www.miit.gov.cn/zwgk/zcwj/wjfb/gg/art/2025/art_dd99789c9aba4900942418f37c505387.html</t>
        </is>
      </c>
      <c r="BC26" s="610" t="inlineStr">
        <is>
          <t>https://www.miit.gov.cn/jgsj/jns/zhlyh/art/2023/art_169733afb2f647e8adf670927bae6c07.html</t>
        </is>
      </c>
    </row>
    <row r="27">
      <c r="A27" s="610" t="inlineStr">
        <is>
          <t>CHNCBATPCI05S000</t>
        </is>
      </c>
      <c r="B27" s="610" t="inlineStr">
        <is>
          <t>Instrument</t>
        </is>
      </c>
      <c r="C27" s="610" t="inlineStr">
        <is>
          <t>Capacity building and public awareness</t>
        </is>
      </c>
      <c r="D27" s="610" t="inlineStr">
        <is>
          <t>Technology promotion catalogue</t>
        </is>
      </c>
      <c r="E27" s="610" t="inlineStr">
        <is>
          <t>Industry</t>
        </is>
      </c>
      <c r="F27" s="610" t="inlineStr">
        <is>
          <t>N/A</t>
        </is>
      </c>
      <c r="G27" s="610" t="inlineStr">
        <is>
          <t>工业领域电力需求侧管理产品（技术）参考目录</t>
        </is>
      </c>
      <c r="H27" s="610" t="inlineStr">
        <is>
          <t>Reference Catalogue of Industrial Power Demand-Side Management Products (Technologies)</t>
        </is>
      </c>
      <c r="I27" s="610" t="inlineStr">
        <is>
          <t>N/A</t>
        </is>
      </c>
      <c r="J27" s="610"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610" t="inlineStr">
        <is>
          <t>Energy efficiency; Energy security; Technological innovation; Electrification</t>
        </is>
      </c>
      <c r="L27" s="610" t="inlineStr">
        <is>
          <t>Indirect</t>
        </is>
      </c>
      <c r="M27" s="610" t="inlineStr">
        <is>
          <t>national</t>
        </is>
      </c>
      <c r="N27" s="610" t="inlineStr">
        <is>
          <t>N/A</t>
        </is>
      </c>
      <c r="O27" s="610" t="inlineStr">
        <is>
          <t>07/07/2017</t>
        </is>
      </c>
      <c r="P27" s="610" t="inlineStr">
        <is>
          <t>07/07/2017</t>
        </is>
      </c>
      <c r="Q27" s="610" t="inlineStr">
        <is>
          <t>N/A</t>
        </is>
      </c>
      <c r="R27" s="610" t="inlineStr">
        <is>
          <t>03/06/2024</t>
        </is>
      </c>
      <c r="S27" s="610"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T27" s="610">
        <f>IF(P27="","In force",IF(P27="N/A","In force",IF(TODAY()&lt;DATE(VALUE(RIGHT(P27,4)),VALUE(MID(P27,4,2)),VALUE(LEFT(P27,2))),"Scheduled",IF(Q27="","In force",IF(Q27="N/A","In force",IF(TODAY()&lt;DATE(VALUE(RIGHT(Q27,4)),VALUE(MID(Q27,4,2)),VALUE(LEFT(Q27,2))),"In force","Ended"))))))</f>
        <v/>
      </c>
      <c r="U27" s="610" t="inlineStr">
        <is>
          <t>General Office of the Ministry of Industry and Information Technology (Operation Monitoring and Coordination Bureau)</t>
        </is>
      </c>
      <c r="V27" s="610" t="inlineStr">
        <is>
          <t>Power demand-side management products and technologies (R&amp;D and promotion outputs)</t>
        </is>
      </c>
      <c r="W27" s="610" t="inlineStr">
        <is>
          <t>N/A</t>
        </is>
      </c>
      <c r="X27" s="610"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Y27" s="610" t="inlineStr">
        <is>
          <t>N/A</t>
        </is>
      </c>
      <c r="Z27" s="610" t="inlineStr">
        <is>
          <t>N/A</t>
        </is>
      </c>
      <c r="AA27" s="610" t="inlineStr">
        <is>
          <t>Firms</t>
        </is>
      </c>
      <c r="AB27" s="610"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C27" s="610" t="inlineStr">
        <is>
          <t>Research and development</t>
        </is>
      </c>
      <c r="AD27" s="610"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E27" s="610" t="inlineStr">
        <is>
          <t>N/A</t>
        </is>
      </c>
      <c r="AF27" s="610" t="inlineStr">
        <is>
          <t>N/A</t>
        </is>
      </c>
      <c r="AG27" s="610" t="inlineStr">
        <is>
          <t>N/A</t>
        </is>
      </c>
      <c r="AH27" s="610"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I27" s="610" t="inlineStr">
        <is>
          <t>N/A</t>
        </is>
      </c>
      <c r="AJ27" s="610" t="inlineStr">
        <is>
          <t>N/A</t>
        </is>
      </c>
      <c r="AK27" s="610"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L27" s="610"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M27" s="610" t="inlineStr">
        <is>
          <t>The General Office of MIIT publicly releases the catalogue through notices and its official portal (government public release); enterprises submit application materials through the catalogue application channel.</t>
        </is>
      </c>
      <c r="AN27" s="610" t="inlineStr">
        <is>
          <t>Released by batch, with solicitation organised roughly annually (first batch in 2017, latest sixth batch in 2024).</t>
        </is>
      </c>
      <c r="AO27" s="610" t="inlineStr">
        <is>
          <t>Yes (public). The catalogue is fully disclosed to the public through the General Office of MIIT's notices and its official portal.</t>
        </is>
      </c>
      <c r="AP27" s="610" t="inlineStr">
        <is>
          <t>N/A</t>
        </is>
      </c>
      <c r="AQ27" s="610" t="inlineStr">
        <is>
          <t>No compliance monitoring</t>
        </is>
      </c>
      <c r="AR27" s="610" t="inlineStr">
        <is>
          <t>No compliance enforcement</t>
        </is>
      </c>
      <c r="AS27" s="610" t="inlineStr">
        <is>
          <t>Other incentives or support measures</t>
        </is>
      </c>
      <c r="AT27" s="610"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U27" s="610"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V27" s="610" t="inlineStr">
        <is>
          <t>N/A (this is an indirect technology-promotion instrument with no direct greenhouse gas emission coverage share)</t>
        </is>
      </c>
      <c r="AW27" s="610" t="inlineStr">
        <is>
          <t>D35</t>
        </is>
      </c>
      <c r="AX27" s="610" t="inlineStr">
        <is>
          <t>CO2</t>
        </is>
      </c>
      <c r="AY27" s="610" t="inlineStr">
        <is>
          <t>Positive</t>
        </is>
      </c>
      <c r="AZ27" s="610" t="inlineStr">
        <is>
          <t>Energy conservation; Technological innovation; Energy security</t>
        </is>
      </c>
      <c r="BA27" s="610" t="inlineStr">
        <is>
          <t>Notice of the General Office of MIIT on Issuing the Reference Catalogue of Industrial Power Demand-Side Management Products (Technologies) (Sixth Batch) (MIIT General Office Operation Letter [2024] No. 204)</t>
        </is>
      </c>
      <c r="BB27" s="610" t="inlineStr">
        <is>
          <t>https://www.miit.gov.cn/zwgk/zcwj/wjfb/tz/art/2024/art_23836d619c814d8587ecfda9cfc6b68e.html</t>
        </is>
      </c>
      <c r="BC27" s="610" t="inlineStr">
        <is>
          <t>https://www.miit.gov.cn/jgsj/yxj/wjfb/art/2020/art_09a11724de154215ae9d5ef81a79ff48.html</t>
        </is>
      </c>
    </row>
    <row r="28">
      <c r="A28" s="610" t="inlineStr">
        <is>
          <t>CHNCBAESII01S000</t>
        </is>
      </c>
      <c r="B28" s="610" t="inlineStr">
        <is>
          <t>Instrument</t>
        </is>
      </c>
      <c r="C28" s="610" t="inlineStr">
        <is>
          <t>Capacity building and public awareness</t>
        </is>
      </c>
      <c r="D28" s="610" t="inlineStr">
        <is>
          <t>Education system integration</t>
        </is>
      </c>
      <c r="E28" s="610" t="inlineStr">
        <is>
          <t>Cross-sectoral</t>
        </is>
      </c>
      <c r="F28" s="610" t="inlineStr">
        <is>
          <t>N/A</t>
        </is>
      </c>
      <c r="G28" s="610" t="inlineStr">
        <is>
          <t>绿色低碳发展国民教育体系建设</t>
        </is>
      </c>
      <c r="H28" s="610" t="inlineStr">
        <is>
          <t>Construction of a Green and Low-Carbon Development National Education System</t>
        </is>
      </c>
      <c r="I28" s="610" t="inlineStr">
        <is>
          <t>N/A</t>
        </is>
      </c>
      <c r="J28" s="610"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610" t="inlineStr">
        <is>
          <t>Public awareness; Climate change mitigation</t>
        </is>
      </c>
      <c r="L28" s="610" t="inlineStr">
        <is>
          <t>Direct</t>
        </is>
      </c>
      <c r="M28" s="610" t="inlineStr">
        <is>
          <t>national</t>
        </is>
      </c>
      <c r="N28" s="610" t="inlineStr">
        <is>
          <t>N/A</t>
        </is>
      </c>
      <c r="O28" s="610" t="inlineStr">
        <is>
          <t>26/10/2022</t>
        </is>
      </c>
      <c r="P28" s="610" t="inlineStr">
        <is>
          <t>26/10/2022</t>
        </is>
      </c>
      <c r="Q28" s="610" t="inlineStr">
        <is>
          <t>N/A</t>
        </is>
      </c>
      <c r="R28" s="610" t="inlineStr">
        <is>
          <t>N/A</t>
        </is>
      </c>
      <c r="S28" s="610" t="inlineStr">
        <is>
          <t>N/A</t>
        </is>
      </c>
      <c r="T28" s="610">
        <f>IF(P28="","In force",IF(P28="N/A","In force",IF(TODAY()&lt;DATE(VALUE(RIGHT(P28,4)),VALUE(MID(P28,4,2)),VALUE(LEFT(P28,2))),"Scheduled",IF(Q28="","In force",IF(Q28="N/A","In force",IF(TODAY()&lt;DATE(VALUE(RIGHT(Q28,4)),VALUE(MID(Q28,4,2)),VALUE(LEFT(Q28,2))),"In force","Ended"))))))</f>
        <v/>
      </c>
      <c r="U28" s="610" t="inlineStr">
        <is>
          <t>Ministry of Education</t>
        </is>
      </c>
      <c r="V28" s="610" t="inlineStr">
        <is>
          <t>National education system (curricula, disciplines and campus construction)</t>
        </is>
      </c>
      <c r="W28" s="610" t="inlineStr">
        <is>
          <t>N/A</t>
        </is>
      </c>
      <c r="X28" s="610"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Y28" s="610" t="inlineStr">
        <is>
          <t>N/A</t>
        </is>
      </c>
      <c r="Z28" s="610" t="inlineStr">
        <is>
          <t>N/A</t>
        </is>
      </c>
      <c r="AA28" s="610" t="inlineStr">
        <is>
          <t>Households</t>
        </is>
      </c>
      <c r="AB28" s="610"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C28" s="610" t="inlineStr">
        <is>
          <t>Production, generation or conversion</t>
        </is>
      </c>
      <c r="AD28" s="610"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E28" s="610" t="inlineStr">
        <is>
          <t>N/A</t>
        </is>
      </c>
      <c r="AF28" s="610" t="inlineStr">
        <is>
          <t>N/A</t>
        </is>
      </c>
      <c r="AG28" s="610" t="inlineStr">
        <is>
          <t>N/A</t>
        </is>
      </c>
      <c r="AH28" s="610"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I28" s="610" t="inlineStr">
        <is>
          <t>N/A</t>
        </is>
      </c>
      <c r="AJ28" s="610" t="inlineStr">
        <is>
          <t>N/A</t>
        </is>
      </c>
      <c r="AK28" s="610"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L28" s="610"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M28" s="610" t="inlineStr">
        <is>
          <t>The MOE publicly released the Plan through notices and its official web portal (government public release); education administrative departments at all levels disseminate the Plan and organise school implementation.</t>
        </is>
      </c>
      <c r="AN28" s="610" t="inlineStr">
        <is>
          <t>The Plan sets two-phase targets for 2025 and 2030, with implementation progressing and being reviewed according to plan.</t>
        </is>
      </c>
      <c r="AO28" s="610" t="inlineStr">
        <is>
          <t>Yes (public). The Plan is made publicly available in full to society through the MOE and State Council official web portals.</t>
        </is>
      </c>
      <c r="AP28" s="610" t="inlineStr">
        <is>
          <t>N/A</t>
        </is>
      </c>
      <c r="AQ28" s="610" t="inlineStr">
        <is>
          <t>No compliance monitoring</t>
        </is>
      </c>
      <c r="AR28" s="610" t="inlineStr">
        <is>
          <t>No compliance enforcement</t>
        </is>
      </c>
      <c r="AS28" s="610" t="inlineStr">
        <is>
          <t>Other incentives or support</t>
        </is>
      </c>
      <c r="AT28" s="610"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U28" s="610"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V28" s="610" t="inlineStr">
        <is>
          <t>N/A (this instrument is an indirect capacity building tool with no direct GHG emission coverage share)</t>
        </is>
      </c>
      <c r="AW28" s="610" t="inlineStr">
        <is>
          <t>P85</t>
        </is>
      </c>
      <c r="AX28" s="610" t="inlineStr">
        <is>
          <t>CO2; CH4; N2O; HFCs; PFCs; SF6; NF3</t>
        </is>
      </c>
      <c r="AY28" s="610" t="inlineStr">
        <is>
          <t>Positive</t>
        </is>
      </c>
      <c r="AZ28" s="610" t="inlineStr">
        <is>
          <t>Industrial development; Technological innovation; Resource conservation</t>
        </is>
      </c>
      <c r="BA28" s="610" t="inlineStr">
        <is>
          <t>Notice of the Ministry of Education on Issuing the Implementation Plan for the Construction of a Green and Low-Carbon Development National Education System (Jiao Fa [2022] No. 2)</t>
        </is>
      </c>
      <c r="BB28" s="610" t="inlineStr">
        <is>
          <t>https://www.gov.cn/zhengce/zhengceku/2022-11/09/content_5725566.htm</t>
        </is>
      </c>
      <c r="BC28" s="610" t="inlineStr">
        <is>
          <t>N/A</t>
        </is>
      </c>
    </row>
    <row r="29">
      <c r="A29" s="610" t="inlineStr">
        <is>
          <t>CHNCBAGSSI01S000</t>
        </is>
      </c>
      <c r="B29" s="610" t="inlineStr">
        <is>
          <t>Instrument</t>
        </is>
      </c>
      <c r="C29" s="610" t="inlineStr">
        <is>
          <t>Capacity building and public awareness</t>
        </is>
      </c>
      <c r="D29" s="610" t="inlineStr">
        <is>
          <t>Green standard system</t>
        </is>
      </c>
      <c r="E29" s="610" t="inlineStr">
        <is>
          <t>Industry</t>
        </is>
      </c>
      <c r="F29" s="610" t="inlineStr">
        <is>
          <t>N/A</t>
        </is>
      </c>
      <c r="G29" s="610" t="inlineStr">
        <is>
          <t>绿色制造标准体系</t>
        </is>
      </c>
      <c r="H29" s="610" t="inlineStr">
        <is>
          <t>Green Manufacturing Standard System</t>
        </is>
      </c>
      <c r="I29" s="610" t="inlineStr">
        <is>
          <t>N/A</t>
        </is>
      </c>
      <c r="J29" s="610"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610" t="inlineStr">
        <is>
          <t>Industrial development; Technological innovation</t>
        </is>
      </c>
      <c r="L29" s="610" t="inlineStr">
        <is>
          <t>Indirect</t>
        </is>
      </c>
      <c r="M29" s="610" t="inlineStr">
        <is>
          <t>national</t>
        </is>
      </c>
      <c r="N29" s="610" t="inlineStr">
        <is>
          <t>N/A</t>
        </is>
      </c>
      <c r="O29" s="610" t="inlineStr">
        <is>
          <t>07/09/2016</t>
        </is>
      </c>
      <c r="P29" s="610" t="inlineStr">
        <is>
          <t>07/09/2016</t>
        </is>
      </c>
      <c r="Q29" s="610" t="inlineStr">
        <is>
          <t>N/A</t>
        </is>
      </c>
      <c r="R29" s="610" t="inlineStr">
        <is>
          <t>N/A</t>
        </is>
      </c>
      <c r="S29" s="610" t="inlineStr">
        <is>
          <t>N/A</t>
        </is>
      </c>
      <c r="T29" s="610">
        <f>IF(P29="","In force",IF(P29="N/A","In force",IF(TODAY()&lt;DATE(VALUE(RIGHT(P29,4)),VALUE(MID(P29,4,2)),VALUE(LEFT(P29,2))),"Scheduled",IF(Q29="","In force",IF(Q29="N/A","In force",IF(TODAY()&lt;DATE(VALUE(RIGHT(Q29,4)),VALUE(MID(Q29,4,2)),VALUE(LEFT(Q29,2))),"In force","Ended"))))))</f>
        <v/>
      </c>
      <c r="U29" s="610"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V29" s="610" t="inlineStr">
        <is>
          <t>Green manufacturing standards system (standards/information infrastructure)</t>
        </is>
      </c>
      <c r="W29" s="610" t="inlineStr">
        <is>
          <t>New</t>
        </is>
      </c>
      <c r="X29" s="610"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Y29" s="610" t="inlineStr">
        <is>
          <t>N/A</t>
        </is>
      </c>
      <c r="Z29" s="610" t="inlineStr">
        <is>
          <t>N/A</t>
        </is>
      </c>
      <c r="AA29" s="610" t="inlineStr">
        <is>
          <t>Firms; Governments</t>
        </is>
      </c>
      <c r="AB29" s="610"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C29" s="610" t="inlineStr">
        <is>
          <t>Research and development</t>
        </is>
      </c>
      <c r="AD29" s="610"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E29" s="610" t="inlineStr">
        <is>
          <t>N/A</t>
        </is>
      </c>
      <c r="AF29" s="610" t="inlineStr">
        <is>
          <t>N/A</t>
        </is>
      </c>
      <c r="AG29" s="610" t="inlineStr">
        <is>
          <t>N/A</t>
        </is>
      </c>
      <c r="AH29" s="610"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I29" s="610" t="inlineStr">
        <is>
          <t>N/A</t>
        </is>
      </c>
      <c r="AJ29" s="610" t="inlineStr">
        <is>
          <t>N/A</t>
        </is>
      </c>
      <c r="AK29" s="610"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L29" s="610"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M29" s="610"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N29" s="610" t="inlineStr">
        <is>
          <t>The standards system is advanced in phases (with targets for 2020 and 2025); specific standards are continuously developed and revised following standardisation work procedures.</t>
        </is>
      </c>
      <c r="AO29" s="610"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P29" s="610" t="inlineStr">
        <is>
          <t>N/A</t>
        </is>
      </c>
      <c r="AQ29" s="610" t="inlineStr">
        <is>
          <t>No compliance monitoring</t>
        </is>
      </c>
      <c r="AR29" s="610" t="inlineStr">
        <is>
          <t>No compliance enforcement</t>
        </is>
      </c>
      <c r="AS29" s="610" t="inlineStr">
        <is>
          <t>Other incentives or support</t>
        </is>
      </c>
      <c r="AT29" s="610"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U29" s="610"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V29" s="610" t="inlineStr">
        <is>
          <t>N/A (this instrument is an indirect capacity-building instrument with no direct GHG emission coverage share)</t>
        </is>
      </c>
      <c r="AW29" s="610" t="inlineStr">
        <is>
          <t>C10; C11; C12; C13; C14; C15; C16; C17; C18; C19; C20; C21; C22; C23; C24; C25; C26; C27; C28; C29; C30; C31; C32; C33</t>
        </is>
      </c>
      <c r="AX29" s="610" t="inlineStr">
        <is>
          <t>CO2; CH4; N2O; HFCs; PFCs; SF6; NF3</t>
        </is>
      </c>
      <c r="AY29" s="610" t="inlineStr">
        <is>
          <t>Positive</t>
        </is>
      </c>
      <c r="AZ29" s="610" t="inlineStr">
        <is>
          <t>Industrial development; Technological innovation; Energy conservation; Pollution control; Resource conservation; Circular economy</t>
        </is>
      </c>
      <c r="BA29" s="610" t="inlineStr">
        <is>
          <t>Notice of the Ministry of Industry and Information Technology and the Standardisation Administration of China on Issuing the Green Manufacturing Standard System Construction Guide (M.G.X.L.J. [2016] No. 304)</t>
        </is>
      </c>
      <c r="BB29" s="610" t="inlineStr">
        <is>
          <t>https://www.miit.gov.cn/jgsj/jns/wjfb/art/2020/art_d364c0664fc04535addaeb550cd45f76.html</t>
        </is>
      </c>
      <c r="BC29" s="610" t="inlineStr">
        <is>
          <t>https://www.gov.cn/xinwen/2016-09/29/content_5113568.htm; https://std.samr.gov.cn/ (National Public Service Platform for Standards Information)</t>
        </is>
      </c>
    </row>
    <row r="30">
      <c r="A30" s="610" t="inlineStr">
        <is>
          <t>CHNCBAPCEI01S000</t>
        </is>
      </c>
      <c r="B30" s="610" t="inlineStr">
        <is>
          <t>Instrument</t>
        </is>
      </c>
      <c r="C30" s="610" t="inlineStr">
        <is>
          <t>Capacity building and public awareness</t>
        </is>
      </c>
      <c r="D30" s="610" t="inlineStr">
        <is>
          <t>Professional certification</t>
        </is>
      </c>
      <c r="E30" s="610" t="inlineStr">
        <is>
          <t>Cross-sectoral</t>
        </is>
      </c>
      <c r="F30" s="610" t="inlineStr">
        <is>
          <t>N/A</t>
        </is>
      </c>
      <c r="G30" s="610" t="inlineStr">
        <is>
          <t>碳排放管理员国家职业标准</t>
        </is>
      </c>
      <c r="H30" s="610" t="inlineStr">
        <is>
          <t>National Occupational Standard for Carbon Emission Administrators</t>
        </is>
      </c>
      <c r="I30" s="610" t="inlineStr">
        <is>
          <t>N/A</t>
        </is>
      </c>
      <c r="J30" s="610"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610" t="inlineStr">
        <is>
          <t>Climate change mitigation</t>
        </is>
      </c>
      <c r="L30" s="610" t="inlineStr">
        <is>
          <t>Direct</t>
        </is>
      </c>
      <c r="M30" s="610" t="inlineStr">
        <is>
          <t>national</t>
        </is>
      </c>
      <c r="N30" s="610" t="inlineStr">
        <is>
          <t>N/A</t>
        </is>
      </c>
      <c r="O30" s="610" t="inlineStr">
        <is>
          <t>19/09/2023</t>
        </is>
      </c>
      <c r="P30" s="610" t="inlineStr">
        <is>
          <t>19/09/2023</t>
        </is>
      </c>
      <c r="Q30" s="610" t="inlineStr">
        <is>
          <t>N/A</t>
        </is>
      </c>
      <c r="R30" s="610" t="inlineStr">
        <is>
          <t>N/A</t>
        </is>
      </c>
      <c r="S30" s="610" t="inlineStr">
        <is>
          <t>N/A</t>
        </is>
      </c>
      <c r="T30" s="610">
        <f>IF(P30="","In force",IF(P30="N/A","In force",IF(TODAY()&lt;DATE(VALUE(RIGHT(P30,4)),VALUE(MID(P30,4,2)),VALUE(LEFT(P30,2))),"Scheduled",IF(Q30="","In force",IF(Q30="N/A","In force",IF(TODAY()&lt;DATE(VALUE(RIGHT(Q30,4)),VALUE(MID(Q30,4,2)),VALUE(LEFT(Q30,2))),"In force","Ended"))))))</f>
        <v/>
      </c>
      <c r="U30" s="610" t="inlineStr">
        <is>
          <t>Ministry of Human Resources and Social Security; Ministry of Ecology and Environment</t>
        </is>
      </c>
      <c r="V30" s="610" t="inlineStr">
        <is>
          <t>Occupational standard and skill grades for carbon emission administrators (human resource development)</t>
        </is>
      </c>
      <c r="W30" s="610" t="inlineStr">
        <is>
          <t>N/A</t>
        </is>
      </c>
      <c r="X30" s="610"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Y30" s="610" t="inlineStr">
        <is>
          <t>N/A</t>
        </is>
      </c>
      <c r="Z30" s="610" t="inlineStr">
        <is>
          <t>N/A</t>
        </is>
      </c>
      <c r="AA30" s="610" t="inlineStr">
        <is>
          <t>Households</t>
        </is>
      </c>
      <c r="AB30" s="610"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C30" s="610" t="inlineStr">
        <is>
          <t>Registration, licensing or other administrative tasks</t>
        </is>
      </c>
      <c r="AD30" s="610"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E30" s="610" t="inlineStr">
        <is>
          <t>N/A</t>
        </is>
      </c>
      <c r="AF30" s="610" t="inlineStr">
        <is>
          <t>N/A</t>
        </is>
      </c>
      <c r="AG30" s="610" t="inlineStr">
        <is>
          <t>N/A</t>
        </is>
      </c>
      <c r="AH30" s="610"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I30" s="610" t="inlineStr">
        <is>
          <t>N/A</t>
        </is>
      </c>
      <c r="AJ30" s="610" t="inlineStr">
        <is>
          <t>N/A</t>
        </is>
      </c>
      <c r="AK30" s="610"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L30" s="610"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M30" s="610" t="inlineStr">
        <is>
          <t>MOHRSS publicly releases the full text of the Standard through its official website (government public release); vocational skill grade recognition and assessment bodies issue training and assessment-related information in accordance with the Standard.</t>
        </is>
      </c>
      <c r="AN30" s="610" t="inlineStr">
        <is>
          <t>Irregular revision and updating (first edition issued in 2023).</t>
        </is>
      </c>
      <c r="AO30" s="610" t="inlineStr">
        <is>
          <t>Yes (public). The Standard is made publicly available in full to society through the MOHRSS official website.</t>
        </is>
      </c>
      <c r="AP30" s="610" t="inlineStr">
        <is>
          <t>N/A</t>
        </is>
      </c>
      <c r="AQ30" s="610" t="inlineStr">
        <is>
          <t>No compliance monitoring</t>
        </is>
      </c>
      <c r="AR30" s="610" t="inlineStr">
        <is>
          <t>No compliance enforcement</t>
        </is>
      </c>
      <c r="AS30" s="610" t="inlineStr">
        <is>
          <t>Other incentives or support</t>
        </is>
      </c>
      <c r="AT30" s="610"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U30" s="610"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V30" s="610" t="inlineStr">
        <is>
          <t>N/A (this instrument is an indirect capacity building tool with no direct GHG emission coverage share)</t>
        </is>
      </c>
      <c r="AW30" s="610" t="inlineStr">
        <is>
          <t>P85</t>
        </is>
      </c>
      <c r="AX30" s="610" t="inlineStr">
        <is>
          <t>CO2; CH4; N2O; HFCs; PFCs; SF6; NF3</t>
        </is>
      </c>
      <c r="AY30" s="610" t="inlineStr">
        <is>
          <t>Positive</t>
        </is>
      </c>
      <c r="AZ30" s="610" t="inlineStr">
        <is>
          <t>Industrial development; Technological innovation</t>
        </is>
      </c>
      <c r="BA30" s="610"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B30" s="610" t="inlineStr">
        <is>
          <t>https://www.mohrss.gov.cn/xxgk2020/fdzdgknr/rcrs_4225/jnrc/202312/t20231205_510006.html</t>
        </is>
      </c>
      <c r="BC30" s="610" t="inlineStr">
        <is>
          <t>N/A</t>
        </is>
      </c>
    </row>
    <row r="31">
      <c r="A31" s="610" t="inlineStr">
        <is>
          <t>CHNCBACBPI01S000</t>
        </is>
      </c>
      <c r="B31" s="610" t="inlineStr">
        <is>
          <t>Instrument</t>
        </is>
      </c>
      <c r="C31" s="610" t="inlineStr">
        <is>
          <t>Capacity building and public awareness</t>
        </is>
      </c>
      <c r="D31" s="610" t="inlineStr">
        <is>
          <t>Capacity building programme</t>
        </is>
      </c>
      <c r="E31" s="610" t="inlineStr">
        <is>
          <t>Industry</t>
        </is>
      </c>
      <c r="F31" s="610" t="inlineStr">
        <is>
          <t>N/A</t>
        </is>
      </c>
      <c r="G31" s="610" t="inlineStr">
        <is>
          <t>绿色工厂梯度培育及管理</t>
        </is>
      </c>
      <c r="H31" s="610" t="inlineStr">
        <is>
          <t>Green Factory Gradient Cultivation and Management</t>
        </is>
      </c>
      <c r="I31" s="610" t="inlineStr">
        <is>
          <t>N/A</t>
        </is>
      </c>
      <c r="J31" s="610"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610" t="inlineStr">
        <is>
          <t>Industrial development; Green economy</t>
        </is>
      </c>
      <c r="L31" s="610" t="inlineStr">
        <is>
          <t>Direct</t>
        </is>
      </c>
      <c r="M31" s="610" t="inlineStr">
        <is>
          <t>national</t>
        </is>
      </c>
      <c r="N31" s="610" t="inlineStr">
        <is>
          <t>N/A</t>
        </is>
      </c>
      <c r="O31" s="610" t="inlineStr">
        <is>
          <t>19/01/2024</t>
        </is>
      </c>
      <c r="P31" s="610" t="inlineStr">
        <is>
          <t>19/01/2024</t>
        </is>
      </c>
      <c r="Q31" s="610" t="inlineStr">
        <is>
          <t>N/A</t>
        </is>
      </c>
      <c r="R31" s="610" t="inlineStr">
        <is>
          <t>N/A</t>
        </is>
      </c>
      <c r="S31" s="610" t="inlineStr">
        <is>
          <t>N/A</t>
        </is>
      </c>
      <c r="T31" s="610">
        <f>IF(P31="","In force",IF(P31="N/A","In force",IF(TODAY()&lt;DATE(VALUE(RIGHT(P31,4)),VALUE(MID(P31,4,2)),VALUE(LEFT(P31,2))),"Scheduled",IF(Q31="","In force",IF(Q31="N/A","In force",IF(TODAY()&lt;DATE(VALUE(RIGHT(Q31,4)),VALUE(MID(Q31,4,2)),VALUE(LEFT(Q31,2))),"In force","Ended"))))))</f>
        <v/>
      </c>
      <c r="U31" s="610" t="inlineStr">
        <is>
          <t>Ministry of Industry and Information Technology (Department of Energy Conservation and Comprehensive Utilisation)</t>
        </is>
      </c>
      <c r="V31" s="610" t="inlineStr">
        <is>
          <t>Green factories (manufacturing production facilities)</t>
        </is>
      </c>
      <c r="W31" s="610" t="inlineStr">
        <is>
          <t>New; Existing</t>
        </is>
      </c>
      <c r="X31" s="610"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Y31" s="610" t="inlineStr">
        <is>
          <t>N/A</t>
        </is>
      </c>
      <c r="Z31" s="610" t="inlineStr">
        <is>
          <t>N/A</t>
        </is>
      </c>
      <c r="AA31" s="610" t="inlineStr">
        <is>
          <t>Firms</t>
        </is>
      </c>
      <c r="AB31" s="610"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C31" s="610" t="inlineStr">
        <is>
          <t>Production</t>
        </is>
      </c>
      <c r="AD31" s="610"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E31" s="610" t="inlineStr">
        <is>
          <t>N/A</t>
        </is>
      </c>
      <c r="AF31" s="610" t="inlineStr">
        <is>
          <t>N/A</t>
        </is>
      </c>
      <c r="AG31" s="610" t="inlineStr">
        <is>
          <t>N/A</t>
        </is>
      </c>
      <c r="AH31" s="610"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I31" s="610" t="inlineStr">
        <is>
          <t>N/A</t>
        </is>
      </c>
      <c r="AJ31" s="610" t="inlineStr">
        <is>
          <t>N/A</t>
        </is>
      </c>
      <c r="AK31" s="610"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L31" s="610"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M31" s="610"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N31" s="610" t="inlineStr">
        <is>
          <t>Provincial recommendations to the national level by 31 July each year; recognised enterprises submit dynamic management forms by 15 April each year; annual release of green factory recommendation notices and lists.</t>
        </is>
      </c>
      <c r="AO31" s="610" t="inlineStr">
        <is>
          <t>Yes (public). Green factory lists and the management measures are publicly available through the MIIT portal.</t>
        </is>
      </c>
      <c r="AP31" s="610" t="inlineStr">
        <is>
          <t>N/A</t>
        </is>
      </c>
      <c r="AQ31" s="610" t="inlineStr">
        <is>
          <t>No compliance monitoring</t>
        </is>
      </c>
      <c r="AR31" s="610" t="inlineStr">
        <is>
          <t>No compliance enforcement</t>
        </is>
      </c>
      <c r="AS31" s="610" t="inlineStr">
        <is>
          <t>Other incentives or support</t>
        </is>
      </c>
      <c r="AT31" s="610"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U31" s="610"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V31" s="610" t="inlineStr">
        <is>
          <t>N/A (this instrument is an indirect capacity building instrument with no direct GHG emission coverage share)</t>
        </is>
      </c>
      <c r="AW31" s="610" t="inlineStr">
        <is>
          <t>C10; C11; C12; C13; C14; C15; C16; C17; C18; C19; C20; C21; C22; C23; C24; C25; C26; C27; C28; C29; C30; C31; C32; C33</t>
        </is>
      </c>
      <c r="AX31" s="610" t="inlineStr">
        <is>
          <t>CO2; CH4; N2O</t>
        </is>
      </c>
      <c r="AY31" s="610" t="inlineStr">
        <is>
          <t>Positive</t>
        </is>
      </c>
      <c r="AZ31" s="610" t="inlineStr">
        <is>
          <t>Industrial development; Resource conservation; Pollution control; Circular economy</t>
        </is>
      </c>
      <c r="BA31" s="610" t="inlineStr">
        <is>
          <t>Notice of the Ministry of Industry and Information Technology on Issuing the Interim Measures for Green Factory Gradient Cultivation and Management (G.X.B.J. [2024] No. 13)</t>
        </is>
      </c>
      <c r="BB31" s="610" t="inlineStr">
        <is>
          <t>https://www.gov.cn/zhengce/zhengceku/202401/content_6929104.htm</t>
        </is>
      </c>
      <c r="BC31" s="610" t="inlineStr">
        <is>
          <t>https://www.miit.gov.cn/jgsj/jns/gzdt/art/2026/art_ff0367abfedd4a4d86d56599878d2ff3.html</t>
        </is>
      </c>
    </row>
    <row r="32">
      <c r="A32" s="610" t="inlineStr">
        <is>
          <t>CHNCBACOCI01S000</t>
        </is>
      </c>
      <c r="B32" s="610" t="inlineStr">
        <is>
          <t>Instrument</t>
        </is>
      </c>
      <c r="C32" s="610" t="inlineStr">
        <is>
          <t>Capacity building and public awareness</t>
        </is>
      </c>
      <c r="D32" s="610" t="inlineStr">
        <is>
          <t>Citizen code of conduct</t>
        </is>
      </c>
      <c r="E32" s="610" t="inlineStr">
        <is>
          <t>Cross-sectoral</t>
        </is>
      </c>
      <c r="F32" s="610" t="inlineStr">
        <is>
          <t>N/A</t>
        </is>
      </c>
      <c r="G32" s="610" t="inlineStr">
        <is>
          <t>公民生态环境行为规范十条</t>
        </is>
      </c>
      <c r="H32" s="610" t="inlineStr">
        <is>
          <t>Ten Norms of Ecological and Environmental Behavior for Citizens</t>
        </is>
      </c>
      <c r="I32" s="610" t="inlineStr">
        <is>
          <t>N/A</t>
        </is>
      </c>
      <c r="J32" s="610"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610" t="inlineStr">
        <is>
          <t>Public awareness; Green consumption</t>
        </is>
      </c>
      <c r="L32" s="610" t="inlineStr">
        <is>
          <t>Direct</t>
        </is>
      </c>
      <c r="M32" s="610" t="inlineStr">
        <is>
          <t>national</t>
        </is>
      </c>
      <c r="N32" s="610" t="inlineStr">
        <is>
          <t>N/A</t>
        </is>
      </c>
      <c r="O32" s="610" t="inlineStr">
        <is>
          <t>04/06/2018</t>
        </is>
      </c>
      <c r="P32" s="610" t="inlineStr">
        <is>
          <t>05/06/2018</t>
        </is>
      </c>
      <c r="Q32" s="610" t="inlineStr">
        <is>
          <t>N/A</t>
        </is>
      </c>
      <c r="R32" s="610" t="inlineStr">
        <is>
          <t>31/05/2023</t>
        </is>
      </c>
      <c r="S32" s="610"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T32" s="610">
        <f>IF(P32="","In force",IF(P32="N/A","In force",IF(TODAY()&lt;DATE(VALUE(RIGHT(P32,4)),VALUE(MID(P32,4,2)),VALUE(LEFT(P32,2))),"Scheduled",IF(Q32="","In force",IF(Q32="N/A","In force",IF(TODAY()&lt;DATE(VALUE(RIGHT(Q32,4)),VALUE(MID(Q32,4,2)),VALUE(LEFT(Q32,2))),"In force","Ended"))))))</f>
        <v/>
      </c>
      <c r="U32" s="610" t="inlineStr">
        <is>
          <t>Ministry of Ecology and Environment; Central Office of Civilizational Development; Ministry of Education; Communist Youth League Central Committee; All-China Women's Federation</t>
        </is>
      </c>
      <c r="V32" s="610" t="inlineStr">
        <is>
          <t>Public environmental awareness and behavioural norms (behavioural advocacy)</t>
        </is>
      </c>
      <c r="W32" s="610" t="inlineStr">
        <is>
          <t>N/A</t>
        </is>
      </c>
      <c r="X32" s="610"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Y32" s="610" t="inlineStr">
        <is>
          <t>N/A</t>
        </is>
      </c>
      <c r="Z32" s="610" t="inlineStr">
        <is>
          <t>N/A</t>
        </is>
      </c>
      <c r="AA32" s="610" t="inlineStr">
        <is>
          <t>Households</t>
        </is>
      </c>
      <c r="AB32" s="610"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C32" s="610" t="inlineStr">
        <is>
          <t>Consumption and use</t>
        </is>
      </c>
      <c r="AD32" s="610"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E32" s="610" t="inlineStr">
        <is>
          <t>N/A</t>
        </is>
      </c>
      <c r="AF32" s="610" t="inlineStr">
        <is>
          <t>N/A</t>
        </is>
      </c>
      <c r="AG32" s="610" t="inlineStr">
        <is>
          <t>N/A</t>
        </is>
      </c>
      <c r="AH32" s="610"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I32" s="610" t="inlineStr">
        <is>
          <t>N/A</t>
        </is>
      </c>
      <c r="AJ32" s="610" t="inlineStr">
        <is>
          <t>N/A</t>
        </is>
      </c>
      <c r="AK32" s="610"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L32" s="610"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M32" s="610"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N32" s="610" t="inlineStr">
        <is>
          <t>Irregular revision and updating. First issued in 2018 (Trial); formally revised and issued in 2023.</t>
        </is>
      </c>
      <c r="AO32" s="610" t="inlineStr">
        <is>
          <t>Yes (public). The Norms are made publicly available in full through the websites of the Ministry of Ecology and Environment and the co-issuing departments.</t>
        </is>
      </c>
      <c r="AP32" s="610" t="inlineStr">
        <is>
          <t>N/A</t>
        </is>
      </c>
      <c r="AQ32" s="610" t="inlineStr">
        <is>
          <t>No compliance monitoring</t>
        </is>
      </c>
      <c r="AR32" s="610" t="inlineStr">
        <is>
          <t>No compliance enforcement</t>
        </is>
      </c>
      <c r="AS32" s="610" t="inlineStr">
        <is>
          <t>Other incentives or support</t>
        </is>
      </c>
      <c r="AT32" s="610"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U32" s="610" t="inlineStr">
        <is>
          <t>N/A (this instrument is a citizen behavioural code; it indirectly reduces emissions by advocating green and low-carbon lifestyles, and has no directly quantifiable emission coverage)</t>
        </is>
      </c>
      <c r="AV32" s="610" t="inlineStr">
        <is>
          <t>N/A (this instrument is an indirect behavioural advocacy tool with no direct GHG emission coverage share)</t>
        </is>
      </c>
      <c r="AW32" s="610" t="inlineStr">
        <is>
          <t>M72</t>
        </is>
      </c>
      <c r="AX32" s="610" t="inlineStr">
        <is>
          <t>CO2; CH4; N2O</t>
        </is>
      </c>
      <c r="AY32" s="610" t="inlineStr">
        <is>
          <t>Positive</t>
        </is>
      </c>
      <c r="AZ32" s="610" t="inlineStr">
        <is>
          <t>Industrial development; Pollution control; Resource conservation; Circular economy; Ecological protection; Public health</t>
        </is>
      </c>
      <c r="BA32" s="610"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B32" s="610" t="inlineStr">
        <is>
          <t>https://www.mee.gov.cn/xxgk2018/xxgk/xxgk01/202306/t20230605_1032476.html</t>
        </is>
      </c>
      <c r="BC32" s="610" t="inlineStr">
        <is>
          <t>https://www.mee.gov.cn/xxgk2018/xxgk/xxgk01/201806/t20180605_629588.html</t>
        </is>
      </c>
    </row>
  </sheetData>
  <mergeCells count="9">
    <mergeCell ref="AU1:AV1"/>
    <mergeCell ref="G1:L1"/>
    <mergeCell ref="AK1:AT1"/>
    <mergeCell ref="AW1:AZ1"/>
    <mergeCell ref="BA1:BC1"/>
    <mergeCell ref="V1:AJ1"/>
    <mergeCell ref="M1:U1"/>
    <mergeCell ref="C1:F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W43"/>
  <sheetViews>
    <sheetView tabSelected="1" workbookViewId="0">
      <selection activeCell="A1" sqref="A1:AX2"/>
    </sheetView>
  </sheetViews>
  <sheetFormatPr baseColWidth="8" defaultRowHeight="13.9"/>
  <sheetData>
    <row r="1" ht="15.75" customHeight="1">
      <c r="A1" s="591" t="inlineStr">
        <is>
          <t>Identification</t>
        </is>
      </c>
      <c r="B1" s="93" t="n"/>
      <c r="C1" s="627" t="inlineStr">
        <is>
          <t>Instrument typology</t>
        </is>
      </c>
      <c r="D1" s="100" t="n"/>
      <c r="E1" s="100" t="n"/>
      <c r="F1" s="101" t="n"/>
      <c r="G1" s="628" t="inlineStr">
        <is>
          <t>Policy Description</t>
        </is>
      </c>
      <c r="H1" s="100" t="n"/>
      <c r="I1" s="100" t="n"/>
      <c r="J1" s="100" t="n"/>
      <c r="K1" s="100" t="n"/>
      <c r="L1" s="100" t="n"/>
      <c r="M1" s="629" t="inlineStr">
        <is>
          <t>Administrative information</t>
        </is>
      </c>
      <c r="N1" s="100" t="n"/>
      <c r="O1" s="100" t="n"/>
      <c r="P1" s="100" t="n"/>
      <c r="Q1" s="100" t="n"/>
      <c r="R1" s="100" t="n"/>
      <c r="S1" s="100" t="n"/>
      <c r="T1" s="100" t="n"/>
      <c r="U1" s="100" t="n"/>
      <c r="V1" s="630" t="inlineStr">
        <is>
          <t>Policy regulatory base and intensity</t>
        </is>
      </c>
      <c r="W1" s="100" t="n"/>
      <c r="X1" s="100" t="n"/>
      <c r="Y1" s="100" t="n"/>
      <c r="Z1" s="100" t="n"/>
      <c r="AA1" s="100" t="n"/>
      <c r="AB1" s="100" t="n"/>
      <c r="AC1" s="100" t="n"/>
      <c r="AD1" s="100" t="n"/>
      <c r="AE1" s="100" t="n"/>
      <c r="AF1" s="100" t="n"/>
      <c r="AG1" s="100" t="n"/>
      <c r="AH1" s="100" t="n"/>
      <c r="AI1" s="100" t="n"/>
      <c r="AJ1" s="100" t="n"/>
      <c r="AK1" s="596" t="inlineStr">
        <is>
          <t>Instrument-specific attributes</t>
        </is>
      </c>
      <c r="AL1" s="100" t="n"/>
      <c r="AM1" s="100" t="n"/>
      <c r="AN1" s="631" t="inlineStr">
        <is>
          <t>GHG emission base</t>
        </is>
      </c>
      <c r="AO1" s="101" t="n"/>
      <c r="AP1" s="598" t="inlineStr">
        <is>
          <t>Classifications &amp; Indicators</t>
        </is>
      </c>
      <c r="AQ1" s="100" t="n"/>
      <c r="AR1" s="100" t="n"/>
      <c r="AS1" s="100" t="n"/>
      <c r="AT1" s="629" t="inlineStr">
        <is>
          <t>References to legislation</t>
        </is>
      </c>
      <c r="AU1" s="100" t="n"/>
      <c r="AV1" s="100" t="n"/>
      <c r="AW1" s="632"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3" t="inlineStr">
        <is>
          <t>Incentives for Participation</t>
        </is>
      </c>
      <c r="AL2" s="603" t="inlineStr">
        <is>
          <t>Monitoring</t>
        </is>
      </c>
      <c r="AM2" s="603" t="inlineStr">
        <is>
          <t>Sanctions for non-compliance</t>
        </is>
      </c>
      <c r="AN2" s="607" t="inlineStr">
        <is>
          <t>GHG emission coverage (absolute)</t>
        </is>
      </c>
      <c r="AO2" s="607" t="inlineStr">
        <is>
          <t>GHG emission coverage (% domestic emissions)</t>
        </is>
      </c>
      <c r="AP2" s="602" t="inlineStr">
        <is>
          <t>Economic sector</t>
        </is>
      </c>
      <c r="AQ2" s="602" t="inlineStr">
        <is>
          <t>GHGs affected</t>
        </is>
      </c>
      <c r="AR2" s="602" t="inlineStr">
        <is>
          <t>Mitigation effect</t>
        </is>
      </c>
      <c r="AS2" s="602" t="inlineStr">
        <is>
          <t>Mitigation co-benefits</t>
        </is>
      </c>
      <c r="AT2" s="604" t="inlineStr">
        <is>
          <t>Legal statute</t>
        </is>
      </c>
      <c r="AU2" s="604" t="inlineStr">
        <is>
          <t>Legal document</t>
        </is>
      </c>
      <c r="AV2" s="604" t="inlineStr">
        <is>
          <t>Other weblinks</t>
        </is>
      </c>
      <c r="AW2" s="609" t="n"/>
    </row>
    <row r="3">
      <c r="A3" s="610" t="inlineStr">
        <is>
          <t>CHNVTSVCMI01S000</t>
        </is>
      </c>
      <c r="B3" s="610" t="inlineStr">
        <is>
          <t>Instrument</t>
        </is>
      </c>
      <c r="C3" s="610" t="inlineStr">
        <is>
          <t>Voluntary trading system</t>
        </is>
      </c>
      <c r="D3" s="610" t="inlineStr">
        <is>
          <t>Voluntary carbon market</t>
        </is>
      </c>
      <c r="E3" s="610" t="inlineStr">
        <is>
          <t>AFOLU; Energy; Transport; Industry; Buildings</t>
        </is>
      </c>
      <c r="F3" s="610" t="inlineStr">
        <is>
          <t>Forestry carbon sink; Renewable energy generation; Marine carbon sink (blue carbon); Road tunnel energy saving; Coal mine gas utilisation</t>
        </is>
      </c>
      <c r="G3" s="610" t="inlineStr">
        <is>
          <t>全国温室气体自愿减排交易市场</t>
        </is>
      </c>
      <c r="H3" s="610" t="inlineStr">
        <is>
          <t>China National Voluntary GHG Emission Reduction Trading Market</t>
        </is>
      </c>
      <c r="I3" s="610" t="inlineStr">
        <is>
          <t>N/A</t>
        </is>
      </c>
      <c r="J3" s="610"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610" t="inlineStr">
        <is>
          <t>Climate change mitigation</t>
        </is>
      </c>
      <c r="L3" s="610" t="inlineStr">
        <is>
          <t>Direct</t>
        </is>
      </c>
      <c r="M3" s="610" t="inlineStr">
        <is>
          <t>national</t>
        </is>
      </c>
      <c r="N3" s="610" t="inlineStr">
        <is>
          <t>N/A</t>
        </is>
      </c>
      <c r="O3" s="610" t="inlineStr">
        <is>
          <t>13/06/2012</t>
        </is>
      </c>
      <c r="P3" s="610" t="inlineStr">
        <is>
          <t>13/06/2012</t>
        </is>
      </c>
      <c r="Q3" s="610" t="inlineStr">
        <is>
          <t>N/A</t>
        </is>
      </c>
      <c r="R3" s="610" t="inlineStr">
        <is>
          <t>19/10/2023</t>
        </is>
      </c>
      <c r="S3" s="610"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T3" s="610">
        <f>IF(P3="","In force",IF(P3="N/A","In force",IF(TODAY()&lt;DATE(VALUE(RIGHT(P3,4)),VALUE(MID(P3,4,2)),VALUE(LEFT(P3,2))),"Scheduled",IF(Q3="","In force",IF(Q3="N/A","In force",IF(TODAY()&lt;DATE(VALUE(RIGHT(Q3,4)),VALUE(MID(Q3,4,2)),VALUE(LEFT(Q3,2))),"In force","Ended"))))))</f>
        <v/>
      </c>
      <c r="U3" s="610"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V3" s="610" t="inlineStr">
        <is>
          <t>Certified Emission Reductions (CCERs) / Carbon credit trading market infrastructure</t>
        </is>
      </c>
      <c r="W3" s="610" t="inlineStr">
        <is>
          <t>New</t>
        </is>
      </c>
      <c r="X3" s="610"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Y3" s="610" t="inlineStr">
        <is>
          <t>N/A</t>
        </is>
      </c>
      <c r="Z3" s="610" t="inlineStr">
        <is>
          <t>N/A</t>
        </is>
      </c>
      <c r="AA3" s="610" t="inlineStr">
        <is>
          <t>Firms</t>
        </is>
      </c>
      <c r="AB3" s="610"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C3" s="610" t="inlineStr">
        <is>
          <t>Registration, permitting and administration; Financing and investment; Abatement or prevention</t>
        </is>
      </c>
      <c r="AD3" s="610"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E3" s="610" t="inlineStr">
        <is>
          <t>70.76</t>
        </is>
      </c>
      <c r="AF3" s="610" t="inlineStr">
        <is>
          <t>CNY/tCO2</t>
        </is>
      </c>
      <c r="AG3" s="610" t="inlineStr">
        <is>
          <t>2025 national average CCER trading price (Source: Beijing Green Exchange). Annual trading volume in 2025 reached 8.8441 million tonnes with turnover of CNY 626 million.</t>
        </is>
      </c>
      <c r="AH3" s="610"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I3" s="610"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J3" s="610" t="inlineStr">
        <is>
          <t>N/A (each methodology prescribes only one calculation method)</t>
        </is>
      </c>
      <c r="AK3" s="610"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L3" s="610"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M3" s="610"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N3" s="610" t="inlineStr">
        <is>
          <t>By end-2025, cumulative registered emission reductions of 17.7637 million tCO2e; cumulative trading volume of 9.2194 million tonnes (Source: MEE/CBEEX). Annual trading volume in 2025 reached 8.8441 million tonnes with turnover of CNY 626 million.</t>
        </is>
      </c>
      <c r="AO3" s="610" t="inlineStr">
        <is>
          <t>N/A (this instrument is a national carbon credit trading market covering voluntary emission reduction projects across multiple sectors and has no single domestic emission coverage share)</t>
        </is>
      </c>
      <c r="AP3" s="610" t="inlineStr">
        <is>
          <t>A01; A02; B05; B06; D35; F41</t>
        </is>
      </c>
      <c r="AQ3" s="610" t="inlineStr">
        <is>
          <t>CO2; CH4; SF6; HFCs</t>
        </is>
      </c>
      <c r="AR3" s="610" t="inlineStr">
        <is>
          <t>Positive</t>
        </is>
      </c>
      <c r="AS3" s="610" t="inlineStr">
        <is>
          <t>Renewable energy development; Technological innovation; Ecological protection; Industrial development; Resource conservation; Pollution control; Energy security; Biodiversity conservation; Climate change adaptation</t>
        </is>
      </c>
      <c r="AT3" s="610" t="inlineStr">
        <is>
          <t>Administrative Measures for Voluntary GHG Emission Reduction Trading (Trial) (Order No. 31 of the Ministry of Ecology and Environment and the State Administration for Market Regulation, published and effective 19 October 2023)</t>
        </is>
      </c>
      <c r="AU3" s="610" t="inlineStr">
        <is>
          <t>https://www.mee.gov.cn/xxgk2018/xxgk/xxgk02/202310/t20231020_1043694.html</t>
        </is>
      </c>
      <c r="AV3" s="610" t="inlineStr">
        <is>
          <t>https://www.mee.gov.cn/ywgz/ydqhbh/wsqtkz/202310/t20231025_1043940.shtml (methodology publication page); https://www.cets.org.cn/ (National Carbon Market Information Network)</t>
        </is>
      </c>
      <c r="AW3" s="610" t="inlineStr"/>
    </row>
    <row r="4">
      <c r="A4" s="464" t="inlineStr">
        <is>
          <t>CHNVTSVCMI01S001</t>
        </is>
      </c>
      <c r="B4" s="464" t="inlineStr">
        <is>
          <t>Subscheme</t>
        </is>
      </c>
      <c r="C4" s="464" t="inlineStr">
        <is>
          <t>Voluntary trading system</t>
        </is>
      </c>
      <c r="D4" s="464" t="inlineStr">
        <is>
          <t>Voluntary carbon market</t>
        </is>
      </c>
      <c r="E4" s="464" t="inlineStr">
        <is>
          <t>AFOLU</t>
        </is>
      </c>
      <c r="F4" s="464" t="inlineStr">
        <is>
          <t>Forestry carbon sink</t>
        </is>
      </c>
      <c r="G4" s="464" t="inlineStr">
        <is>
          <t>造林碳汇（CCER-14-001-V01）</t>
        </is>
      </c>
      <c r="H4" s="464" t="inlineStr">
        <is>
          <t>Afforestation Carbon Sink (CCER-14-001-V01)</t>
        </is>
      </c>
      <c r="I4" s="464" t="inlineStr">
        <is>
          <t>N/A</t>
        </is>
      </c>
      <c r="J4" s="464"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464" t="inlineStr">
        <is>
          <t>Climate change mitigation</t>
        </is>
      </c>
      <c r="L4" s="464" t="inlineStr">
        <is>
          <t>Direct</t>
        </is>
      </c>
      <c r="M4" s="464" t="inlineStr">
        <is>
          <t>national</t>
        </is>
      </c>
      <c r="N4" s="464" t="inlineStr">
        <is>
          <t>N/A</t>
        </is>
      </c>
      <c r="O4" s="464" t="inlineStr">
        <is>
          <t>24/10/2023</t>
        </is>
      </c>
      <c r="P4" s="464" t="inlineStr">
        <is>
          <t>24/10/2023</t>
        </is>
      </c>
      <c r="Q4" s="464" t="inlineStr">
        <is>
          <t>N/A</t>
        </is>
      </c>
      <c r="R4" s="464" t="inlineStr">
        <is>
          <t>N/A</t>
        </is>
      </c>
      <c r="S4" s="464" t="inlineStr">
        <is>
          <t>N/A (revised draft issued for public consultation in June 2026, not yet formally revised)</t>
        </is>
      </c>
      <c r="T4" s="464">
        <f>IF(P4="","In force",IF(P4="N/A","In force",IF(TODAY()&lt;DATE(VALUE(RIGHT(P4,4)),VALUE(MID(P4,4,2)),VALUE(LEFT(P4,2))),"Scheduled",IF(Q4="","In force",IF(Q4="N/A","In force",IF(TODAY()&lt;DATE(VALUE(RIGHT(Q4,4)),VALUE(MID(Q4,4,2)),VALUE(LEFT(Q4,2))),"In force","Ended"))))))</f>
        <v/>
      </c>
      <c r="U4" s="464" t="inlineStr">
        <is>
          <t>Ministry of Ecology and Environment (Department of Climate Change)</t>
        </is>
      </c>
      <c r="V4" s="464" t="inlineStr">
        <is>
          <t>Afforestation carbon sink projects / Certified Emission Reductions (CCERs)</t>
        </is>
      </c>
      <c r="W4" s="464" t="inlineStr">
        <is>
          <t>New</t>
        </is>
      </c>
      <c r="X4" s="464"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Y4" s="464" t="inlineStr">
        <is>
          <t>N/A</t>
        </is>
      </c>
      <c r="Z4" s="464" t="inlineStr">
        <is>
          <t>N/A</t>
        </is>
      </c>
      <c r="AA4" s="464" t="inlineStr">
        <is>
          <t>Firms</t>
        </is>
      </c>
      <c r="AB4" s="464"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C4" s="464" t="inlineStr">
        <is>
          <t>Registration, permitting and administration; Financing and investment; Abatement or prevention</t>
        </is>
      </c>
      <c r="AD4"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E4" s="464" t="inlineStr">
        <is>
          <t>70.76</t>
        </is>
      </c>
      <c r="AF4" s="464" t="inlineStr">
        <is>
          <t>CNY/tCO2</t>
        </is>
      </c>
      <c r="AG4" s="464" t="inlineStr">
        <is>
          <t>No independent category-specific trading price data is available for afforestation carbon sink CCERs; the value shown is the 2025 national average CCER trading price of CNY 70.76/tCO2 (Source: Beijing Green Exchange).</t>
        </is>
      </c>
      <c r="AH4" s="464"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I4"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J4" s="464" t="inlineStr">
        <is>
          <t>N/A (only one calculation method prescribed)</t>
        </is>
      </c>
      <c r="AK4" s="464"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L4" s="464"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M4" s="464" t="inlineStr">
        <is>
          <t>Project owners providing false materials: fine of CNY 10,000-100,000, revocation of registration and a three-year ban on re-application; validation and verification bodies in breach: fine of CNY 50,000-200,000.</t>
        </is>
      </c>
      <c r="AN4" s="464" t="inlineStr">
        <is>
          <t>N/A (emission reductions depend on project scale and voluntary development conditions)</t>
        </is>
      </c>
      <c r="AO4" s="464" t="inlineStr">
        <is>
          <t>N/A</t>
        </is>
      </c>
      <c r="AP4" s="464" t="inlineStr">
        <is>
          <t>A02</t>
        </is>
      </c>
      <c r="AQ4" s="464" t="inlineStr">
        <is>
          <t>CO2</t>
        </is>
      </c>
      <c r="AR4" s="464" t="inlineStr">
        <is>
          <t>Positive</t>
        </is>
      </c>
      <c r="AS4" s="464" t="inlineStr">
        <is>
          <t>Ecological protection; Biodiversity conservation; Resource conservation; Climate change adaptation</t>
        </is>
      </c>
      <c r="AT4" s="464" t="inlineStr">
        <is>
          <t>Notice on Issuing the Methodology for Voluntary GHG Emission Reduction Projects: Afforestation Carbon Sink (CCER-14-001-V01) and Three Other Methodologies (HB Ban Qi Hou Han [2023] No. 343)</t>
        </is>
      </c>
      <c r="AU4" s="464" t="inlineStr">
        <is>
          <t>https://www.mee.gov.cn/xxgk2018/xxgk/xxgk06/202310/t20231024_1043877.html</t>
        </is>
      </c>
      <c r="AV4" s="464" t="inlineStr">
        <is>
          <t>https://www.mee.gov.cn/xxgk2018/xxgk/xxgk06/202606/t20260626_1160307.html (2026 revision draft for public consultation)</t>
        </is>
      </c>
      <c r="AW4" s="464" t="inlineStr"/>
    </row>
    <row r="5">
      <c r="A5" s="464" t="inlineStr">
        <is>
          <t>CHNVTSVCMI01S002</t>
        </is>
      </c>
      <c r="B5" s="464" t="inlineStr">
        <is>
          <t>Subscheme</t>
        </is>
      </c>
      <c r="C5" s="464" t="inlineStr">
        <is>
          <t>Voluntary trading system</t>
        </is>
      </c>
      <c r="D5" s="464" t="inlineStr">
        <is>
          <t>Voluntary carbon market</t>
        </is>
      </c>
      <c r="E5" s="464" t="inlineStr">
        <is>
          <t>Energy</t>
        </is>
      </c>
      <c r="F5" s="464" t="inlineStr">
        <is>
          <t>Renewable energy generation</t>
        </is>
      </c>
      <c r="G5" s="464" t="inlineStr">
        <is>
          <t>并网光热发电（CCER-01-001-V01）</t>
        </is>
      </c>
      <c r="H5" s="464" t="inlineStr">
        <is>
          <t>Grid-connected Solar Thermal Power (CCER-01-001-V01)</t>
        </is>
      </c>
      <c r="I5" s="464" t="inlineStr">
        <is>
          <t>N/A</t>
        </is>
      </c>
      <c r="J5" s="464"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464" t="inlineStr">
        <is>
          <t>Climate change mitigation</t>
        </is>
      </c>
      <c r="L5" s="464" t="inlineStr">
        <is>
          <t>Direct</t>
        </is>
      </c>
      <c r="M5" s="464" t="inlineStr">
        <is>
          <t>national</t>
        </is>
      </c>
      <c r="N5" s="464" t="inlineStr">
        <is>
          <t>N/A</t>
        </is>
      </c>
      <c r="O5" s="464" t="inlineStr">
        <is>
          <t>24/10/2023</t>
        </is>
      </c>
      <c r="P5" s="464" t="inlineStr">
        <is>
          <t>24/10/2023</t>
        </is>
      </c>
      <c r="Q5" s="464" t="inlineStr">
        <is>
          <t>N/A</t>
        </is>
      </c>
      <c r="R5" s="464" t="inlineStr">
        <is>
          <t>N/A</t>
        </is>
      </c>
      <c r="S5" s="464" t="inlineStr">
        <is>
          <t>N/A</t>
        </is>
      </c>
      <c r="T5" s="464">
        <f>IF(P5="","In force",IF(P5="N/A","In force",IF(TODAY()&lt;DATE(VALUE(RIGHT(P5,4)),VALUE(MID(P5,4,2)),VALUE(LEFT(P5,2))),"Scheduled",IF(Q5="","In force",IF(Q5="N/A","In force",IF(TODAY()&lt;DATE(VALUE(RIGHT(Q5,4)),VALUE(MID(Q5,4,2)),VALUE(LEFT(Q5,2))),"In force","Ended"))))))</f>
        <v/>
      </c>
      <c r="U5" s="464" t="inlineStr">
        <is>
          <t>Ministry of Ecology and Environment (Department of Climate Change)</t>
        </is>
      </c>
      <c r="V5" s="464" t="inlineStr">
        <is>
          <t>Grid-connected solar thermal power projects / Certified Emission Reductions (CCERs)</t>
        </is>
      </c>
      <c r="W5" s="464" t="inlineStr">
        <is>
          <t>New</t>
        </is>
      </c>
      <c r="X5" s="464"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Y5" s="464" t="inlineStr">
        <is>
          <t>N/A</t>
        </is>
      </c>
      <c r="Z5" s="464" t="inlineStr">
        <is>
          <t>N/A</t>
        </is>
      </c>
      <c r="AA5" s="464" t="inlineStr">
        <is>
          <t>Firms</t>
        </is>
      </c>
      <c r="AB5" s="464"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C5" s="464" t="inlineStr">
        <is>
          <t>Registration, permitting and administration; Financing and investment; Abatement or prevention</t>
        </is>
      </c>
      <c r="AD5"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E5" s="464" t="inlineStr">
        <is>
          <t>81.58</t>
        </is>
      </c>
      <c r="AF5" s="464" t="inlineStr">
        <is>
          <t>CNY/tCO2</t>
        </is>
      </c>
      <c r="AG5" s="464" t="inlineStr">
        <is>
          <t>2025 annual average trading price for solar thermal power CCERs, higher than the overall CCER average of CNY 70.76/tCO2 (Source: Beijing Green Exchange).</t>
        </is>
      </c>
      <c r="AH5" s="464"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I5" s="464"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J5" s="464" t="inlineStr">
        <is>
          <t>N/A (only one calculation method prescribed)</t>
        </is>
      </c>
      <c r="AK5" s="464" t="inlineStr">
        <is>
          <t>Project owners earn carbon revenue through the issuance and sale of CCERs (2025 average price CNY 81.58/tCO2); CCER revenue provides an additional income stream for solar thermal power projects, improving project economics.</t>
        </is>
      </c>
      <c r="AL5" s="464"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M5" s="464" t="inlineStr">
        <is>
          <t>Project owners providing false materials: fine of CNY 10,000-100,000, revocation of registration and a three-year ban on re-application; validation and verification bodies in breach: fine of CNY 50,000-200,000.</t>
        </is>
      </c>
      <c r="AN5" s="464" t="inlineStr">
        <is>
          <t>N/A (emission reductions depend on project scale and voluntary development conditions)</t>
        </is>
      </c>
      <c r="AO5" s="464" t="inlineStr">
        <is>
          <t>N/A</t>
        </is>
      </c>
      <c r="AP5" s="464" t="inlineStr">
        <is>
          <t>D35</t>
        </is>
      </c>
      <c r="AQ5" s="464" t="inlineStr">
        <is>
          <t>CO2</t>
        </is>
      </c>
      <c r="AR5" s="464" t="inlineStr">
        <is>
          <t>Positive</t>
        </is>
      </c>
      <c r="AS5" s="464" t="inlineStr">
        <is>
          <t>Renewable energy development; Technological innovation; Pollution control; Energy security</t>
        </is>
      </c>
      <c r="AT5" s="464" t="inlineStr">
        <is>
          <t>Notice on Issuing the Methodology for Voluntary GHG Emission Reduction Projects: Grid-connected Solar Thermal Power (CCER-01-001-V01) and Three Other Methodologies (HB Ban Qi Hou Han [2023] No. 343)</t>
        </is>
      </c>
      <c r="AU5" s="464" t="inlineStr">
        <is>
          <t>https://www.mee.gov.cn/xxgk2018/xxgk/xxgk06/202310/t20231024_1043877.html</t>
        </is>
      </c>
      <c r="AV5" s="464" t="inlineStr">
        <is>
          <t>https://www.cets.org.cn/ (National Carbon Market Information Network); https://www.cbeex.com.cn/ (Beijing Green Exchange)</t>
        </is>
      </c>
      <c r="AW5" s="464" t="inlineStr"/>
    </row>
    <row r="6">
      <c r="A6" s="464" t="inlineStr">
        <is>
          <t>CHNVTSVCMI01S003</t>
        </is>
      </c>
      <c r="B6" s="464" t="inlineStr">
        <is>
          <t>Subscheme</t>
        </is>
      </c>
      <c r="C6" s="464" t="inlineStr">
        <is>
          <t>Voluntary trading system</t>
        </is>
      </c>
      <c r="D6" s="464" t="inlineStr">
        <is>
          <t>Voluntary carbon market</t>
        </is>
      </c>
      <c r="E6" s="464" t="inlineStr">
        <is>
          <t>Energy</t>
        </is>
      </c>
      <c r="F6" s="464" t="inlineStr">
        <is>
          <t>Renewable energy generation</t>
        </is>
      </c>
      <c r="G6" s="464" t="inlineStr">
        <is>
          <t>并网海上风力发电（CCER-01-002-V01）</t>
        </is>
      </c>
      <c r="H6" s="464" t="inlineStr">
        <is>
          <t>Grid-connected Offshore Wind Power (CCER-01-002-V01)</t>
        </is>
      </c>
      <c r="I6" s="464" t="inlineStr">
        <is>
          <t>N/A</t>
        </is>
      </c>
      <c r="J6" s="464"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464" t="inlineStr">
        <is>
          <t>Climate change mitigation</t>
        </is>
      </c>
      <c r="L6" s="464" t="inlineStr">
        <is>
          <t>Direct</t>
        </is>
      </c>
      <c r="M6" s="464" t="inlineStr">
        <is>
          <t>national</t>
        </is>
      </c>
      <c r="N6" s="464" t="inlineStr">
        <is>
          <t>N/A</t>
        </is>
      </c>
      <c r="O6" s="464" t="inlineStr">
        <is>
          <t>24/10/2023</t>
        </is>
      </c>
      <c r="P6" s="464" t="inlineStr">
        <is>
          <t>24/10/2023</t>
        </is>
      </c>
      <c r="Q6" s="464" t="inlineStr">
        <is>
          <t>N/A</t>
        </is>
      </c>
      <c r="R6" s="464" t="inlineStr">
        <is>
          <t>N/A</t>
        </is>
      </c>
      <c r="S6" s="464" t="inlineStr">
        <is>
          <t>N/A</t>
        </is>
      </c>
      <c r="T6" s="464">
        <f>IF(P6="","In force",IF(P6="N/A","In force",IF(TODAY()&lt;DATE(VALUE(RIGHT(P6,4)),VALUE(MID(P6,4,2)),VALUE(LEFT(P6,2))),"Scheduled",IF(Q6="","In force",IF(Q6="N/A","In force",IF(TODAY()&lt;DATE(VALUE(RIGHT(Q6,4)),VALUE(MID(Q6,4,2)),VALUE(LEFT(Q6,2))),"In force","Ended"))))))</f>
        <v/>
      </c>
      <c r="U6" s="464" t="inlineStr">
        <is>
          <t>Ministry of Ecology and Environment (Department of Climate Change)</t>
        </is>
      </c>
      <c r="V6" s="464" t="inlineStr">
        <is>
          <t>Grid-connected offshore wind power projects / Certified Emission Reductions (CCERs)</t>
        </is>
      </c>
      <c r="W6" s="464" t="inlineStr">
        <is>
          <t>New</t>
        </is>
      </c>
      <c r="X6" s="464"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Y6" s="464" t="inlineStr">
        <is>
          <t>N/A</t>
        </is>
      </c>
      <c r="Z6" s="464" t="inlineStr">
        <is>
          <t>N/A</t>
        </is>
      </c>
      <c r="AA6" s="464" t="inlineStr">
        <is>
          <t>Firms</t>
        </is>
      </c>
      <c r="AB6" s="464"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C6" s="464" t="inlineStr">
        <is>
          <t>Registration, permitting and administration; Financing and investment; Abatement or prevention</t>
        </is>
      </c>
      <c r="AD6"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E6" s="464" t="inlineStr">
        <is>
          <t>69.27</t>
        </is>
      </c>
      <c r="AF6" s="464" t="inlineStr">
        <is>
          <t>CNY/tCO2</t>
        </is>
      </c>
      <c r="AG6" s="464" t="inlineStr">
        <is>
          <t>2025 annual average trading price for offshore wind power CCERs; offshore wind power accounts for the largest number of registered projects and issued CCERs since the market relaunch (Source: Beijing Green Exchange).</t>
        </is>
      </c>
      <c r="AH6" s="464"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I6" s="464"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J6" s="464" t="inlineStr">
        <is>
          <t>N/A (only one calculation method prescribed)</t>
        </is>
      </c>
      <c r="AK6" s="464"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L6" s="464"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M6" s="464" t="inlineStr">
        <is>
          <t>Project owners providing false materials: fine of CNY 10,000-100,000, revocation of registration and a three-year ban on re-application; validation and verification bodies in breach: fine of CNY 50,000-200,000.</t>
        </is>
      </c>
      <c r="AN6" s="464" t="inlineStr">
        <is>
          <t>N/A (emission reductions depend on project scale and voluntary development conditions)</t>
        </is>
      </c>
      <c r="AO6" s="464" t="inlineStr">
        <is>
          <t>N/A</t>
        </is>
      </c>
      <c r="AP6" s="464" t="inlineStr">
        <is>
          <t>D35</t>
        </is>
      </c>
      <c r="AQ6" s="464" t="inlineStr">
        <is>
          <t>CO2</t>
        </is>
      </c>
      <c r="AR6" s="464" t="inlineStr">
        <is>
          <t>Positive</t>
        </is>
      </c>
      <c r="AS6" s="464" t="inlineStr">
        <is>
          <t>Renewable energy development; Technological innovation; Pollution control; Energy security</t>
        </is>
      </c>
      <c r="AT6" s="464" t="inlineStr">
        <is>
          <t>Notice on Issuing the Methodology for Voluntary GHG Emission Reduction Projects: Grid-connected Offshore Wind Power (CCER-01-002-V01) and Three Other Methodologies (HB Ban Qi Hou Han [2023] No. 343)</t>
        </is>
      </c>
      <c r="AU6" s="464" t="inlineStr">
        <is>
          <t>https://www.mee.gov.cn/xxgk2018/xxgk/xxgk06/202310/t20231024_1043877.html</t>
        </is>
      </c>
      <c r="AV6" s="464" t="inlineStr">
        <is>
          <t>https://www.cbeex.com.cn/ (Beijing Green Exchange)</t>
        </is>
      </c>
      <c r="AW6" s="464" t="inlineStr"/>
    </row>
    <row r="7">
      <c r="A7" s="464" t="inlineStr">
        <is>
          <t>CHNVTSVCMI01S004</t>
        </is>
      </c>
      <c r="B7" s="464" t="inlineStr">
        <is>
          <t>Subscheme</t>
        </is>
      </c>
      <c r="C7" s="464" t="inlineStr">
        <is>
          <t>Voluntary trading system</t>
        </is>
      </c>
      <c r="D7" s="464" t="inlineStr">
        <is>
          <t>Voluntary carbon market</t>
        </is>
      </c>
      <c r="E7" s="464" t="inlineStr">
        <is>
          <t>AFOLU</t>
        </is>
      </c>
      <c r="F7" s="464" t="inlineStr">
        <is>
          <t>Marine carbon sink (blue carbon)</t>
        </is>
      </c>
      <c r="G7" s="464" t="inlineStr">
        <is>
          <t>红树林营造（CCER-14-002-V01）</t>
        </is>
      </c>
      <c r="H7" s="464" t="inlineStr">
        <is>
          <t>Mangrove Creation (CCER-14-002-V01)</t>
        </is>
      </c>
      <c r="I7" s="464" t="inlineStr">
        <is>
          <t>N/A</t>
        </is>
      </c>
      <c r="J7" s="464"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464" t="inlineStr">
        <is>
          <t>Climate change mitigation</t>
        </is>
      </c>
      <c r="L7" s="464" t="inlineStr">
        <is>
          <t>Direct</t>
        </is>
      </c>
      <c r="M7" s="464" t="inlineStr">
        <is>
          <t>national</t>
        </is>
      </c>
      <c r="N7" s="464" t="inlineStr">
        <is>
          <t>N/A</t>
        </is>
      </c>
      <c r="O7" s="464" t="inlineStr">
        <is>
          <t>24/10/2023</t>
        </is>
      </c>
      <c r="P7" s="464" t="inlineStr">
        <is>
          <t>24/10/2023</t>
        </is>
      </c>
      <c r="Q7" s="464" t="inlineStr">
        <is>
          <t>N/A</t>
        </is>
      </c>
      <c r="R7" s="464" t="inlineStr">
        <is>
          <t>N/A</t>
        </is>
      </c>
      <c r="S7" s="464" t="inlineStr">
        <is>
          <t>N/A (revised draft issued for public consultation in June 2026, not yet formally revised)</t>
        </is>
      </c>
      <c r="T7" s="464">
        <f>IF(P7="","In force",IF(P7="N/A","In force",IF(TODAY()&lt;DATE(VALUE(RIGHT(P7,4)),VALUE(MID(P7,4,2)),VALUE(LEFT(P7,2))),"Scheduled",IF(Q7="","In force",IF(Q7="N/A","In force",IF(TODAY()&lt;DATE(VALUE(RIGHT(Q7,4)),VALUE(MID(Q7,4,2)),VALUE(LEFT(Q7,2))),"In force","Ended"))))))</f>
        <v/>
      </c>
      <c r="U7" s="464" t="inlineStr">
        <is>
          <t>Ministry of Ecology and Environment (Department of Climate Change)</t>
        </is>
      </c>
      <c r="V7" s="464" t="inlineStr">
        <is>
          <t>Mangrove creation projects / Certified Emission Reductions (CCERs)</t>
        </is>
      </c>
      <c r="W7" s="464" t="inlineStr">
        <is>
          <t>New</t>
        </is>
      </c>
      <c r="X7" s="464"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Y7" s="464" t="inlineStr">
        <is>
          <t>N/A</t>
        </is>
      </c>
      <c r="Z7" s="464" t="inlineStr">
        <is>
          <t>N/A</t>
        </is>
      </c>
      <c r="AA7" s="464" t="inlineStr">
        <is>
          <t>Firms</t>
        </is>
      </c>
      <c r="AB7" s="464"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C7" s="464" t="inlineStr">
        <is>
          <t>Registration, permitting and administration; Financing and investment; Abatement or prevention</t>
        </is>
      </c>
      <c r="AD7"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E7" s="464" t="inlineStr">
        <is>
          <t>70.76</t>
        </is>
      </c>
      <c r="AF7" s="464" t="inlineStr">
        <is>
          <t>CNY/tCO2</t>
        </is>
      </c>
      <c r="AG7" s="464" t="inlineStr">
        <is>
          <t>No independent category-specific trading price data is available for mangrove creation CCERs; the value shown is the 2025 national average CCER trading price of CNY 70.76/tCO2 (Source: Beijing Green Exchange).</t>
        </is>
      </c>
      <c r="AH7" s="464"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I7"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J7" s="464" t="inlineStr">
        <is>
          <t>N/A (only one calculation method prescribed)</t>
        </is>
      </c>
      <c r="AK7" s="464"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L7" s="464"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M7" s="464" t="inlineStr">
        <is>
          <t>Project owners providing false materials: fine of CNY 10,000-100,000, revocation of registration and a three-year ban on re-application; validation and verification bodies in breach: fine of CNY 50,000-200,000.</t>
        </is>
      </c>
      <c r="AN7" s="464" t="inlineStr">
        <is>
          <t>N/A (emission reductions depend on project scale and voluntary development conditions)</t>
        </is>
      </c>
      <c r="AO7" s="464" t="inlineStr">
        <is>
          <t>N/A</t>
        </is>
      </c>
      <c r="AP7" s="464" t="inlineStr">
        <is>
          <t>A02</t>
        </is>
      </c>
      <c r="AQ7" s="464" t="inlineStr">
        <is>
          <t>CO2</t>
        </is>
      </c>
      <c r="AR7" s="464" t="inlineStr">
        <is>
          <t>Positive</t>
        </is>
      </c>
      <c r="AS7" s="464" t="inlineStr">
        <is>
          <t>Ecological protection; Biodiversity conservation; Climate change adaptation; Pollution control; Resource conservation</t>
        </is>
      </c>
      <c r="AT7" s="464" t="inlineStr">
        <is>
          <t>Notice on Issuing the Methodology for Voluntary GHG Emission Reduction Projects: Mangrove Creation (CCER-14-002-V01) and Three Other Methodologies (HB Ban Qi Hou Han [2023] No. 343)</t>
        </is>
      </c>
      <c r="AU7" s="464" t="inlineStr">
        <is>
          <t>https://www.mee.gov.cn/xxgk2018/xxgk/xxgk06/202310/t20231024_1043877.html</t>
        </is>
      </c>
      <c r="AV7" s="464" t="inlineStr">
        <is>
          <t>https://www.mee.gov.cn/xxgk2018/xxgk/xxgk06/202606/t20260626_1160307.html (2026 revision draft for public consultation)</t>
        </is>
      </c>
      <c r="AW7" s="464" t="inlineStr"/>
    </row>
    <row r="8">
      <c r="A8" s="464" t="inlineStr">
        <is>
          <t>CHNVTSVCMI01S005</t>
        </is>
      </c>
      <c r="B8" s="464" t="inlineStr">
        <is>
          <t>Subscheme</t>
        </is>
      </c>
      <c r="C8" s="464" t="inlineStr">
        <is>
          <t>Voluntary trading system</t>
        </is>
      </c>
      <c r="D8" s="464" t="inlineStr">
        <is>
          <t>Voluntary carbon market</t>
        </is>
      </c>
      <c r="E8" s="464" t="inlineStr">
        <is>
          <t>Transport</t>
        </is>
      </c>
      <c r="F8" s="464" t="inlineStr">
        <is>
          <t>Road tunnel energy saving</t>
        </is>
      </c>
      <c r="G8" s="464" t="inlineStr">
        <is>
          <t>公路隧道照明系统节能（CCER-07-001-V01）</t>
        </is>
      </c>
      <c r="H8" s="464" t="inlineStr">
        <is>
          <t>Road Tunnel Lighting System Energy Saving (CCER-07-001-V01)</t>
        </is>
      </c>
      <c r="I8" s="464" t="inlineStr">
        <is>
          <t>N/A</t>
        </is>
      </c>
      <c r="J8" s="464"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464" t="inlineStr">
        <is>
          <t>Climate change mitigation</t>
        </is>
      </c>
      <c r="L8" s="464" t="inlineStr">
        <is>
          <t>Direct</t>
        </is>
      </c>
      <c r="M8" s="464" t="inlineStr">
        <is>
          <t>national</t>
        </is>
      </c>
      <c r="N8" s="464" t="inlineStr">
        <is>
          <t>N/A</t>
        </is>
      </c>
      <c r="O8" s="464" t="inlineStr">
        <is>
          <t>03/01/2025</t>
        </is>
      </c>
      <c r="P8" s="464" t="inlineStr">
        <is>
          <t>03/01/2025</t>
        </is>
      </c>
      <c r="Q8" s="464" t="inlineStr">
        <is>
          <t>N/A</t>
        </is>
      </c>
      <c r="R8" s="464" t="inlineStr">
        <is>
          <t>N/A</t>
        </is>
      </c>
      <c r="S8" s="464" t="inlineStr">
        <is>
          <t>N/A</t>
        </is>
      </c>
      <c r="T8" s="464">
        <f>IF(P8="","In force",IF(P8="N/A","In force",IF(TODAY()&lt;DATE(VALUE(RIGHT(P8,4)),VALUE(MID(P8,4,2)),VALUE(LEFT(P8,2))),"Scheduled",IF(Q8="","In force",IF(Q8="N/A","In force",IF(TODAY()&lt;DATE(VALUE(RIGHT(Q8,4)),VALUE(MID(Q8,4,2)),VALUE(LEFT(Q8,2))),"In force","Ended"))))))</f>
        <v/>
      </c>
      <c r="U8" s="464" t="inlineStr">
        <is>
          <t>Ministry of Ecology and Environment (Department of Climate Change)</t>
        </is>
      </c>
      <c r="V8" s="464" t="inlineStr">
        <is>
          <t>Road tunnel lighting energy saving projects / Certified Emission Reductions (CCERs)</t>
        </is>
      </c>
      <c r="W8" s="464" t="inlineStr">
        <is>
          <t>New</t>
        </is>
      </c>
      <c r="X8" s="464"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Y8" s="464" t="inlineStr">
        <is>
          <t>N/A</t>
        </is>
      </c>
      <c r="Z8" s="464" t="inlineStr">
        <is>
          <t>N/A</t>
        </is>
      </c>
      <c r="AA8" s="464" t="inlineStr">
        <is>
          <t>Firms</t>
        </is>
      </c>
      <c r="AB8" s="464" t="inlineStr">
        <is>
          <t>Legal persons or other organisations legally established within China that operate and manage existing road tunnels, and may voluntarily develop lighting energy saving retrofit projects in accordance with the methodology and apply for CCER registration.</t>
        </is>
      </c>
      <c r="AC8" s="464" t="inlineStr">
        <is>
          <t>Registration, permitting and administration; Financing and investment; Abatement or prevention</t>
        </is>
      </c>
      <c r="AD8" s="464"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E8" s="464" t="inlineStr">
        <is>
          <t>70.76</t>
        </is>
      </c>
      <c r="AF8" s="464" t="inlineStr">
        <is>
          <t>CNY/tCO2</t>
        </is>
      </c>
      <c r="AG8" s="464" t="inlineStr">
        <is>
          <t>No independent category-specific trading price data is available for highway tunnel lighting energy-saving CCERs; the value shown is the 2025 national average CCER trading price of CNY 70.76/tCO2 (Source: Beijing Green Exchange).</t>
        </is>
      </c>
      <c r="AH8" s="464"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I8" s="464"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J8" s="464" t="inlineStr">
        <is>
          <t>N/A (only one calculation method prescribed)</t>
        </is>
      </c>
      <c r="AK8" s="464" t="inlineStr">
        <is>
          <t>Project owners earn carbon revenue through the issuance and sale of CCERs; the lighting energy saving itself reduces tunnel operating electricity costs, delivering dual economic benefits from energy saving and carbon revenue.</t>
        </is>
      </c>
      <c r="AL8" s="464"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M8" s="464" t="inlineStr">
        <is>
          <t>Project owners providing false materials: fine of CNY 10,000-100,000, revocation of registration and a three-year ban on re-application; validation and verification bodies in breach: fine of CNY 50,000-200,000.</t>
        </is>
      </c>
      <c r="AN8" s="464" t="inlineStr">
        <is>
          <t>N/A (emission reductions depend on project scale and voluntary development conditions)</t>
        </is>
      </c>
      <c r="AO8" s="464" t="inlineStr">
        <is>
          <t>N/A</t>
        </is>
      </c>
      <c r="AP8" s="464" t="inlineStr">
        <is>
          <t>D35</t>
        </is>
      </c>
      <c r="AQ8" s="464" t="inlineStr">
        <is>
          <t>CO2</t>
        </is>
      </c>
      <c r="AR8" s="464" t="inlineStr">
        <is>
          <t>Positive</t>
        </is>
      </c>
      <c r="AS8" s="464" t="inlineStr">
        <is>
          <t>Energy conservation; Technological innovation; Pollution control</t>
        </is>
      </c>
      <c r="AT8" s="464" t="inlineStr">
        <is>
          <t>Notice on Issuing the Methodology for Voluntary GHG Emission Reduction Projects: Road Tunnel Lighting System Energy Saving (CCER-07-001-V01) (HB Ban Qi Hou Han [2024] No. 486)</t>
        </is>
      </c>
      <c r="AU8" s="464" t="inlineStr">
        <is>
          <t>https://www.mee.gov.cn/xxgk2018/xxgk/xxgk06/202501/t20250103_1099966.html</t>
        </is>
      </c>
      <c r="AV8" s="464" t="inlineStr">
        <is>
          <t>https://www.cets.org.cn/ (National Carbon Market Information Network)</t>
        </is>
      </c>
      <c r="AW8" s="464" t="inlineStr"/>
    </row>
    <row r="9">
      <c r="A9" s="464" t="inlineStr">
        <is>
          <t>CHNVTSVCMI01S006</t>
        </is>
      </c>
      <c r="B9" s="464" t="inlineStr">
        <is>
          <t>Subscheme</t>
        </is>
      </c>
      <c r="C9" s="464" t="inlineStr">
        <is>
          <t>Voluntary trading system</t>
        </is>
      </c>
      <c r="D9" s="464" t="inlineStr">
        <is>
          <t>Voluntary carbon market</t>
        </is>
      </c>
      <c r="E9" s="464" t="inlineStr">
        <is>
          <t>Industry</t>
        </is>
      </c>
      <c r="F9" s="464" t="inlineStr">
        <is>
          <t>Coal mine gas utilisation</t>
        </is>
      </c>
      <c r="G9" s="464" t="inlineStr">
        <is>
          <t>煤矿低浓度瓦斯和风排瓦斯利用（CCER-10-001-V01）</t>
        </is>
      </c>
      <c r="H9" s="464" t="inlineStr">
        <is>
          <t>Utilization of Low-Concentration CMM and VAM (CCER-10-001-V01)</t>
        </is>
      </c>
      <c r="I9" s="464" t="inlineStr">
        <is>
          <t>N/A</t>
        </is>
      </c>
      <c r="J9" s="464"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464" t="inlineStr">
        <is>
          <t>Climate change mitigation</t>
        </is>
      </c>
      <c r="L9" s="464" t="inlineStr">
        <is>
          <t>Direct</t>
        </is>
      </c>
      <c r="M9" s="464" t="inlineStr">
        <is>
          <t>national</t>
        </is>
      </c>
      <c r="N9" s="464" t="inlineStr">
        <is>
          <t>N/A</t>
        </is>
      </c>
      <c r="O9" s="464" t="inlineStr">
        <is>
          <t>03/01/2025</t>
        </is>
      </c>
      <c r="P9" s="464" t="inlineStr">
        <is>
          <t>03/01/2025</t>
        </is>
      </c>
      <c r="Q9" s="464" t="inlineStr">
        <is>
          <t>N/A</t>
        </is>
      </c>
      <c r="R9" s="464" t="inlineStr">
        <is>
          <t>N/A</t>
        </is>
      </c>
      <c r="S9" s="464" t="inlineStr">
        <is>
          <t>N/A</t>
        </is>
      </c>
      <c r="T9" s="464">
        <f>IF(P9="","In force",IF(P9="N/A","In force",IF(TODAY()&lt;DATE(VALUE(RIGHT(P9,4)),VALUE(MID(P9,4,2)),VALUE(LEFT(P9,2))),"Scheduled",IF(Q9="","In force",IF(Q9="N/A","In force",IF(TODAY()&lt;DATE(VALUE(RIGHT(Q9,4)),VALUE(MID(Q9,4,2)),VALUE(LEFT(Q9,2))),"In force","Ended"))))))</f>
        <v/>
      </c>
      <c r="U9" s="464" t="inlineStr">
        <is>
          <t>Ministry of Ecology and Environment (Department of Climate Change)</t>
        </is>
      </c>
      <c r="V9" s="464" t="inlineStr">
        <is>
          <t>Low-concentration CMM and VAM utilisation projects / Certified Emission Reductions (CCERs)</t>
        </is>
      </c>
      <c r="W9" s="464" t="inlineStr">
        <is>
          <t>New</t>
        </is>
      </c>
      <c r="X9" s="464"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Y9" s="464" t="inlineStr">
        <is>
          <t>N/A</t>
        </is>
      </c>
      <c r="Z9" s="464" t="inlineStr">
        <is>
          <t>N/A</t>
        </is>
      </c>
      <c r="AA9" s="464" t="inlineStr">
        <is>
          <t>Firms</t>
        </is>
      </c>
      <c r="AB9" s="464"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C9" s="464" t="inlineStr">
        <is>
          <t>Registration, permitting and administration; Financing and investment; Abatement or prevention</t>
        </is>
      </c>
      <c r="AD9" s="464"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E9" s="464" t="inlineStr">
        <is>
          <t>70.76</t>
        </is>
      </c>
      <c r="AF9" s="464" t="inlineStr">
        <is>
          <t>CNY/tCO2</t>
        </is>
      </c>
      <c r="AG9" s="464"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H9" s="464"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I9" s="464"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J9" s="464" t="inlineStr">
        <is>
          <t>N/A (only one calculation method prescribed)</t>
        </is>
      </c>
      <c r="AK9" s="464"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L9" s="464"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M9" s="464" t="inlineStr">
        <is>
          <t>Project owners providing false materials: fine of CNY 10,000-100,000, revocation of registration and a three-year ban on re-application; validation and verification bodies in breach: fine of CNY 50,000-200,000.</t>
        </is>
      </c>
      <c r="AN9" s="464" t="inlineStr">
        <is>
          <t>N/A (emission reductions depend on project scale and voluntary development conditions)</t>
        </is>
      </c>
      <c r="AO9" s="464" t="inlineStr">
        <is>
          <t>N/A</t>
        </is>
      </c>
      <c r="AP9" s="464" t="inlineStr">
        <is>
          <t>B05</t>
        </is>
      </c>
      <c r="AQ9" s="464" t="inlineStr">
        <is>
          <t>CH4</t>
        </is>
      </c>
      <c r="AR9" s="464" t="inlineStr">
        <is>
          <t>Positive</t>
        </is>
      </c>
      <c r="AS9" s="464" t="inlineStr">
        <is>
          <t>Energy security; Resource conservation; Technological innovation; Pollution control</t>
        </is>
      </c>
      <c r="AT9" s="464" t="inlineStr">
        <is>
          <t>Notice on Issuing the Methodology for Voluntary GHG Emission Reduction Projects: Utilisation of Coal Mine Gas with Methane Concentration Below 8% and Ventilation Air Methane (CCER-10-001-V01) (HB Ban Qi Hou Han [2025] No. 1)</t>
        </is>
      </c>
      <c r="AU9" s="464" t="inlineStr">
        <is>
          <t>https://www.mee.gov.cn/xxgk2018/xxgk/xxgk06/202501/t20250103_1099965.html</t>
        </is>
      </c>
      <c r="AV9" s="464" t="inlineStr">
        <is>
          <t>https://www.cets.org.cn/ (National Carbon Market Information Network)</t>
        </is>
      </c>
      <c r="AW9" s="464" t="inlineStr"/>
    </row>
    <row r="10">
      <c r="A10" s="464" t="inlineStr">
        <is>
          <t>CHNVTSVCMI01S007</t>
        </is>
      </c>
      <c r="B10" s="464" t="inlineStr">
        <is>
          <t>Subscheme</t>
        </is>
      </c>
      <c r="C10" s="464" t="inlineStr">
        <is>
          <t>Voluntary trading system</t>
        </is>
      </c>
      <c r="D10" s="464" t="inlineStr">
        <is>
          <t>Voluntary carbon market</t>
        </is>
      </c>
      <c r="E10" s="464" t="inlineStr">
        <is>
          <t>Energy</t>
        </is>
      </c>
      <c r="F10" s="464" t="inlineStr">
        <is>
          <t>Oil and gas associated gas recovery</t>
        </is>
      </c>
      <c r="G10" s="464" t="inlineStr">
        <is>
          <t>海上油田伴生气回收利用（CCER-10-002-V01）</t>
        </is>
      </c>
      <c r="H10" s="464" t="inlineStr">
        <is>
          <t>Offshore Oilfield Associated Gas Recovery and Utilisation (CCER-10-002-V01)</t>
        </is>
      </c>
      <c r="I10" s="464" t="inlineStr">
        <is>
          <t>N/A</t>
        </is>
      </c>
      <c r="J10" s="464"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464" t="inlineStr">
        <is>
          <t>Climate change mitigation</t>
        </is>
      </c>
      <c r="L10" s="464" t="inlineStr">
        <is>
          <t>Direct</t>
        </is>
      </c>
      <c r="M10" s="464" t="inlineStr">
        <is>
          <t>national</t>
        </is>
      </c>
      <c r="N10" s="464" t="inlineStr">
        <is>
          <t>N/A</t>
        </is>
      </c>
      <c r="O10" s="464" t="inlineStr">
        <is>
          <t>21/11/2025</t>
        </is>
      </c>
      <c r="P10" s="464" t="inlineStr">
        <is>
          <t>21/11/2025</t>
        </is>
      </c>
      <c r="Q10" s="464" t="inlineStr">
        <is>
          <t>N/A</t>
        </is>
      </c>
      <c r="R10" s="464" t="inlineStr">
        <is>
          <t>N/A</t>
        </is>
      </c>
      <c r="S10" s="464" t="inlineStr">
        <is>
          <t>N/A</t>
        </is>
      </c>
      <c r="T10" s="464">
        <f>IF(P10="","In force",IF(P10="N/A","In force",IF(TODAY()&lt;DATE(VALUE(RIGHT(P10,4)),VALUE(MID(P10,4,2)),VALUE(LEFT(P10,2))),"Scheduled",IF(Q10="","In force",IF(Q10="N/A","In force",IF(TODAY()&lt;DATE(VALUE(RIGHT(Q10,4)),VALUE(MID(Q10,4,2)),VALUE(LEFT(Q10,2))),"In force","Ended"))))))</f>
        <v/>
      </c>
      <c r="U10" s="464" t="inlineStr">
        <is>
          <t>Ministry of Ecology and Environment (Department of Climate Change); National Energy Administration</t>
        </is>
      </c>
      <c r="V10" s="464" t="inlineStr">
        <is>
          <t>Offshore oilfield associated gas recovery and utilisation facilities / Certified Emission Reductions (CCERs)</t>
        </is>
      </c>
      <c r="W10" s="464" t="inlineStr">
        <is>
          <t>New</t>
        </is>
      </c>
      <c r="X10" s="464"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Y10" s="464" t="inlineStr">
        <is>
          <t>N/A</t>
        </is>
      </c>
      <c r="Z10" s="464" t="inlineStr">
        <is>
          <t>N/A</t>
        </is>
      </c>
      <c r="AA10" s="464" t="inlineStr">
        <is>
          <t>Firms</t>
        </is>
      </c>
      <c r="AB10" s="464"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C10" s="464" t="inlineStr">
        <is>
          <t>Registration, permitting and administration; Financing and investment; Abatement or prevention</t>
        </is>
      </c>
      <c r="AD10" s="464"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E10" s="464" t="inlineStr">
        <is>
          <t>70.76</t>
        </is>
      </c>
      <c r="AF10" s="464" t="inlineStr">
        <is>
          <t>CNY/tCO2</t>
        </is>
      </c>
      <c r="AG10" s="464" t="inlineStr">
        <is>
          <t>No independent category-specific trading price data is available for offshore oilfield associated gas recovery and utilisation CCERs; the value shown is the 2025 national average CCER trading price of CNY 70.76/tCO2 (Source: Beijing Green Exchange).</t>
        </is>
      </c>
      <c r="AH10" s="464"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I10" s="464"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J10" s="464" t="inlineStr">
        <is>
          <t>N/A (only one calculation method prescribed)</t>
        </is>
      </c>
      <c r="AK10" s="464" t="inlineStr">
        <is>
          <t>Project owners earn carbon revenue through the issuance and sale of CCERs; associated gas recovery products (natural gas, LNG, CNG, LPG, etc.) may be sold externally, generating additional revenue.</t>
        </is>
      </c>
      <c r="AL10" s="464"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M10" s="464" t="inlineStr">
        <is>
          <t>Project owners providing false materials: fine of CNY 10,000-100,000, revocation of registration and a three-year ban on re-application; validation and verification bodies in breach: fine of CNY 50,000-200,000.</t>
        </is>
      </c>
      <c r="AN10" s="464" t="inlineStr">
        <is>
          <t>N/A (emission reductions depend on project scale and voluntary development conditions)</t>
        </is>
      </c>
      <c r="AO10" s="464" t="inlineStr">
        <is>
          <t>N/A</t>
        </is>
      </c>
      <c r="AP10" s="464" t="inlineStr">
        <is>
          <t>B06</t>
        </is>
      </c>
      <c r="AQ10" s="464" t="inlineStr">
        <is>
          <t>CO2; CH4</t>
        </is>
      </c>
      <c r="AR10" s="464" t="inlineStr">
        <is>
          <t>Positive</t>
        </is>
      </c>
      <c r="AS10" s="464" t="inlineStr">
        <is>
          <t>Energy security; Resource conservation; Pollution control</t>
        </is>
      </c>
      <c r="AT10" s="464" t="inlineStr">
        <is>
          <t>Notice on Issuing Three Methodologies Including the Methodology for Voluntary GHG Emission Reduction Projects: Offshore Oilfield Associated Gas Recovery and Utilisation (CCER-10-002-V01) (HB Ban Qi Hou Han [2025] No. 428)</t>
        </is>
      </c>
      <c r="AU10" s="464" t="inlineStr">
        <is>
          <t>https://www.mee.gov.cn/xxgk2018/xxgk/xxgk06/202511/t20251121_1134574.html</t>
        </is>
      </c>
      <c r="AV10" s="464" t="inlineStr">
        <is>
          <t>https://www.cets.org.cn/ (National Carbon Market Information Network)</t>
        </is>
      </c>
      <c r="AW10" s="464" t="inlineStr"/>
    </row>
    <row r="11">
      <c r="A11" s="464" t="inlineStr">
        <is>
          <t>CHNVTSVCMI01S008</t>
        </is>
      </c>
      <c r="B11" s="464" t="inlineStr">
        <is>
          <t>Subscheme</t>
        </is>
      </c>
      <c r="C11" s="464" t="inlineStr">
        <is>
          <t>Voluntary trading system</t>
        </is>
      </c>
      <c r="D11" s="464" t="inlineStr">
        <is>
          <t>Voluntary carbon market</t>
        </is>
      </c>
      <c r="E11" s="464" t="inlineStr">
        <is>
          <t>Energy</t>
        </is>
      </c>
      <c r="F11" s="464" t="inlineStr">
        <is>
          <t>Oil and gas associated gas recovery</t>
        </is>
      </c>
      <c r="G11" s="464" t="inlineStr">
        <is>
          <t>陆上气田试气放喷气回收利用（CCER-10-003-V01）</t>
        </is>
      </c>
      <c r="H11" s="464" t="inlineStr">
        <is>
          <t>Onshore Gas Field Well Test and Blowdown Gas Recovery and Utilisation (CCER-10-003-V01)</t>
        </is>
      </c>
      <c r="I11" s="464" t="inlineStr">
        <is>
          <t>N/A</t>
        </is>
      </c>
      <c r="J11" s="464"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464" t="inlineStr">
        <is>
          <t>Climate change mitigation</t>
        </is>
      </c>
      <c r="L11" s="464" t="inlineStr">
        <is>
          <t>Direct</t>
        </is>
      </c>
      <c r="M11" s="464" t="inlineStr">
        <is>
          <t>national</t>
        </is>
      </c>
      <c r="N11" s="464" t="inlineStr">
        <is>
          <t>N/A</t>
        </is>
      </c>
      <c r="O11" s="464" t="inlineStr">
        <is>
          <t>21/11/2025</t>
        </is>
      </c>
      <c r="P11" s="464" t="inlineStr">
        <is>
          <t>21/11/2025</t>
        </is>
      </c>
      <c r="Q11" s="464" t="inlineStr">
        <is>
          <t>N/A</t>
        </is>
      </c>
      <c r="R11" s="464" t="inlineStr">
        <is>
          <t>N/A</t>
        </is>
      </c>
      <c r="S11" s="464" t="inlineStr">
        <is>
          <t>N/A</t>
        </is>
      </c>
      <c r="T11" s="464">
        <f>IF(P11="","In force",IF(P11="N/A","In force",IF(TODAY()&lt;DATE(VALUE(RIGHT(P11,4)),VALUE(MID(P11,4,2)),VALUE(LEFT(P11,2))),"Scheduled",IF(Q11="","In force",IF(Q11="N/A","In force",IF(TODAY()&lt;DATE(VALUE(RIGHT(Q11,4)),VALUE(MID(Q11,4,2)),VALUE(LEFT(Q11,2))),"In force","Ended"))))))</f>
        <v/>
      </c>
      <c r="U11" s="464" t="inlineStr">
        <is>
          <t>Ministry of Ecology and Environment (Department of Climate Change); National Energy Administration</t>
        </is>
      </c>
      <c r="V11" s="464" t="inlineStr">
        <is>
          <t>Onshore gas field well test and blowdown gas recovery and utilisation facilities / Certified Emission Reductions (CCERs)</t>
        </is>
      </c>
      <c r="W11" s="464" t="inlineStr">
        <is>
          <t>New</t>
        </is>
      </c>
      <c r="X11" s="464"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Y11" s="464" t="inlineStr">
        <is>
          <t>N/A</t>
        </is>
      </c>
      <c r="Z11" s="464" t="inlineStr">
        <is>
          <t>N/A</t>
        </is>
      </c>
      <c r="AA11" s="464" t="inlineStr">
        <is>
          <t>Firms</t>
        </is>
      </c>
      <c r="AB11" s="464"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C11" s="464" t="inlineStr">
        <is>
          <t>Registration, permitting and administration; Financing and investment; Abatement or prevention</t>
        </is>
      </c>
      <c r="AD11" s="464"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E11" s="464" t="inlineStr">
        <is>
          <t>70.76</t>
        </is>
      </c>
      <c r="AF11" s="464" t="inlineStr">
        <is>
          <t>CNY/tCO2</t>
        </is>
      </c>
      <c r="AG11" s="464"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H11" s="464"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I11" s="464"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J11" s="464" t="inlineStr">
        <is>
          <t>N/A (only one calculation method prescribed)</t>
        </is>
      </c>
      <c r="AK11" s="464" t="inlineStr">
        <is>
          <t>Project owners earn carbon revenue through the issuance and sale of CCERs; well test and blowdown gas recovery products (natural gas, CNG, LNG, etc.) may be sold externally, generating additional revenue.</t>
        </is>
      </c>
      <c r="AL11" s="464"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M11" s="464" t="inlineStr">
        <is>
          <t>Project owners providing false materials: fine of CNY 10,000-100,000, revocation of registration and a three-year ban on re-application; validation and verification bodies in breach: fine of CNY 50,000-200,000.</t>
        </is>
      </c>
      <c r="AN11" s="464" t="inlineStr">
        <is>
          <t>N/A (emission reductions depend on project scale and voluntary development conditions)</t>
        </is>
      </c>
      <c r="AO11" s="464" t="inlineStr">
        <is>
          <t>N/A</t>
        </is>
      </c>
      <c r="AP11" s="464" t="inlineStr">
        <is>
          <t>B06</t>
        </is>
      </c>
      <c r="AQ11" s="464" t="inlineStr">
        <is>
          <t>CO2; CH4</t>
        </is>
      </c>
      <c r="AR11" s="464" t="inlineStr">
        <is>
          <t>Positive</t>
        </is>
      </c>
      <c r="AS11" s="464" t="inlineStr">
        <is>
          <t>Energy security; Resource conservation; Pollution control</t>
        </is>
      </c>
      <c r="AT11" s="464" t="inlineStr">
        <is>
          <t>Notice on Issuing Three Methodologies Including the Methodology for Voluntary GHG Emission Reduction Projects: Offshore Oilfield Associated Gas Recovery and Utilisation (CCER-10-002-V01) (HB Ban Qi Hou Han [2025] No. 428)</t>
        </is>
      </c>
      <c r="AU11" s="464" t="inlineStr">
        <is>
          <t>https://www.mee.gov.cn/xxgk2018/xxgk/xxgk06/202511/t20251121_1134574.html</t>
        </is>
      </c>
      <c r="AV11" s="464" t="inlineStr">
        <is>
          <t>https://www.cets.org.cn/ (National Carbon Market Information Network)</t>
        </is>
      </c>
      <c r="AW11" s="464" t="inlineStr"/>
    </row>
    <row r="12">
      <c r="A12" s="464" t="inlineStr">
        <is>
          <t>CHNVTSVCMI01S009</t>
        </is>
      </c>
      <c r="B12" s="464" t="inlineStr">
        <is>
          <t>Subscheme</t>
        </is>
      </c>
      <c r="C12" s="464" t="inlineStr">
        <is>
          <t>Voluntary trading system</t>
        </is>
      </c>
      <c r="D12" s="464" t="inlineStr">
        <is>
          <t>Voluntary carbon market</t>
        </is>
      </c>
      <c r="E12" s="464" t="inlineStr">
        <is>
          <t>Energy</t>
        </is>
      </c>
      <c r="F12" s="464" t="inlineStr">
        <is>
          <t>Oil and gas associated gas recovery</t>
        </is>
      </c>
      <c r="G12" s="464" t="inlineStr">
        <is>
          <t>陆上油田低气量伴生气回收利用（CCER-10-004-V01）</t>
        </is>
      </c>
      <c r="H12" s="464" t="inlineStr">
        <is>
          <t>Onshore Oilfield Low-Volume Associated Gas Recovery and Utilisation (CCER-10-004-V01)</t>
        </is>
      </c>
      <c r="I12" s="464" t="inlineStr">
        <is>
          <t>N/A</t>
        </is>
      </c>
      <c r="J12" s="464"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464" t="inlineStr">
        <is>
          <t>Climate change mitigation</t>
        </is>
      </c>
      <c r="L12" s="464" t="inlineStr">
        <is>
          <t>Direct</t>
        </is>
      </c>
      <c r="M12" s="464" t="inlineStr">
        <is>
          <t>national</t>
        </is>
      </c>
      <c r="N12" s="464" t="inlineStr">
        <is>
          <t>N/A</t>
        </is>
      </c>
      <c r="O12" s="464" t="inlineStr">
        <is>
          <t>21/11/2025</t>
        </is>
      </c>
      <c r="P12" s="464" t="inlineStr">
        <is>
          <t>21/11/2025</t>
        </is>
      </c>
      <c r="Q12" s="464" t="inlineStr">
        <is>
          <t>N/A</t>
        </is>
      </c>
      <c r="R12" s="464" t="inlineStr">
        <is>
          <t>N/A</t>
        </is>
      </c>
      <c r="S12" s="464" t="inlineStr">
        <is>
          <t>N/A</t>
        </is>
      </c>
      <c r="T12" s="464">
        <f>IF(P12="","In force",IF(P12="N/A","In force",IF(TODAY()&lt;DATE(VALUE(RIGHT(P12,4)),VALUE(MID(P12,4,2)),VALUE(LEFT(P12,2))),"Scheduled",IF(Q12="","In force",IF(Q12="N/A","In force",IF(TODAY()&lt;DATE(VALUE(RIGHT(Q12,4)),VALUE(MID(Q12,4,2)),VALUE(LEFT(Q12,2))),"In force","Ended"))))))</f>
        <v/>
      </c>
      <c r="U12" s="464" t="inlineStr">
        <is>
          <t>Ministry of Ecology and Environment (Department of Climate Change); National Energy Administration</t>
        </is>
      </c>
      <c r="V12" s="464" t="inlineStr">
        <is>
          <t>Onshore oilfield low-volume associated gas recovery and utilisation facilities / Certified Emission Reductions (CCERs)</t>
        </is>
      </c>
      <c r="W12" s="464" t="inlineStr">
        <is>
          <t>New</t>
        </is>
      </c>
      <c r="X12" s="464"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Y12" s="464" t="inlineStr">
        <is>
          <t>N/A</t>
        </is>
      </c>
      <c r="Z12" s="464" t="inlineStr">
        <is>
          <t>N/A</t>
        </is>
      </c>
      <c r="AA12" s="464" t="inlineStr">
        <is>
          <t>Firms</t>
        </is>
      </c>
      <c r="AB12" s="464"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C12" s="464" t="inlineStr">
        <is>
          <t>Registration, permitting and administration; Financing and investment; Abatement or prevention</t>
        </is>
      </c>
      <c r="AD12" s="464"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E12" s="464" t="inlineStr">
        <is>
          <t>70.76</t>
        </is>
      </c>
      <c r="AF12" s="464" t="inlineStr">
        <is>
          <t>CNY/tCO2</t>
        </is>
      </c>
      <c r="AG12" s="464" t="inlineStr">
        <is>
          <t>No independent category-specific trading price data is available for onshore oilfield low-volume associated gas recovery and utilisation CCERs; the value shown is the 2025 national average CCER trading price of CNY 70.76/tCO2 (Source: Beijing Green Exchange).</t>
        </is>
      </c>
      <c r="AH12" s="464"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I12" s="464"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J12" s="464" t="inlineStr">
        <is>
          <t>N/A (only one calculation method prescribed)</t>
        </is>
      </c>
      <c r="AK12" s="464"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L12" s="464"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M12" s="464" t="inlineStr">
        <is>
          <t>Project owners providing false materials: fine of CNY 10,000-100,000, revocation of registration and a three-year ban on re-application; validation and verification bodies in breach: fine of CNY 50,000-200,000.</t>
        </is>
      </c>
      <c r="AN12" s="464" t="inlineStr">
        <is>
          <t>N/A (emission reductions depend on project scale and voluntary development conditions; existing projects currently generate approximately 300,000 tCO2e/year)</t>
        </is>
      </c>
      <c r="AO12" s="464" t="inlineStr">
        <is>
          <t>N/A</t>
        </is>
      </c>
      <c r="AP12" s="464" t="inlineStr">
        <is>
          <t>B06</t>
        </is>
      </c>
      <c r="AQ12" s="464" t="inlineStr">
        <is>
          <t>CO2; CH4</t>
        </is>
      </c>
      <c r="AR12" s="464" t="inlineStr">
        <is>
          <t>Positive</t>
        </is>
      </c>
      <c r="AS12" s="464" t="inlineStr">
        <is>
          <t>Energy security; Resource conservation; Pollution control</t>
        </is>
      </c>
      <c r="AT12" s="464" t="inlineStr">
        <is>
          <t>Notice on Issuing Three Methodologies Including the Methodology for Voluntary GHG Emission Reduction Projects: Offshore Oilfield Associated Gas Recovery and Utilisation (CCER-10-002-V01) (HB Ban Qi Hou Han [2025] No. 428)</t>
        </is>
      </c>
      <c r="AU12" s="464" t="inlineStr">
        <is>
          <t>https://www.mee.gov.cn/xxgk2018/xxgk/xxgk06/202511/t20251121_1134574.html</t>
        </is>
      </c>
      <c r="AV12" s="464" t="inlineStr">
        <is>
          <t>https://www.cets.org.cn/ (National Carbon Market Information Network)</t>
        </is>
      </c>
      <c r="AW12" s="464" t="inlineStr"/>
    </row>
    <row r="13">
      <c r="A13" s="464" t="inlineStr">
        <is>
          <t>CHNVTSVCMI01S010</t>
        </is>
      </c>
      <c r="B13" s="464" t="inlineStr">
        <is>
          <t>Subscheme</t>
        </is>
      </c>
      <c r="C13" s="464" t="inlineStr">
        <is>
          <t>Voluntary trading system</t>
        </is>
      </c>
      <c r="D13" s="464" t="inlineStr">
        <is>
          <t>Voluntary carbon market</t>
        </is>
      </c>
      <c r="E13" s="464" t="inlineStr">
        <is>
          <t>AFOLU</t>
        </is>
      </c>
      <c r="F13" s="464" t="inlineStr">
        <is>
          <t>Marine carbon sink (blue carbon)</t>
        </is>
      </c>
      <c r="G13" s="464" t="inlineStr">
        <is>
          <t>滨海盐沼植被修复（CCER-14-003-V01）</t>
        </is>
      </c>
      <c r="H13" s="464" t="inlineStr">
        <is>
          <t>Coastal Salt Marsh Vegetation Restoration (CCER-14-003-V01)</t>
        </is>
      </c>
      <c r="I13" s="464" t="inlineStr">
        <is>
          <t>N/A</t>
        </is>
      </c>
      <c r="J13" s="464"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464" t="inlineStr">
        <is>
          <t>Climate change mitigation</t>
        </is>
      </c>
      <c r="L13" s="464" t="inlineStr">
        <is>
          <t>Direct</t>
        </is>
      </c>
      <c r="M13" s="464" t="inlineStr">
        <is>
          <t>national</t>
        </is>
      </c>
      <c r="N13" s="464" t="inlineStr">
        <is>
          <t>N/A</t>
        </is>
      </c>
      <c r="O13" s="464" t="inlineStr">
        <is>
          <t>28/11/2025</t>
        </is>
      </c>
      <c r="P13" s="464" t="inlineStr">
        <is>
          <t>28/11/2025</t>
        </is>
      </c>
      <c r="Q13" s="464" t="inlineStr">
        <is>
          <t>N/A</t>
        </is>
      </c>
      <c r="R13" s="464" t="inlineStr">
        <is>
          <t>N/A</t>
        </is>
      </c>
      <c r="S13" s="464" t="inlineStr">
        <is>
          <t>N/A</t>
        </is>
      </c>
      <c r="T13" s="464">
        <f>IF(P13="","In force",IF(P13="N/A","In force",IF(TODAY()&lt;DATE(VALUE(RIGHT(P13,4)),VALUE(MID(P13,4,2)),VALUE(LEFT(P13,2))),"Scheduled",IF(Q13="","In force",IF(Q13="N/A","In force",IF(TODAY()&lt;DATE(VALUE(RIGHT(Q13,4)),VALUE(MID(Q13,4,2)),VALUE(LEFT(Q13,2))),"In force","Ended"))))))</f>
        <v/>
      </c>
      <c r="U13" s="464" t="inlineStr">
        <is>
          <t>Ministry of Ecology and Environment (Department of Climate Change); Ministry of Natural Resources</t>
        </is>
      </c>
      <c r="V13" s="464" t="inlineStr">
        <is>
          <t>Coastal salt marsh vegetation restoration projects / Certified Emission Reductions (CCERs)</t>
        </is>
      </c>
      <c r="W13" s="464" t="inlineStr">
        <is>
          <t>New</t>
        </is>
      </c>
      <c r="X13" s="464"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Y13" s="464" t="inlineStr">
        <is>
          <t>N/A</t>
        </is>
      </c>
      <c r="Z13" s="464" t="inlineStr">
        <is>
          <t>N/A</t>
        </is>
      </c>
      <c r="AA13" s="464" t="inlineStr">
        <is>
          <t>Firms</t>
        </is>
      </c>
      <c r="AB13" s="464"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C13" s="464" t="inlineStr">
        <is>
          <t>Registration, permitting and administration; Financing and investment; Abatement or prevention</t>
        </is>
      </c>
      <c r="AD13" s="464"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E13" s="464" t="inlineStr">
        <is>
          <t>70.76</t>
        </is>
      </c>
      <c r="AF13" s="464" t="inlineStr">
        <is>
          <t>CNY/tCO2</t>
        </is>
      </c>
      <c r="AG13" s="464" t="inlineStr">
        <is>
          <t>No independent category-specific trading price data is available for coastal salt marsh vegetation restoration CCERs; the value shown is the 2025 national average CCER trading price of CNY 70.76/tCO2 (Source: Beijing Green Exchange).</t>
        </is>
      </c>
      <c r="AH13" s="464"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I13" s="464"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J13" s="464" t="inlineStr">
        <is>
          <t>N/A (only one calculation method prescribed)</t>
        </is>
      </c>
      <c r="AK13" s="464" t="inlineStr">
        <is>
          <t>Project owners earn carbon revenue through the issuance and sale of CCERs; coastal salt marsh vegetation restoration also delivers multiple ecological benefits including coastal protection, biodiversity conservation and water purification.</t>
        </is>
      </c>
      <c r="AL13"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M13" s="464" t="inlineStr">
        <is>
          <t>Project owners providing false materials: fine of CNY 10,000-100,000, revocation of registration and a three-year ban on re-application; validation and verification bodies in breach: fine of CNY 50,000-200,000.</t>
        </is>
      </c>
      <c r="AN13" s="464" t="inlineStr">
        <is>
          <t>N/A (emission reductions depend on project scale and voluntary development conditions)</t>
        </is>
      </c>
      <c r="AO13" s="464" t="inlineStr">
        <is>
          <t>N/A</t>
        </is>
      </c>
      <c r="AP13" s="464" t="inlineStr">
        <is>
          <t>A02</t>
        </is>
      </c>
      <c r="AQ13" s="464" t="inlineStr">
        <is>
          <t>CO2</t>
        </is>
      </c>
      <c r="AR13" s="464" t="inlineStr">
        <is>
          <t>Positive</t>
        </is>
      </c>
      <c r="AS13" s="464" t="inlineStr">
        <is>
          <t>Ecological protection; Biodiversity conservation; Pollution control; Industrial development; Climate change adaptation</t>
        </is>
      </c>
      <c r="AT13" s="464" t="inlineStr">
        <is>
          <t>Notice on Issuing Two Methodologies Including the Methodology for Voluntary GHG Emission Reduction Projects: Coastal Salt Marsh Vegetation Restoration (CCER-14-003-V01) (HB Ban Qi Hou Han [2025] No. 451)</t>
        </is>
      </c>
      <c r="AU13" s="464" t="inlineStr">
        <is>
          <t>https://www.mee.gov.cn/xxgk2018/xxgk/xxgk06/202512/t20251203_1137023.html</t>
        </is>
      </c>
      <c r="AV13" s="464" t="inlineStr">
        <is>
          <t>https://www.cets.org.cn/ (National Carbon Market Information Network)</t>
        </is>
      </c>
      <c r="AW13" s="464" t="inlineStr"/>
    </row>
    <row r="14">
      <c r="A14" s="464" t="inlineStr">
        <is>
          <t>CHNVTSVCMI01S011</t>
        </is>
      </c>
      <c r="B14" s="464" t="inlineStr">
        <is>
          <t>Subscheme</t>
        </is>
      </c>
      <c r="C14" s="464" t="inlineStr">
        <is>
          <t>Voluntary trading system</t>
        </is>
      </c>
      <c r="D14" s="464" t="inlineStr">
        <is>
          <t>Voluntary carbon market</t>
        </is>
      </c>
      <c r="E14" s="464" t="inlineStr">
        <is>
          <t>AFOLU</t>
        </is>
      </c>
      <c r="F14" s="464" t="inlineStr">
        <is>
          <t>Marine carbon sink (blue carbon)</t>
        </is>
      </c>
      <c r="G14" s="464" t="inlineStr">
        <is>
          <t>海草床植被修复（CCER-14-004-V01）</t>
        </is>
      </c>
      <c r="H14" s="464" t="inlineStr">
        <is>
          <t>Seagrass Bed Vegetation Restoration (CCER-14-004-V01)</t>
        </is>
      </c>
      <c r="I14" s="464" t="inlineStr">
        <is>
          <t>N/A</t>
        </is>
      </c>
      <c r="J14" s="464"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464" t="inlineStr">
        <is>
          <t>Climate change mitigation</t>
        </is>
      </c>
      <c r="L14" s="464" t="inlineStr">
        <is>
          <t>Direct</t>
        </is>
      </c>
      <c r="M14" s="464" t="inlineStr">
        <is>
          <t>national</t>
        </is>
      </c>
      <c r="N14" s="464" t="inlineStr">
        <is>
          <t>N/A</t>
        </is>
      </c>
      <c r="O14" s="464" t="inlineStr">
        <is>
          <t>28/11/2025</t>
        </is>
      </c>
      <c r="P14" s="464" t="inlineStr">
        <is>
          <t>28/11/2025</t>
        </is>
      </c>
      <c r="Q14" s="464" t="inlineStr">
        <is>
          <t>N/A</t>
        </is>
      </c>
      <c r="R14" s="464" t="inlineStr">
        <is>
          <t>N/A</t>
        </is>
      </c>
      <c r="S14" s="464" t="inlineStr">
        <is>
          <t>N/A</t>
        </is>
      </c>
      <c r="T14" s="464">
        <f>IF(P14="","In force",IF(P14="N/A","In force",IF(TODAY()&lt;DATE(VALUE(RIGHT(P14,4)),VALUE(MID(P14,4,2)),VALUE(LEFT(P14,2))),"Scheduled",IF(Q14="","In force",IF(Q14="N/A","In force",IF(TODAY()&lt;DATE(VALUE(RIGHT(Q14,4)),VALUE(MID(Q14,4,2)),VALUE(LEFT(Q14,2))),"In force","Ended"))))))</f>
        <v/>
      </c>
      <c r="U14" s="464" t="inlineStr">
        <is>
          <t>Ministry of Ecology and Environment (Department of Climate Change); Ministry of Natural Resources</t>
        </is>
      </c>
      <c r="V14" s="464" t="inlineStr">
        <is>
          <t>Seagrass bed vegetation restoration projects / Certified Emission Reductions (CCERs)</t>
        </is>
      </c>
      <c r="W14" s="464" t="inlineStr">
        <is>
          <t>New</t>
        </is>
      </c>
      <c r="X14" s="464"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Y14" s="464" t="inlineStr">
        <is>
          <t>N/A</t>
        </is>
      </c>
      <c r="Z14" s="464" t="inlineStr">
        <is>
          <t>N/A</t>
        </is>
      </c>
      <c r="AA14" s="464" t="inlineStr">
        <is>
          <t>Firms</t>
        </is>
      </c>
      <c r="AB14" s="464"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C14" s="464" t="inlineStr">
        <is>
          <t>Registration, permitting and administration; Financing and investment; Abatement or prevention</t>
        </is>
      </c>
      <c r="AD14" s="464"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E14" s="464" t="inlineStr">
        <is>
          <t>70.76</t>
        </is>
      </c>
      <c r="AF14" s="464" t="inlineStr">
        <is>
          <t>CNY/tCO2</t>
        </is>
      </c>
      <c r="AG14" s="464" t="inlineStr">
        <is>
          <t>No independent category-specific trading price data is available for seagrass bed vegetation restoration CCERs; the value shown is the 2025 national average CCER trading price of CNY 70.76/tCO2 (Source: Beijing Green Exchange).</t>
        </is>
      </c>
      <c r="AH14" s="464"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I14" s="464" t="inlineStr">
        <is>
          <t>Net carbon sink = Change in project carbon stock - Change in baseline carbon stock. Carbon pools include seagrass above-ground biomass, below-ground biomass and sediment organic carbon, with carbon stock changes accounted for using the stock-difference method.</t>
        </is>
      </c>
      <c r="AJ14" s="464" t="inlineStr">
        <is>
          <t>N/A (only one calculation method prescribed)</t>
        </is>
      </c>
      <c r="AK14" s="464" t="inlineStr">
        <is>
          <t>Project owners earn carbon revenue through the issuance and sale of CCERs; seagrass bed vegetation restoration also delivers multiple ecological benefits including marine biodiversity conservation, water purification and coastal protection.</t>
        </is>
      </c>
      <c r="AL14"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M14" s="464" t="inlineStr">
        <is>
          <t>Project owners providing false materials: fine of CNY 10,000-100,000, revocation of registration and a three-year ban on re-application; validation and verification bodies in breach: fine of CNY 50,000-200,000.</t>
        </is>
      </c>
      <c r="AN14" s="464" t="inlineStr">
        <is>
          <t>N/A (emission reductions depend on project scale and voluntary development conditions)</t>
        </is>
      </c>
      <c r="AO14" s="464" t="inlineStr">
        <is>
          <t>N/A</t>
        </is>
      </c>
      <c r="AP14" s="464" t="inlineStr">
        <is>
          <t>A02</t>
        </is>
      </c>
      <c r="AQ14" s="464" t="inlineStr">
        <is>
          <t>CO2</t>
        </is>
      </c>
      <c r="AR14" s="464" t="inlineStr">
        <is>
          <t>Positive</t>
        </is>
      </c>
      <c r="AS14" s="464" t="inlineStr">
        <is>
          <t>Ecological protection; Biodiversity conservation; Pollution control; Industrial development; Climate change adaptation</t>
        </is>
      </c>
      <c r="AT14" s="464" t="inlineStr">
        <is>
          <t>Notice on Issuing Two Methodologies Including the Methodology for Voluntary GHG Emission Reduction Projects: Coastal Salt Marsh Vegetation Restoration (CCER-14-003-V01) (HB Ban Qi Hou Han [2025] No. 451)</t>
        </is>
      </c>
      <c r="AU14" s="464" t="inlineStr">
        <is>
          <t>https://www.mee.gov.cn/xxgk2018/xxgk/xxgk06/202512/t20251203_1137023.html</t>
        </is>
      </c>
      <c r="AV14" s="464" t="inlineStr">
        <is>
          <t>https://www.cets.org.cn/ (National Carbon Market Information Network)</t>
        </is>
      </c>
      <c r="AW14" s="464" t="inlineStr"/>
    </row>
    <row r="15">
      <c r="A15" s="464" t="inlineStr">
        <is>
          <t>CHNVTSVCMI01S012</t>
        </is>
      </c>
      <c r="B15" s="464" t="inlineStr">
        <is>
          <t>Subscheme</t>
        </is>
      </c>
      <c r="C15" s="464" t="inlineStr">
        <is>
          <t>Voluntary trading system</t>
        </is>
      </c>
      <c r="D15" s="464" t="inlineStr">
        <is>
          <t>Voluntary carbon market</t>
        </is>
      </c>
      <c r="E15" s="464" t="inlineStr">
        <is>
          <t>AFOLU</t>
        </is>
      </c>
      <c r="F15" s="464" t="inlineStr">
        <is>
          <t>Check dam carbon sink</t>
        </is>
      </c>
      <c r="G15" s="464" t="inlineStr">
        <is>
          <t>淤地坝碳汇（CCER-14-005-V01）</t>
        </is>
      </c>
      <c r="H15" s="464" t="inlineStr">
        <is>
          <t>Check Dam Carbon Sink (CCER-14-005-V01)</t>
        </is>
      </c>
      <c r="I15" s="464" t="inlineStr">
        <is>
          <t>N/A</t>
        </is>
      </c>
      <c r="J15" s="464"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464" t="inlineStr">
        <is>
          <t>Climate change mitigation</t>
        </is>
      </c>
      <c r="L15" s="464" t="inlineStr">
        <is>
          <t>Direct</t>
        </is>
      </c>
      <c r="M15" s="464" t="inlineStr">
        <is>
          <t>national</t>
        </is>
      </c>
      <c r="N15" s="464" t="inlineStr">
        <is>
          <t>N/A</t>
        </is>
      </c>
      <c r="O15" s="464" t="inlineStr">
        <is>
          <t>25/11/2025</t>
        </is>
      </c>
      <c r="P15" s="464" t="inlineStr">
        <is>
          <t>25/11/2025</t>
        </is>
      </c>
      <c r="Q15" s="464" t="inlineStr">
        <is>
          <t>N/A</t>
        </is>
      </c>
      <c r="R15" s="464" t="inlineStr">
        <is>
          <t>N/A</t>
        </is>
      </c>
      <c r="S15" s="464" t="inlineStr">
        <is>
          <t>N/A</t>
        </is>
      </c>
      <c r="T15" s="464">
        <f>IF(P15="","In force",IF(P15="N/A","In force",IF(TODAY()&lt;DATE(VALUE(RIGHT(P15,4)),VALUE(MID(P15,4,2)),VALUE(LEFT(P15,2))),"Scheduled",IF(Q15="","In force",IF(Q15="N/A","In force",IF(TODAY()&lt;DATE(VALUE(RIGHT(Q15,4)),VALUE(MID(Q15,4,2)),VALUE(LEFT(Q15,2))),"In force","Ended"))))))</f>
        <v/>
      </c>
      <c r="U15" s="464" t="inlineStr">
        <is>
          <t>Ministry of Ecology and Environment (Department of Climate Change); Ministry of Water Resources</t>
        </is>
      </c>
      <c r="V15" s="464" t="inlineStr">
        <is>
          <t>Check dam carbon sink projects / Certified Emission Reductions (CCERs)</t>
        </is>
      </c>
      <c r="W15" s="464" t="inlineStr">
        <is>
          <t>New</t>
        </is>
      </c>
      <c r="X15" s="464"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Y15" s="464" t="inlineStr">
        <is>
          <t>N/A</t>
        </is>
      </c>
      <c r="Z15" s="464" t="inlineStr">
        <is>
          <t>N/A</t>
        </is>
      </c>
      <c r="AA15" s="464" t="inlineStr">
        <is>
          <t>Firms</t>
        </is>
      </c>
      <c r="AB15" s="464" t="inlineStr">
        <is>
          <t>Check dam owners or their authorised legal entities. Multiple check dams (check dam systems) within the same county-level administrative area may be combined into a single project for CCER registration.</t>
        </is>
      </c>
      <c r="AC15" s="464" t="inlineStr">
        <is>
          <t>Registration, permitting and administration; Financing and investment; Abatement or prevention</t>
        </is>
      </c>
      <c r="AD15" s="464"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E15" s="464" t="inlineStr">
        <is>
          <t>70.76</t>
        </is>
      </c>
      <c r="AF15" s="464" t="inlineStr">
        <is>
          <t>CNY/tCO2</t>
        </is>
      </c>
      <c r="AG15" s="464" t="inlineStr">
        <is>
          <t>No independent category-specific trading price data is available for check dam carbon sink CCERs; the value shown is the 2025 national average CCER trading price of CNY 70.76/tCO2 (Source: Beijing Green Exchange).</t>
        </is>
      </c>
      <c r="AH15" s="464"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I15" s="464"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J15" s="464" t="inlineStr">
        <is>
          <t>N/A (only one calculation method prescribed)</t>
        </is>
      </c>
      <c r="AK15" s="464" t="inlineStr">
        <is>
          <t>Project owners earn carbon revenue through the issuance and sale of CCERs; check dams also deliver multiple ecological and social benefits including soil and water conservation, flood control and sediment reduction, and increased arable land.</t>
        </is>
      </c>
      <c r="AL15" s="464"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M15" s="464" t="inlineStr">
        <is>
          <t>Project owners providing false materials: fine of CNY 10,000-100,000, revocation of registration and a three-year ban on re-application; validation and verification bodies in breach: fine of CNY 50,000-200,000.</t>
        </is>
      </c>
      <c r="AN15" s="464" t="inlineStr">
        <is>
          <t>N/A (emission reductions depend on project scale and voluntary development conditions)</t>
        </is>
      </c>
      <c r="AO15" s="464" t="inlineStr">
        <is>
          <t>N/A</t>
        </is>
      </c>
      <c r="AP15" s="464" t="inlineStr">
        <is>
          <t>A02</t>
        </is>
      </c>
      <c r="AQ15" s="464" t="inlineStr">
        <is>
          <t>CO2</t>
        </is>
      </c>
      <c r="AR15" s="464" t="inlineStr">
        <is>
          <t>Positive</t>
        </is>
      </c>
      <c r="AS15" s="464" t="inlineStr">
        <is>
          <t>Ecological protection; Pollution control; Industrial development; Climate change adaptation</t>
        </is>
      </c>
      <c r="AT15" s="464" t="inlineStr">
        <is>
          <t>Notice on Issuing the Methodology for Voluntary GHG Emission Reduction Projects: Check Dam Carbon Sink (CCER-14-005-V01) (HB Ban Qi Hou Han [2025] No. 438)</t>
        </is>
      </c>
      <c r="AU15" s="464" t="inlineStr">
        <is>
          <t>https://www.mee.gov.cn/xxgk2018/xxgk/xxgk06/202512/t20251202_1136958.html</t>
        </is>
      </c>
      <c r="AV15" s="464" t="inlineStr">
        <is>
          <t>https://www.cets.org.cn/ (National Carbon Market Information Network)</t>
        </is>
      </c>
      <c r="AW15" s="464" t="inlineStr"/>
    </row>
    <row r="16">
      <c r="A16" s="464" t="inlineStr">
        <is>
          <t>CHNVTSVCMI01S013</t>
        </is>
      </c>
      <c r="B16" s="464" t="inlineStr">
        <is>
          <t>Subscheme</t>
        </is>
      </c>
      <c r="C16" s="464" t="inlineStr">
        <is>
          <t>Voluntary trading system</t>
        </is>
      </c>
      <c r="D16" s="464" t="inlineStr">
        <is>
          <t>Voluntary carbon market</t>
        </is>
      </c>
      <c r="E16" s="464" t="inlineStr">
        <is>
          <t>AFOLU</t>
        </is>
      </c>
      <c r="F16" s="464" t="inlineStr">
        <is>
          <t>Agricultural waste biogas utilisation</t>
        </is>
      </c>
      <c r="G16" s="464" t="inlineStr">
        <is>
          <t>规模化猪场粪污沼气回收利用工程（CCER-15-001-V01）</t>
        </is>
      </c>
      <c r="H16" s="464" t="inlineStr">
        <is>
          <t>Large-Scale Pig Farm Manure Biogas Recovery and Utilisation Project (CCER-15-001-V01)</t>
        </is>
      </c>
      <c r="I16" s="464" t="inlineStr">
        <is>
          <t>N/A</t>
        </is>
      </c>
      <c r="J16" s="464"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464" t="inlineStr">
        <is>
          <t>Climate change mitigation</t>
        </is>
      </c>
      <c r="L16" s="464" t="inlineStr">
        <is>
          <t>Direct</t>
        </is>
      </c>
      <c r="M16" s="464" t="inlineStr">
        <is>
          <t>national</t>
        </is>
      </c>
      <c r="N16" s="464" t="inlineStr">
        <is>
          <t>N/A</t>
        </is>
      </c>
      <c r="O16" s="464" t="inlineStr">
        <is>
          <t>12/12/2025</t>
        </is>
      </c>
      <c r="P16" s="464" t="inlineStr">
        <is>
          <t>12/12/2025</t>
        </is>
      </c>
      <c r="Q16" s="464" t="inlineStr">
        <is>
          <t>N/A</t>
        </is>
      </c>
      <c r="R16" s="464" t="inlineStr">
        <is>
          <t>N/A</t>
        </is>
      </c>
      <c r="S16" s="464" t="inlineStr">
        <is>
          <t>N/A</t>
        </is>
      </c>
      <c r="T16" s="464">
        <f>IF(P16="","In force",IF(P16="N/A","In force",IF(TODAY()&lt;DATE(VALUE(RIGHT(P16,4)),VALUE(MID(P16,4,2)),VALUE(LEFT(P16,2))),"Scheduled",IF(Q16="","In force",IF(Q16="N/A","In force",IF(TODAY()&lt;DATE(VALUE(RIGHT(Q16,4)),VALUE(MID(Q16,4,2)),VALUE(LEFT(Q16,2))),"In force","Ended"))))))</f>
        <v/>
      </c>
      <c r="U16" s="464" t="inlineStr">
        <is>
          <t>Ministry of Ecology and Environment (Department of Climate Change); Ministry of Agriculture and Rural Affairs</t>
        </is>
      </c>
      <c r="V16" s="464" t="inlineStr">
        <is>
          <t>Large-scale pig farm manure biogas recovery and utilisation projects / Certified Emission Reductions (CCERs)</t>
        </is>
      </c>
      <c r="W16" s="464" t="inlineStr">
        <is>
          <t>New</t>
        </is>
      </c>
      <c r="X16" s="464"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Y16" s="464" t="inlineStr">
        <is>
          <t>N/A</t>
        </is>
      </c>
      <c r="Z16" s="464" t="inlineStr">
        <is>
          <t>N/A</t>
        </is>
      </c>
      <c r="AA16" s="464" t="inlineStr">
        <is>
          <t>Firms</t>
        </is>
      </c>
      <c r="AB16" s="464"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C16" s="464" t="inlineStr">
        <is>
          <t>Registration, permitting and administration; Financing and investment; Abatement or prevention</t>
        </is>
      </c>
      <c r="AD16" s="464"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E16" s="464" t="inlineStr">
        <is>
          <t>70.76</t>
        </is>
      </c>
      <c r="AF16" s="464" t="inlineStr">
        <is>
          <t>CNY/tCO2</t>
        </is>
      </c>
      <c r="AG16" s="464" t="inlineStr">
        <is>
          <t>No independent category-specific trading price data is available for agricultural CCERs; the value shown is the 2025 national average CCER trading price of CNY 70.76/tCO2 (Source: Beijing Green Exchange).</t>
        </is>
      </c>
      <c r="AH16" s="464"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I16" s="464"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J16" s="464" t="inlineStr">
        <is>
          <t>N/A (only one calculation method prescribed)</t>
        </is>
      </c>
      <c r="AK16" s="464"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L16" s="464"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M16" s="464" t="inlineStr">
        <is>
          <t>Project owners providing false materials: fine of CNY 10,000-100,000, revocation of registration and a three-year ban on re-application; validation and verification bodies in breach: fine of CNY 50,000-200,000.</t>
        </is>
      </c>
      <c r="AN16" s="464" t="inlineStr">
        <is>
          <t>N/A (emission reductions depend on project scale and voluntary development conditions)</t>
        </is>
      </c>
      <c r="AO16" s="464" t="inlineStr">
        <is>
          <t>N/A</t>
        </is>
      </c>
      <c r="AP16" s="464" t="inlineStr">
        <is>
          <t>A01</t>
        </is>
      </c>
      <c r="AQ16" s="464" t="inlineStr">
        <is>
          <t>CH4</t>
        </is>
      </c>
      <c r="AR16" s="464" t="inlineStr">
        <is>
          <t>Positive</t>
        </is>
      </c>
      <c r="AS16" s="464" t="inlineStr">
        <is>
          <t>Pollution control; Resource conservation; Industrial development</t>
        </is>
      </c>
      <c r="AT16" s="464" t="inlineStr">
        <is>
          <t>Notice on Issuing Two Methodologies Including the Methodology for Voluntary GHG Emission Reduction Projects: Large-Scale Pig Farm Manure Biogas Recovery and Utilisation Project (CCER-15-001-V01) (HB Ban Qi Hou Han [2025] No. 473)</t>
        </is>
      </c>
      <c r="AU16" s="464" t="inlineStr">
        <is>
          <t>https://www.mee.gov.cn/xxgk2018/xxgk/xxgk06/202512/t20251217_1138026.html</t>
        </is>
      </c>
      <c r="AV16" s="464" t="inlineStr">
        <is>
          <t>https://www.cets.org.cn/ (National Carbon Market Information Network)</t>
        </is>
      </c>
      <c r="AW16" s="464" t="inlineStr"/>
    </row>
    <row r="17">
      <c r="A17" s="464" t="inlineStr">
        <is>
          <t>CHNVTSVCMI01S014</t>
        </is>
      </c>
      <c r="B17" s="464" t="inlineStr">
        <is>
          <t>Subscheme</t>
        </is>
      </c>
      <c r="C17" s="464" t="inlineStr">
        <is>
          <t>Voluntary trading system</t>
        </is>
      </c>
      <c r="D17" s="464" t="inlineStr">
        <is>
          <t>Voluntary carbon market</t>
        </is>
      </c>
      <c r="E17" s="464" t="inlineStr">
        <is>
          <t>AFOLU</t>
        </is>
      </c>
      <c r="F17" s="464" t="inlineStr">
        <is>
          <t>Agricultural waste biogas utilisation</t>
        </is>
      </c>
      <c r="G17" s="464" t="inlineStr">
        <is>
          <t>农业废弃物集中处理工程（CCER-15-002-V01）</t>
        </is>
      </c>
      <c r="H17" s="464" t="inlineStr">
        <is>
          <t>Centralised Agricultural Waste Treatment Project (CCER-15-002-V01)</t>
        </is>
      </c>
      <c r="I17" s="464" t="inlineStr">
        <is>
          <t>N/A</t>
        </is>
      </c>
      <c r="J17" s="464"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464" t="inlineStr">
        <is>
          <t>Climate change mitigation</t>
        </is>
      </c>
      <c r="L17" s="464" t="inlineStr">
        <is>
          <t>Direct</t>
        </is>
      </c>
      <c r="M17" s="464" t="inlineStr">
        <is>
          <t>national</t>
        </is>
      </c>
      <c r="N17" s="464" t="inlineStr">
        <is>
          <t>N/A</t>
        </is>
      </c>
      <c r="O17" s="464" t="inlineStr">
        <is>
          <t>12/12/2025</t>
        </is>
      </c>
      <c r="P17" s="464" t="inlineStr">
        <is>
          <t>12/12/2025</t>
        </is>
      </c>
      <c r="Q17" s="464" t="inlineStr">
        <is>
          <t>N/A</t>
        </is>
      </c>
      <c r="R17" s="464" t="inlineStr">
        <is>
          <t>N/A</t>
        </is>
      </c>
      <c r="S17" s="464" t="inlineStr">
        <is>
          <t>N/A</t>
        </is>
      </c>
      <c r="T17" s="464">
        <f>IF(P17="","In force",IF(P17="N/A","In force",IF(TODAY()&lt;DATE(VALUE(RIGHT(P17,4)),VALUE(MID(P17,4,2)),VALUE(LEFT(P17,2))),"Scheduled",IF(Q17="","In force",IF(Q17="N/A","In force",IF(TODAY()&lt;DATE(VALUE(RIGHT(Q17,4)),VALUE(MID(Q17,4,2)),VALUE(LEFT(Q17,2))),"In force","Ended"))))))</f>
        <v/>
      </c>
      <c r="U17" s="464" t="inlineStr">
        <is>
          <t>Ministry of Ecology and Environment (Department of Climate Change); Ministry of Agriculture and Rural Affairs</t>
        </is>
      </c>
      <c r="V17" s="464" t="inlineStr">
        <is>
          <t>Centralised agricultural waste treatment projects / Certified Emission Reductions (CCERs)</t>
        </is>
      </c>
      <c r="W17" s="464" t="inlineStr">
        <is>
          <t>New</t>
        </is>
      </c>
      <c r="X17" s="464"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Y17" s="464" t="inlineStr">
        <is>
          <t>N/A</t>
        </is>
      </c>
      <c r="Z17" s="464" t="inlineStr">
        <is>
          <t>N/A</t>
        </is>
      </c>
      <c r="AA17" s="464" t="inlineStr">
        <is>
          <t>Firms</t>
        </is>
      </c>
      <c r="AB17" s="464"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C17" s="464" t="inlineStr">
        <is>
          <t>Registration, permitting and administration; Financing and investment; Abatement or prevention</t>
        </is>
      </c>
      <c r="AD17" s="464"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E17" s="464" t="inlineStr">
        <is>
          <t>70.76</t>
        </is>
      </c>
      <c r="AF17" s="464" t="inlineStr">
        <is>
          <t>CNY/tCO2</t>
        </is>
      </c>
      <c r="AG17" s="464" t="inlineStr">
        <is>
          <t>No independent category-specific trading price data is available for centralised agricultural waste treatment CCERs; the value shown is the 2025 national average CCER trading price of CNY 70.76/tCO2 (Source: Beijing Green Exchange).</t>
        </is>
      </c>
      <c r="AH17" s="464"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I17" s="464"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J17" s="464" t="inlineStr">
        <is>
          <t>N/A (only one calculation method prescribed)</t>
        </is>
      </c>
      <c r="AK17" s="464" t="inlineStr">
        <is>
          <t>Project owners earn carbon revenue through the issuance and sale of CCERs; biogas power generation, gas supply or biomethane sales generate additional revenue; farmland application of digestate can substitute for chemical fertilisers.</t>
        </is>
      </c>
      <c r="AL17" s="464"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M17" s="464" t="inlineStr">
        <is>
          <t>Project owners providing false materials: fine of CNY 10,000-100,000, revocation of registration and a three-year ban on re-application; validation and verification bodies in breach: fine of CNY 50,000-200,000.</t>
        </is>
      </c>
      <c r="AN17" s="464" t="inlineStr">
        <is>
          <t>N/A (emission reductions depend on project scale and voluntary development conditions)</t>
        </is>
      </c>
      <c r="AO17" s="464" t="inlineStr">
        <is>
          <t>N/A</t>
        </is>
      </c>
      <c r="AP17" s="464" t="inlineStr">
        <is>
          <t>A01</t>
        </is>
      </c>
      <c r="AQ17" s="464" t="inlineStr">
        <is>
          <t>CH4</t>
        </is>
      </c>
      <c r="AR17" s="464" t="inlineStr">
        <is>
          <t>Positive</t>
        </is>
      </c>
      <c r="AS17" s="464" t="inlineStr">
        <is>
          <t>Pollution control; Resource conservation; Industrial development</t>
        </is>
      </c>
      <c r="AT17" s="464" t="inlineStr">
        <is>
          <t>Notice on Issuing Two Methodologies Including the Methodology for Voluntary GHG Emission Reduction Projects: Large-Scale Pig Farm Manure Biogas Recovery and Utilisation Project (CCER-15-001-V01) (HB Ban Qi Hou Han [2025] No. 473)</t>
        </is>
      </c>
      <c r="AU17" s="464" t="inlineStr">
        <is>
          <t>https://www.mee.gov.cn/xxgk2018/xxgk/xxgk06/202512/t20251217_1138026.html</t>
        </is>
      </c>
      <c r="AV17" s="464" t="inlineStr">
        <is>
          <t>https://www.cets.org.cn/ (National Carbon Market Information Network)</t>
        </is>
      </c>
      <c r="AW17" s="464" t="inlineStr"/>
    </row>
    <row r="18">
      <c r="A18" s="464" t="inlineStr">
        <is>
          <t>CHNVTSVCMI01S015</t>
        </is>
      </c>
      <c r="B18" s="464" t="inlineStr">
        <is>
          <t>Subscheme</t>
        </is>
      </c>
      <c r="C18" s="464" t="inlineStr">
        <is>
          <t>Voluntary trading system</t>
        </is>
      </c>
      <c r="D18" s="464" t="inlineStr">
        <is>
          <t>Voluntary carbon market</t>
        </is>
      </c>
      <c r="E18" s="464" t="inlineStr">
        <is>
          <t>Buildings</t>
        </is>
      </c>
      <c r="F18" s="464" t="inlineStr">
        <is>
          <t>Building energy efficiency retrofit</t>
        </is>
      </c>
      <c r="G18" s="464" t="inlineStr">
        <is>
          <t>既有公共建筑围护结构与供暖通风空调系统能效提升（CCER-06-001-V01）</t>
        </is>
      </c>
      <c r="H18" s="464" t="inlineStr">
        <is>
          <t>Energy Efficiency Improvement of Existing Public Building Envelope and HVAC Systems (CCER-06-001-V01)</t>
        </is>
      </c>
      <c r="I18" s="464" t="inlineStr">
        <is>
          <t>N/A</t>
        </is>
      </c>
      <c r="J18" s="464"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464" t="inlineStr">
        <is>
          <t>Climate change mitigation</t>
        </is>
      </c>
      <c r="L18" s="464" t="inlineStr">
        <is>
          <t>Direct</t>
        </is>
      </c>
      <c r="M18" s="464" t="inlineStr">
        <is>
          <t>national</t>
        </is>
      </c>
      <c r="N18" s="464" t="inlineStr">
        <is>
          <t>N/A</t>
        </is>
      </c>
      <c r="O18" s="464" t="inlineStr">
        <is>
          <t>19/12/2025</t>
        </is>
      </c>
      <c r="P18" s="464" t="inlineStr">
        <is>
          <t>19/12/2025</t>
        </is>
      </c>
      <c r="Q18" s="464" t="inlineStr">
        <is>
          <t>N/A</t>
        </is>
      </c>
      <c r="R18" s="464" t="inlineStr">
        <is>
          <t>N/A</t>
        </is>
      </c>
      <c r="S18" s="464" t="inlineStr">
        <is>
          <t>N/A</t>
        </is>
      </c>
      <c r="T18" s="464">
        <f>IF(P18="","In force",IF(P18="N/A","In force",IF(TODAY()&lt;DATE(VALUE(RIGHT(P18,4)),VALUE(MID(P18,4,2)),VALUE(LEFT(P18,2))),"Scheduled",IF(Q18="","In force",IF(Q18="N/A","In force",IF(TODAY()&lt;DATE(VALUE(RIGHT(Q18,4)),VALUE(MID(Q18,4,2)),VALUE(LEFT(Q18,2))),"In force","Ended"))))))</f>
        <v/>
      </c>
      <c r="U18" s="464" t="inlineStr">
        <is>
          <t>Ministry of Ecology and Environment (Department of Climate Change); Ministry of Housing and Urban-Rural Development</t>
        </is>
      </c>
      <c r="V18" s="464" t="inlineStr">
        <is>
          <t>Existing public building energy efficiency retrofit projects / Certified Emission Reductions (CCERs)</t>
        </is>
      </c>
      <c r="W18" s="464" t="inlineStr">
        <is>
          <t>New</t>
        </is>
      </c>
      <c r="X18" s="464"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Y18" s="464" t="inlineStr">
        <is>
          <t>N/A</t>
        </is>
      </c>
      <c r="Z18" s="464" t="inlineStr">
        <is>
          <t>N/A</t>
        </is>
      </c>
      <c r="AA18" s="464" t="inlineStr">
        <is>
          <t>Firms</t>
        </is>
      </c>
      <c r="AB18" s="464"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C18" s="464" t="inlineStr">
        <is>
          <t>Registration, permitting and administration; Financing and investment; Abatement or prevention</t>
        </is>
      </c>
      <c r="AD18" s="464"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E18" s="464" t="inlineStr">
        <is>
          <t>70.76</t>
        </is>
      </c>
      <c r="AF18" s="464" t="inlineStr">
        <is>
          <t>CNY/tCO2</t>
        </is>
      </c>
      <c r="AG18" s="464" t="inlineStr">
        <is>
          <t>No independent category-specific trading price data is available for building-sector CCERs; the value shown is the 2025 national average CCER trading price of CNY 70.76/tCO2 (Source: Beijing Green Exchange).</t>
        </is>
      </c>
      <c r="AH18" s="464"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I18" s="464"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J18" s="464" t="inlineStr">
        <is>
          <t>N/A (only one calculation method prescribed)</t>
        </is>
      </c>
      <c r="AK18" s="464" t="inlineStr">
        <is>
          <t>Project owners earn carbon revenue through the issuance and sale of CCERs; building energy efficiency improvements directly reduce operating energy costs; the rate of return for most projects may increase by 3%-8%.</t>
        </is>
      </c>
      <c r="AL18" s="464"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M18" s="464" t="inlineStr">
        <is>
          <t>Project owners providing false materials: fine of CNY 10,000-100,000, revocation of registration and a three-year ban on re-application; validation and verification bodies in breach: fine of CNY 50,000-200,000.</t>
        </is>
      </c>
      <c r="AN18" s="464" t="inlineStr">
        <is>
          <t>N/A (emission reductions depend on retrofit scale and voluntary development conditions; estimated 460,000 tCO2/year by 2028)</t>
        </is>
      </c>
      <c r="AO18" s="464" t="inlineStr">
        <is>
          <t>N/A</t>
        </is>
      </c>
      <c r="AP18" s="464" t="inlineStr">
        <is>
          <t>F41</t>
        </is>
      </c>
      <c r="AQ18" s="464" t="inlineStr">
        <is>
          <t>CO2; HFCs</t>
        </is>
      </c>
      <c r="AR18" s="464" t="inlineStr">
        <is>
          <t>Positive</t>
        </is>
      </c>
      <c r="AS18" s="464" t="inlineStr">
        <is>
          <t>Energy conservation; Industrial development; Technological innovation</t>
        </is>
      </c>
      <c r="AT18" s="464" t="inlineStr">
        <is>
          <t>Notice on Issuing the Methodology for Voluntary GHG Emission Reduction Projects: Energy Efficiency Improvement of Existing Public Building Envelope and HVAC Systems (CCER-06-001-V01) (HB Ban Qi Hou Han [2025] No. 485)</t>
        </is>
      </c>
      <c r="AU18" s="464" t="inlineStr">
        <is>
          <t>https://www.mee.gov.cn/xxgk2018/xxgk/xxgk06/202512/t20251223_1138457.html</t>
        </is>
      </c>
      <c r="AV18" s="464" t="inlineStr">
        <is>
          <t>https://www.cets.org.cn/ (National Carbon Market Information Network)</t>
        </is>
      </c>
      <c r="AW18" s="464" t="inlineStr"/>
    </row>
    <row r="19">
      <c r="A19" s="464" t="inlineStr">
        <is>
          <t>CHNVTSVCMI01S016</t>
        </is>
      </c>
      <c r="B19" s="464" t="inlineStr">
        <is>
          <t>Subscheme</t>
        </is>
      </c>
      <c r="C19" s="464" t="inlineStr">
        <is>
          <t>Voluntary trading system</t>
        </is>
      </c>
      <c r="D19" s="464" t="inlineStr">
        <is>
          <t>Voluntary carbon market</t>
        </is>
      </c>
      <c r="E19" s="464" t="inlineStr">
        <is>
          <t>Energy</t>
        </is>
      </c>
      <c r="F19" s="464" t="inlineStr">
        <is>
          <t>Renewable energy electrolytic hydrogen production</t>
        </is>
      </c>
      <c r="G19" s="464" t="inlineStr">
        <is>
          <t>可再生能源电解水制氢（CCER-01-004-V01）</t>
        </is>
      </c>
      <c r="H19" s="464" t="inlineStr">
        <is>
          <t>Renewable Energy Electrolytic Hydrogen Production (CCER-01-004-V01)</t>
        </is>
      </c>
      <c r="I19" s="464" t="inlineStr">
        <is>
          <t>N/A</t>
        </is>
      </c>
      <c r="J19" s="464"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464" t="inlineStr">
        <is>
          <t>Climate change mitigation; Non-fossil energy</t>
        </is>
      </c>
      <c r="L19" s="464" t="inlineStr">
        <is>
          <t>Direct</t>
        </is>
      </c>
      <c r="M19" s="464" t="inlineStr">
        <is>
          <t>national</t>
        </is>
      </c>
      <c r="N19" s="464" t="inlineStr">
        <is>
          <t>N/A</t>
        </is>
      </c>
      <c r="O19" s="464" t="inlineStr">
        <is>
          <t>23/12/2025</t>
        </is>
      </c>
      <c r="P19" s="464" t="inlineStr">
        <is>
          <t>23/12/2025</t>
        </is>
      </c>
      <c r="Q19" s="464" t="inlineStr">
        <is>
          <t>N/A</t>
        </is>
      </c>
      <c r="R19" s="464" t="inlineStr">
        <is>
          <t>N/A</t>
        </is>
      </c>
      <c r="S19" s="464" t="inlineStr">
        <is>
          <t>N/A</t>
        </is>
      </c>
      <c r="T19" s="464">
        <f>IF(P19="","In force",IF(P19="N/A","In force",IF(TODAY()&lt;DATE(VALUE(RIGHT(P19,4)),VALUE(MID(P19,4,2)),VALUE(LEFT(P19,2))),"Scheduled",IF(Q19="","In force",IF(Q19="N/A","In force",IF(TODAY()&lt;DATE(VALUE(RIGHT(Q19,4)),VALUE(MID(Q19,4,2)),VALUE(LEFT(Q19,2))),"In force","Ended"))))))</f>
        <v/>
      </c>
      <c r="U19" s="464" t="inlineStr">
        <is>
          <t>Ministry of Ecology and Environment (Department of Climate Change); National Energy Administration</t>
        </is>
      </c>
      <c r="V19" s="464" t="inlineStr">
        <is>
          <t>Renewable energy electrolytic hydrogen production projects / Certified Emission Reductions (CCERs)</t>
        </is>
      </c>
      <c r="W19" s="464" t="inlineStr">
        <is>
          <t>New</t>
        </is>
      </c>
      <c r="X19" s="464"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Y19" s="464" t="inlineStr">
        <is>
          <t>N/A</t>
        </is>
      </c>
      <c r="Z19" s="464" t="inlineStr">
        <is>
          <t>N/A</t>
        </is>
      </c>
      <c r="AA19" s="464" t="inlineStr">
        <is>
          <t>Firms</t>
        </is>
      </c>
      <c r="AB19" s="464"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C19" s="464" t="inlineStr">
        <is>
          <t>Registration, permitting and administration; Financing and investment; Abatement or prevention</t>
        </is>
      </c>
      <c r="AD19" s="464"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E19" s="464" t="inlineStr">
        <is>
          <t>70.76</t>
        </is>
      </c>
      <c r="AF19" s="464" t="inlineStr">
        <is>
          <t>CNY/tCO2</t>
        </is>
      </c>
      <c r="AG19" s="464" t="inlineStr">
        <is>
          <t>No independent category-specific trading price data is available for hydrogen-sector CCERs; the value shown is the 2025 national average CCER trading price of CNY 70.76/tCO2 (Source: Beijing Green Exchange).</t>
        </is>
      </c>
      <c r="AH19" s="464"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I19" s="464"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J19" s="464" t="inlineStr">
        <is>
          <t>N/A (only one calculation method prescribed)</t>
        </is>
      </c>
      <c r="AK19" s="464"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L19" s="464"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M19" s="464" t="inlineStr">
        <is>
          <t>Project owners providing false materials: fine of CNY 10,000-100,000, revocation of registration and a three-year ban on re-application; validation and verification bodies in breach: fine of CNY 50,000-200,000.</t>
        </is>
      </c>
      <c r="AN19" s="464" t="inlineStr">
        <is>
          <t>N/A (emission reductions depend on project scale and voluntary development conditions)</t>
        </is>
      </c>
      <c r="AO19" s="464" t="inlineStr">
        <is>
          <t>N/A</t>
        </is>
      </c>
      <c r="AP19" s="464" t="inlineStr">
        <is>
          <t>D35</t>
        </is>
      </c>
      <c r="AQ19" s="464" t="inlineStr">
        <is>
          <t>CO2</t>
        </is>
      </c>
      <c r="AR19" s="464" t="inlineStr">
        <is>
          <t>Positive</t>
        </is>
      </c>
      <c r="AS19" s="464" t="inlineStr">
        <is>
          <t>Renewable energy development; Technological innovation; Industrial development; Pollution control</t>
        </is>
      </c>
      <c r="AT19" s="464" t="inlineStr">
        <is>
          <t>Notice on Issuing Two Methodologies Including the Methodology for Voluntary GHG Emission Reduction Projects: Renewable Energy Electrolytic Hydrogen Production (CCER-01-004-V01) (HB Ban Qi Hou Han [2025] No. 491)</t>
        </is>
      </c>
      <c r="AU19" s="464" t="inlineStr">
        <is>
          <t>https://www.mee.gov.cn/xxgk2018/xxgk/xxgk06/202512/t20251226_1139056.html</t>
        </is>
      </c>
      <c r="AV19" s="464" t="inlineStr">
        <is>
          <t>https://www.cets.org.cn/ (National Carbon Market Information Network)</t>
        </is>
      </c>
      <c r="AW19" s="464" t="inlineStr"/>
    </row>
    <row r="20">
      <c r="A20" s="464" t="inlineStr">
        <is>
          <t>CHNVTSVCMI01S017</t>
        </is>
      </c>
      <c r="B20" s="464" t="inlineStr">
        <is>
          <t>Subscheme</t>
        </is>
      </c>
      <c r="C20" s="464" t="inlineStr">
        <is>
          <t>Voluntary trading system</t>
        </is>
      </c>
      <c r="D20" s="464" t="inlineStr">
        <is>
          <t>Voluntary carbon market</t>
        </is>
      </c>
      <c r="E20" s="464" t="inlineStr">
        <is>
          <t>Energy</t>
        </is>
      </c>
      <c r="F20" s="464" t="inlineStr">
        <is>
          <t>SF6 recovery and purification from electrical equipment</t>
        </is>
      </c>
      <c r="G20" s="464" t="inlineStr">
        <is>
          <t>电气设备六氟化硫回收和净化（CCER-11-001-V01）</t>
        </is>
      </c>
      <c r="H20" s="464" t="inlineStr">
        <is>
          <t>SF6 Recovery and Purification from Electrical Equipment (CCER-11-001-V01)</t>
        </is>
      </c>
      <c r="I20" s="464" t="inlineStr">
        <is>
          <t>N/A</t>
        </is>
      </c>
      <c r="J20" s="464"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464" t="inlineStr">
        <is>
          <t>Climate change mitigation</t>
        </is>
      </c>
      <c r="L20" s="464" t="inlineStr">
        <is>
          <t>Direct</t>
        </is>
      </c>
      <c r="M20" s="464" t="inlineStr">
        <is>
          <t>national</t>
        </is>
      </c>
      <c r="N20" s="464" t="inlineStr">
        <is>
          <t>N/A</t>
        </is>
      </c>
      <c r="O20" s="464" t="inlineStr">
        <is>
          <t>23/12/2025</t>
        </is>
      </c>
      <c r="P20" s="464" t="inlineStr">
        <is>
          <t>23/12/2025</t>
        </is>
      </c>
      <c r="Q20" s="464" t="inlineStr">
        <is>
          <t>N/A</t>
        </is>
      </c>
      <c r="R20" s="464" t="inlineStr">
        <is>
          <t>N/A</t>
        </is>
      </c>
      <c r="S20" s="464" t="inlineStr">
        <is>
          <t>N/A</t>
        </is>
      </c>
      <c r="T20" s="464">
        <f>IF(P20="","In force",IF(P20="N/A","In force",IF(TODAY()&lt;DATE(VALUE(RIGHT(P20,4)),VALUE(MID(P20,4,2)),VALUE(LEFT(P20,2))),"Scheduled",IF(Q20="","In force",IF(Q20="N/A","In force",IF(TODAY()&lt;DATE(VALUE(RIGHT(Q20,4)),VALUE(MID(Q20,4,2)),VALUE(LEFT(Q20,2))),"In force","Ended"))))))</f>
        <v/>
      </c>
      <c r="U20" s="464" t="inlineStr">
        <is>
          <t>Ministry of Ecology and Environment (Department of Climate Change); National Energy Administration</t>
        </is>
      </c>
      <c r="V20" s="464" t="inlineStr">
        <is>
          <t>SF6 recovery and purification from electrical equipment projects / Certified Emission Reductions (CCERs)</t>
        </is>
      </c>
      <c r="W20" s="464" t="inlineStr">
        <is>
          <t>New</t>
        </is>
      </c>
      <c r="X20" s="464"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Y20" s="464" t="inlineStr">
        <is>
          <t>N/A</t>
        </is>
      </c>
      <c r="Z20" s="464" t="inlineStr">
        <is>
          <t>N/A</t>
        </is>
      </c>
      <c r="AA20" s="464" t="inlineStr">
        <is>
          <t>Firms</t>
        </is>
      </c>
      <c r="AB20" s="464"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C20" s="464" t="inlineStr">
        <is>
          <t>Registration, permitting and administration; Financing and investment; Abatement or prevention</t>
        </is>
      </c>
      <c r="AD20" s="464"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E20" s="464" t="inlineStr">
        <is>
          <t>70.76</t>
        </is>
      </c>
      <c r="AF20" s="464" t="inlineStr">
        <is>
          <t>CNY/tCO2</t>
        </is>
      </c>
      <c r="AG20" s="464" t="inlineStr">
        <is>
          <t>No independent category-specific trading price data is available for SF6-sector CCERs; the value shown is the 2025 national average CCER trading price of CNY 70.76/tCO2 (Source: Beijing Green Exchange).</t>
        </is>
      </c>
      <c r="AH20" s="464"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I20" s="464"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J20" s="464" t="inlineStr">
        <is>
          <t>N/A (only one calculation method prescribed)</t>
        </is>
      </c>
      <c r="AK20" s="464"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L20" s="464"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M20" s="464" t="inlineStr">
        <is>
          <t>Project owners providing false materials: fine of CNY 10,000-100,000, revocation of registration and a three-year ban on re-application; validation and verification bodies in breach: fine of CNY 50,000-200,000.</t>
        </is>
      </c>
      <c r="AN20" s="464" t="inlineStr">
        <is>
          <t>N/A (emission reductions depend on project scale and voluntary development conditions; annual emission reduction potential approximately 3.2 million tCO2e)</t>
        </is>
      </c>
      <c r="AO20" s="464" t="inlineStr">
        <is>
          <t>N/A</t>
        </is>
      </c>
      <c r="AP20" s="464" t="inlineStr">
        <is>
          <t>D35</t>
        </is>
      </c>
      <c r="AQ20" s="464" t="inlineStr">
        <is>
          <t>SF6</t>
        </is>
      </c>
      <c r="AR20" s="464" t="inlineStr">
        <is>
          <t>Positive</t>
        </is>
      </c>
      <c r="AS20" s="464" t="inlineStr">
        <is>
          <t>Resource conservation; Technological innovation; Pollution control</t>
        </is>
      </c>
      <c r="AT20" s="464" t="inlineStr">
        <is>
          <t>Notice on Issuing Two Methodologies Including the Methodology for Voluntary GHG Emission Reduction Projects: Renewable Energy Electrolytic Hydrogen Production (CCER-01-004-V01) (HB Ban Qi Hou Han [2025] No. 491)</t>
        </is>
      </c>
      <c r="AU20" s="464" t="inlineStr">
        <is>
          <t>https://www.mee.gov.cn/xxgk2018/xxgk/xxgk06/202512/t20251226_1139056.html</t>
        </is>
      </c>
      <c r="AV20" s="464" t="inlineStr">
        <is>
          <t>https://www.cets.org.cn/ (National Carbon Market Information Network)</t>
        </is>
      </c>
      <c r="AW20" s="464" t="inlineStr"/>
    </row>
    <row r="21">
      <c r="A21" s="464" t="inlineStr">
        <is>
          <t>CHNVTSVCMI01S018</t>
        </is>
      </c>
      <c r="B21" s="464" t="inlineStr">
        <is>
          <t>Subscheme</t>
        </is>
      </c>
      <c r="C21" s="464" t="inlineStr">
        <is>
          <t>Voluntary trading system</t>
        </is>
      </c>
      <c r="D21" s="464" t="inlineStr">
        <is>
          <t>Voluntary carbon market</t>
        </is>
      </c>
      <c r="E21" s="464" t="inlineStr">
        <is>
          <t>Energy</t>
        </is>
      </c>
      <c r="F21" s="464" t="inlineStr">
        <is>
          <t>Medium-deep geothermal heating</t>
        </is>
      </c>
      <c r="G21" s="464" t="inlineStr">
        <is>
          <t>中深层地热能井下换热供暖技术应用工程（CCER-01-003-V01）</t>
        </is>
      </c>
      <c r="H21" s="464" t="inlineStr">
        <is>
          <t>Medium-Deep Geothermal Downhole Heat Exchange Heating Technology Application Project (CCER-01-003-V01)</t>
        </is>
      </c>
      <c r="I21" s="464" t="inlineStr">
        <is>
          <t>N/A</t>
        </is>
      </c>
      <c r="J21" s="464"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464" t="inlineStr">
        <is>
          <t>Climate change mitigation</t>
        </is>
      </c>
      <c r="L21" s="464" t="inlineStr">
        <is>
          <t>Direct</t>
        </is>
      </c>
      <c r="M21" s="464" t="inlineStr">
        <is>
          <t>national</t>
        </is>
      </c>
      <c r="N21" s="464" t="inlineStr">
        <is>
          <t>N/A</t>
        </is>
      </c>
      <c r="O21" s="464" t="inlineStr">
        <is>
          <t>25/12/2025</t>
        </is>
      </c>
      <c r="P21" s="464" t="inlineStr">
        <is>
          <t>25/12/2025</t>
        </is>
      </c>
      <c r="Q21" s="464" t="inlineStr">
        <is>
          <t>N/A</t>
        </is>
      </c>
      <c r="R21" s="464" t="inlineStr">
        <is>
          <t>N/A</t>
        </is>
      </c>
      <c r="S21" s="464" t="inlineStr">
        <is>
          <t>N/A</t>
        </is>
      </c>
      <c r="T21" s="464">
        <f>IF(P21="","In force",IF(P21="N/A","In force",IF(TODAY()&lt;DATE(VALUE(RIGHT(P21,4)),VALUE(MID(P21,4,2)),VALUE(LEFT(P21,2))),"Scheduled",IF(Q21="","In force",IF(Q21="N/A","In force",IF(TODAY()&lt;DATE(VALUE(RIGHT(Q21,4)),VALUE(MID(Q21,4,2)),VALUE(LEFT(Q21,2))),"In force","Ended"))))))</f>
        <v/>
      </c>
      <c r="U21" s="464" t="inlineStr">
        <is>
          <t>Ministry of Ecology and Environment (Department of Climate Change); Ministry of Housing and Urban-Rural Development; National Energy Administration</t>
        </is>
      </c>
      <c r="V21" s="464" t="inlineStr">
        <is>
          <t>Medium-deep geothermal downhole heat exchange heating projects / Certified Emission Reductions (CCERs)</t>
        </is>
      </c>
      <c r="W21" s="464" t="inlineStr">
        <is>
          <t>New</t>
        </is>
      </c>
      <c r="X21" s="464"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Y21" s="464" t="inlineStr">
        <is>
          <t>N/A</t>
        </is>
      </c>
      <c r="Z21" s="464" t="inlineStr">
        <is>
          <t>N/A</t>
        </is>
      </c>
      <c r="AA21" s="464" t="inlineStr">
        <is>
          <t>Firms</t>
        </is>
      </c>
      <c r="AB21" s="464"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C21" s="464" t="inlineStr">
        <is>
          <t>Registration, permitting and administration; Financing and investment; Abatement or prevention</t>
        </is>
      </c>
      <c r="AD21" s="464"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E21" s="464" t="inlineStr">
        <is>
          <t>70.76</t>
        </is>
      </c>
      <c r="AF21" s="464" t="inlineStr">
        <is>
          <t>CNY/tCO2</t>
        </is>
      </c>
      <c r="AG21" s="464" t="inlineStr">
        <is>
          <t>No independent category-specific trading price data is available for geothermal-sector CCERs; the value shown is the 2025 national average CCER trading price of CNY 70.76/tCO2 (Source: Beijing Green Exchange).</t>
        </is>
      </c>
      <c r="AH21" s="464"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I21" s="464"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J21" s="464" t="inlineStr">
        <is>
          <t>N/A (only one calculation method prescribed)</t>
        </is>
      </c>
      <c r="AK21" s="464"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L21" s="464"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M21" s="464" t="inlineStr">
        <is>
          <t>Project owners providing false materials: fine of CNY 10,000-100,000, revocation of registration and a three-year ban on re-application; validation and verification bodies in breach: fine of CNY 50,000-200,000.</t>
        </is>
      </c>
      <c r="AN21" s="464" t="inlineStr">
        <is>
          <t>N/A (emission reductions depend on project scale and voluntary development conditions)</t>
        </is>
      </c>
      <c r="AO21" s="464" t="inlineStr">
        <is>
          <t>N/A</t>
        </is>
      </c>
      <c r="AP21" s="464" t="inlineStr">
        <is>
          <t>D35</t>
        </is>
      </c>
      <c r="AQ21" s="464" t="inlineStr">
        <is>
          <t>CO2</t>
        </is>
      </c>
      <c r="AR21" s="464" t="inlineStr">
        <is>
          <t>Positive</t>
        </is>
      </c>
      <c r="AS21" s="464" t="inlineStr">
        <is>
          <t>Renewable energy development; Energy security; Technological innovation; Pollution control</t>
        </is>
      </c>
      <c r="AT21" s="464" t="inlineStr">
        <is>
          <t>Notice on Issuing the Methodology for Voluntary GHG Emission Reduction Projects: Medium-Deep Geothermal Downhole Heat Exchange Heating Technology Application Project (CCER-01-003-V01) (HB Ban Qi Hou Han [2025] No. 493)</t>
        </is>
      </c>
      <c r="AU21" s="464" t="inlineStr">
        <is>
          <t>https://www.mee.gov.cn/xxgk2018/xxgk/xxgk06/202512/t20251226_1139063.html</t>
        </is>
      </c>
      <c r="AV21" s="464" t="inlineStr">
        <is>
          <t>https://www.cets.org.cn/ (National Carbon Market Information Network)</t>
        </is>
      </c>
      <c r="AW21" s="464" t="inlineStr"/>
    </row>
    <row r="22">
      <c r="A22" s="610" t="inlineStr">
        <is>
          <t>CHNVIISFTI01S000</t>
        </is>
      </c>
      <c r="B22" s="610" t="inlineStr">
        <is>
          <t>Instrument</t>
        </is>
      </c>
      <c r="C22" s="610" t="inlineStr">
        <is>
          <t>Voluntary information instrument</t>
        </is>
      </c>
      <c r="D22" s="610" t="inlineStr">
        <is>
          <t>Sustainable finance taxonomy</t>
        </is>
      </c>
      <c r="E22" s="610" t="inlineStr">
        <is>
          <t>Cross-sectoral</t>
        </is>
      </c>
      <c r="F22" s="610" t="inlineStr">
        <is>
          <t>N/A</t>
        </is>
      </c>
      <c r="G22" s="610" t="inlineStr">
        <is>
          <t>绿色金融支持项目目录</t>
        </is>
      </c>
      <c r="H22" s="610" t="inlineStr">
        <is>
          <t>Green Finance Endorsed Project Catalogue</t>
        </is>
      </c>
      <c r="I22" s="610" t="inlineStr">
        <is>
          <t>N/A</t>
        </is>
      </c>
      <c r="J22" s="610"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610" t="inlineStr">
        <is>
          <t>Green economy; Green finance</t>
        </is>
      </c>
      <c r="L22" s="610" t="inlineStr">
        <is>
          <t>Indirect</t>
        </is>
      </c>
      <c r="M22" s="610" t="inlineStr">
        <is>
          <t>national</t>
        </is>
      </c>
      <c r="N22" s="610" t="inlineStr">
        <is>
          <t>N/A</t>
        </is>
      </c>
      <c r="O22" s="610" t="inlineStr">
        <is>
          <t>22/12/2015</t>
        </is>
      </c>
      <c r="P22" s="610" t="inlineStr">
        <is>
          <t>22/12/2015</t>
        </is>
      </c>
      <c r="Q22" s="610" t="inlineStr">
        <is>
          <t>N/A</t>
        </is>
      </c>
      <c r="R22" s="610" t="inlineStr">
        <is>
          <t>01/10/2025</t>
        </is>
      </c>
      <c r="S22" s="610"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T22" s="610">
        <f>IF(P22="","In force",IF(P22="N/A","In force",IF(TODAY()&lt;DATE(VALUE(RIGHT(P22,4)),VALUE(MID(P22,4,2)),VALUE(LEFT(P22,2))),"Scheduled",IF(Q22="","In force",IF(Q22="N/A","In force",IF(TODAY()&lt;DATE(VALUE(RIGHT(Q22,4)),VALUE(MID(Q22,4,2)),VALUE(LEFT(Q22,2))),"In force","Ended"))))))</f>
        <v/>
      </c>
      <c r="U22" s="610"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V22" s="610" t="inlineStr">
        <is>
          <t>Green finance products (green loans, green bonds, etc.)</t>
        </is>
      </c>
      <c r="W22" s="610" t="inlineStr">
        <is>
          <t>N/A</t>
        </is>
      </c>
      <c r="X22" s="610"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Y22" s="610" t="inlineStr">
        <is>
          <t>N/A</t>
        </is>
      </c>
      <c r="Z22" s="610" t="inlineStr">
        <is>
          <t>N/A</t>
        </is>
      </c>
      <c r="AA22" s="610" t="inlineStr">
        <is>
          <t>Firms</t>
        </is>
      </c>
      <c r="AB22" s="610"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C22" s="610" t="inlineStr">
        <is>
          <t>Financing and investment</t>
        </is>
      </c>
      <c r="AD22" s="610"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E22" s="610" t="inlineStr">
        <is>
          <t>N/A</t>
        </is>
      </c>
      <c r="AF22" s="610" t="inlineStr">
        <is>
          <t>N/A</t>
        </is>
      </c>
      <c r="AG22" s="610" t="inlineStr">
        <is>
          <t>N/A</t>
        </is>
      </c>
      <c r="AH22" s="610"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I22" s="610" t="inlineStr">
        <is>
          <t>N/A</t>
        </is>
      </c>
      <c r="AJ22" s="610" t="inlineStr">
        <is>
          <t>N/A</t>
        </is>
      </c>
      <c r="AK22" s="610"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L22" s="610"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M22" s="610" t="inlineStr">
        <is>
          <t>N/A (this instrument is a voluntary green-finance-standard catalogue and sets no sanctions for non-compliance)</t>
        </is>
      </c>
      <c r="AN22" s="610"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O22" s="610" t="inlineStr">
        <is>
          <t>N/A (this is an indirect green-finance-standard instrument with no direct greenhouse gas emission coverage share)</t>
        </is>
      </c>
      <c r="AP22" s="610" t="inlineStr">
        <is>
          <t>K64</t>
        </is>
      </c>
      <c r="AQ22" s="610" t="inlineStr">
        <is>
          <t>CO2; CH4; N2O</t>
        </is>
      </c>
      <c r="AR22" s="610" t="inlineStr">
        <is>
          <t>Positive</t>
        </is>
      </c>
      <c r="AS22" s="610" t="inlineStr">
        <is>
          <t>Industrial development; Pollution control; Resource conservation; Circular economy; Ecological protection</t>
        </is>
      </c>
      <c r="AT22" s="610" t="inlineStr">
        <is>
          <t>Notice of the People's Bank of China, the National Financial Regulatory Administration and the China Securities Regulatory Commission on Issuing the Green Finance Endorsed Project Catalogue (2025 Edition) (Yinfa [2025] No. 132)</t>
        </is>
      </c>
      <c r="AU22" s="610" t="inlineStr">
        <is>
          <t>https://www.gov.cn/zhengce/zhengceku/202507/content_7032004.htm</t>
        </is>
      </c>
      <c r="AV22" s="610" t="inlineStr">
        <is>
          <t>https://www.gov.cn/zhengce/zhengceku/2021-04/22/content_5601284.htm; https://www.pbc.gov.cn/tiaofasi/144941/3581332/3588085/index.html</t>
        </is>
      </c>
      <c r="AW22" s="610" t="inlineStr"/>
    </row>
    <row r="23">
      <c r="A23" s="610" t="inlineStr">
        <is>
          <t>CHNVIIVPGI01S000</t>
        </is>
      </c>
      <c r="B23" s="610" t="inlineStr">
        <is>
          <t>Instrument</t>
        </is>
      </c>
      <c r="C23" s="610" t="inlineStr">
        <is>
          <t>Voluntary information instrument</t>
        </is>
      </c>
      <c r="D23" s="610" t="inlineStr">
        <is>
          <t>Voluntary procurement guidance</t>
        </is>
      </c>
      <c r="E23" s="610" t="inlineStr">
        <is>
          <t>Cross-sectoral</t>
        </is>
      </c>
      <c r="F23" s="610" t="inlineStr">
        <is>
          <t>N/A</t>
        </is>
      </c>
      <c r="G23" s="610" t="inlineStr">
        <is>
          <t>企业绿色采购指南</t>
        </is>
      </c>
      <c r="H23" s="610" t="inlineStr">
        <is>
          <t>Enterprise Green Procurement Guide</t>
        </is>
      </c>
      <c r="I23" s="610" t="inlineStr">
        <is>
          <t>N/A</t>
        </is>
      </c>
      <c r="J23" s="610"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610" t="inlineStr">
        <is>
          <t>Green consumption</t>
        </is>
      </c>
      <c r="L23" s="610" t="inlineStr">
        <is>
          <t>Direct</t>
        </is>
      </c>
      <c r="M23" s="610" t="inlineStr">
        <is>
          <t>national</t>
        </is>
      </c>
      <c r="N23" s="610" t="inlineStr">
        <is>
          <t>N/A</t>
        </is>
      </c>
      <c r="O23" s="610" t="inlineStr">
        <is>
          <t>22/12/2014</t>
        </is>
      </c>
      <c r="P23" s="610" t="inlineStr">
        <is>
          <t>01/01/2015</t>
        </is>
      </c>
      <c r="Q23" s="610" t="inlineStr">
        <is>
          <t>N/A</t>
        </is>
      </c>
      <c r="R23" s="610" t="inlineStr">
        <is>
          <t>N/A</t>
        </is>
      </c>
      <c r="S23" s="610" t="inlineStr">
        <is>
          <t>N/A</t>
        </is>
      </c>
      <c r="T23" s="610">
        <f>IF(P23="","In force",IF(P23="N/A","In force",IF(TODAY()&lt;DATE(VALUE(RIGHT(P23,4)),VALUE(MID(P23,4,2)),VALUE(LEFT(P23,2))),"Scheduled",IF(Q23="","In force",IF(Q23="N/A","In force",IF(TODAY()&lt;DATE(VALUE(RIGHT(Q23,4)),VALUE(MID(Q23,4,2)),VALUE(LEFT(Q23,2))),"In force","Ended"))))))</f>
        <v/>
      </c>
      <c r="U23" s="610" t="inlineStr">
        <is>
          <t>Ministry of Commerce (Department of Circulation Development); Ministry of Environmental Protection (now Ministry of Ecology and Environment); Ministry of Industry and Information Technology</t>
        </is>
      </c>
      <c r="V23" s="610" t="inlineStr">
        <is>
          <t>Goods and services procured by enterprises (green procurement)</t>
        </is>
      </c>
      <c r="W23" s="610" t="inlineStr">
        <is>
          <t>N/A</t>
        </is>
      </c>
      <c r="X23" s="610"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Y23" s="610" t="inlineStr">
        <is>
          <t>N/A</t>
        </is>
      </c>
      <c r="Z23" s="610" t="inlineStr">
        <is>
          <t>N/A</t>
        </is>
      </c>
      <c r="AA23" s="610" t="inlineStr">
        <is>
          <t>Firms</t>
        </is>
      </c>
      <c r="AB23" s="610"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C23" s="610" t="inlineStr">
        <is>
          <t>Consumption and use</t>
        </is>
      </c>
      <c r="AD23" s="610"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E23" s="610" t="inlineStr">
        <is>
          <t>N/A</t>
        </is>
      </c>
      <c r="AF23" s="610" t="inlineStr">
        <is>
          <t>N/A</t>
        </is>
      </c>
      <c r="AG23" s="610" t="inlineStr">
        <is>
          <t>N/A</t>
        </is>
      </c>
      <c r="AH23" s="610"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I23" s="610" t="inlineStr">
        <is>
          <t>N/A</t>
        </is>
      </c>
      <c r="AJ23" s="610" t="inlineStr">
        <is>
          <t>N/A</t>
        </is>
      </c>
      <c r="AK23" s="610"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L23" s="610"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M23" s="610" t="inlineStr">
        <is>
          <t>N/A (voluntary guidance; enterprises adopt the Guide voluntarily, with no mandatory compliance obligations or penalties for non-compliance)</t>
        </is>
      </c>
      <c r="AN23" s="610" t="inlineStr">
        <is>
          <t>N/A (this instrument is a voluntary information tool; it indirectly reduces emissions by guiding enterprises to voluntarily adopt green procurement practices, and has no directly quantifiable emission coverage)</t>
        </is>
      </c>
      <c r="AO23" s="610" t="inlineStr">
        <is>
          <t>N/A (this instrument is an indirect voluntary tool with no direct GHG emission coverage share)</t>
        </is>
      </c>
      <c r="AP23" s="610" t="inlineStr">
        <is>
          <t>C10; C11; C12; C13; C14; C15; C16; C17; C18; C19; C20; C21; C22; C23; C24; C25; C26; C27; C28; C29; C30; C31; C32; C33</t>
        </is>
      </c>
      <c r="AQ23" s="610" t="inlineStr">
        <is>
          <t>CO2; CH4; N2O</t>
        </is>
      </c>
      <c r="AR23" s="610" t="inlineStr">
        <is>
          <t>Positive</t>
        </is>
      </c>
      <c r="AS23" s="610" t="inlineStr">
        <is>
          <t>Industrial development; Pollution control; Resource conservation; Circular economy</t>
        </is>
      </c>
      <c r="AT23" s="610" t="inlineStr">
        <is>
          <t>Notice of the Ministry of Commerce, the Ministry of Environmental Protection and the Ministry of Industry and Information Technology on Printing and Distributing the Enterprise Green Procurement Guide (Trial) (Shang Liu Tong Han [2014] No. 973)</t>
        </is>
      </c>
      <c r="AU23" s="610" t="inlineStr">
        <is>
          <t>https://www.mee.gov.cn/gkml/hbb/gwy/201412/t20141226_293493.htm</t>
        </is>
      </c>
      <c r="AV23" s="610" t="inlineStr">
        <is>
          <t>https://policy.mofcom.gov.cn/claw/clawContent.shtml?id=6413</t>
        </is>
      </c>
      <c r="AW23" s="610" t="inlineStr"/>
    </row>
    <row r="24">
      <c r="A24" s="610" t="inlineStr">
        <is>
          <t>CHNVIIVCNI01S000</t>
        </is>
      </c>
      <c r="B24" s="610" t="inlineStr">
        <is>
          <t>Instrument</t>
        </is>
      </c>
      <c r="C24" s="610" t="inlineStr">
        <is>
          <t>Voluntary information instrument</t>
        </is>
      </c>
      <c r="D24" s="610" t="inlineStr">
        <is>
          <t>Voluntary carbon neutrality methodology</t>
        </is>
      </c>
      <c r="E24" s="610" t="inlineStr">
        <is>
          <t>Cross-sectoral</t>
        </is>
      </c>
      <c r="F24" s="610" t="inlineStr">
        <is>
          <t>N/A</t>
        </is>
      </c>
      <c r="G24" s="610" t="inlineStr">
        <is>
          <t>大型活动碳中和实施指南</t>
        </is>
      </c>
      <c r="H24" s="610" t="inlineStr">
        <is>
          <t>Implementation Guide for Carbon Neutrality of Large-Scale Events</t>
        </is>
      </c>
      <c r="I24" s="610" t="inlineStr">
        <is>
          <t>N/A</t>
        </is>
      </c>
      <c r="J24" s="610"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610" t="inlineStr">
        <is>
          <t>Climate change mitigation</t>
        </is>
      </c>
      <c r="L24" s="610" t="inlineStr">
        <is>
          <t>Direct</t>
        </is>
      </c>
      <c r="M24" s="610" t="inlineStr">
        <is>
          <t>national</t>
        </is>
      </c>
      <c r="N24" s="610" t="inlineStr">
        <is>
          <t>N/A</t>
        </is>
      </c>
      <c r="O24" s="610" t="inlineStr">
        <is>
          <t>29/05/2019</t>
        </is>
      </c>
      <c r="P24" s="610" t="inlineStr">
        <is>
          <t>29/05/2019</t>
        </is>
      </c>
      <c r="Q24" s="610" t="inlineStr">
        <is>
          <t>N/A</t>
        </is>
      </c>
      <c r="R24" s="610" t="inlineStr">
        <is>
          <t>N/A</t>
        </is>
      </c>
      <c r="S24" s="610" t="inlineStr">
        <is>
          <t>N/A</t>
        </is>
      </c>
      <c r="T24" s="610">
        <f>IF(P24="","In force",IF(P24="N/A","In force",IF(TODAY()&lt;DATE(VALUE(RIGHT(P24,4)),VALUE(MID(P24,4,2)),VALUE(LEFT(P24,2))),"Scheduled",IF(Q24="","In force",IF(Q24="N/A","In force",IF(TODAY()&lt;DATE(VALUE(RIGHT(Q24,4)),VALUE(MID(Q24,4,2)),VALUE(LEFT(Q24,2))),"In force","Ended"))))))</f>
        <v/>
      </c>
      <c r="U24" s="610" t="inlineStr">
        <is>
          <t>Ministry of Ecology and Environment (Department of Climate Change)</t>
        </is>
      </c>
      <c r="V24" s="610" t="inlineStr">
        <is>
          <t>Large-scale events (performances, sports events, conferences, exhibitions, celebrations, etc.)</t>
        </is>
      </c>
      <c r="W24" s="610" t="inlineStr">
        <is>
          <t>N/A</t>
        </is>
      </c>
      <c r="X24" s="610"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Y24" s="610" t="inlineStr">
        <is>
          <t>N/A</t>
        </is>
      </c>
      <c r="Z24" s="610" t="inlineStr">
        <is>
          <t>N/A</t>
        </is>
      </c>
      <c r="AA24" s="610" t="inlineStr">
        <is>
          <t>Firms</t>
        </is>
      </c>
      <c r="AB24" s="610"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C24" s="610" t="inlineStr">
        <is>
          <t>Consumption (use, ownership or capital formation)</t>
        </is>
      </c>
      <c r="AD24" s="610"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E24" s="610" t="inlineStr">
        <is>
          <t>N/A</t>
        </is>
      </c>
      <c r="AF24" s="610" t="inlineStr">
        <is>
          <t>N/A</t>
        </is>
      </c>
      <c r="AG24" s="610" t="inlineStr">
        <is>
          <t>N/A</t>
        </is>
      </c>
      <c r="AH24" s="610"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I24" s="610" t="inlineStr">
        <is>
          <t>N/A</t>
        </is>
      </c>
      <c r="AJ24" s="610" t="inlineStr">
        <is>
          <t>N/A</t>
        </is>
      </c>
      <c r="AK24" s="610"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L24" s="610"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M24" s="610" t="inlineStr">
        <is>
          <t>N/A (this instrument is a voluntary carbon neutrality methodology  guide; no sanctions for non-compliance apply)</t>
        </is>
      </c>
      <c r="AN24" s="610" t="inlineStr">
        <is>
          <t>N/A (this instrument is a voluntary carbon neutrality methodology  instrument; carbon emission coverage depends on the scale and  extent of voluntary adoption by event organisers, and has no  directly quantifiable fixed coverage)</t>
        </is>
      </c>
      <c r="AO24" s="610" t="inlineStr">
        <is>
          <t>N/A (this instrument is voluntary; carbon emission coverage share  depends on voluntary adoption)</t>
        </is>
      </c>
      <c r="AP24" s="610" t="inlineStr">
        <is>
          <t>R93; S94</t>
        </is>
      </c>
      <c r="AQ24" s="610" t="inlineStr">
        <is>
          <t>CO2; CH4; N2O</t>
        </is>
      </c>
      <c r="AR24" s="610" t="inlineStr">
        <is>
          <t>Positive</t>
        </is>
      </c>
      <c r="AS24" s="610" t="inlineStr">
        <is>
          <t>Public health; Industrial development; Pollution control</t>
        </is>
      </c>
      <c r="AT24" s="610" t="inlineStr">
        <is>
          <t>Announcement on Issuing the Implementation Guide for Carbon  Neutrality of Large-Scale Events (Trial) (MEE Announcement 2019  No. 19)</t>
        </is>
      </c>
      <c r="AU24" s="610" t="inlineStr">
        <is>
          <t>https://www.mee.gov.cn/xxgk2018/xxgk/xxgk01/201906/t20190617_706706.html</t>
        </is>
      </c>
      <c r="AV24" s="610" t="inlineStr">
        <is>
          <t>https://www.gov.cn/gongbao/content/2019/content_5430516.htm</t>
        </is>
      </c>
      <c r="AW24" s="610" t="inlineStr"/>
    </row>
    <row r="25">
      <c r="A25" s="610" t="inlineStr">
        <is>
          <t>CHNVIIVIDI01S000</t>
        </is>
      </c>
      <c r="B25" s="610" t="inlineStr">
        <is>
          <t>Instrument</t>
        </is>
      </c>
      <c r="C25" s="610" t="inlineStr">
        <is>
          <t>Voluntary information instrument</t>
        </is>
      </c>
      <c r="D25" s="610" t="inlineStr">
        <is>
          <t>Voluntary information disclosure</t>
        </is>
      </c>
      <c r="E25" s="610" t="inlineStr">
        <is>
          <t>Cross-sectoral</t>
        </is>
      </c>
      <c r="F25" s="610" t="inlineStr">
        <is>
          <t>N/A</t>
        </is>
      </c>
      <c r="G25" s="610" t="inlineStr">
        <is>
          <t>企业可持续披露准则</t>
        </is>
      </c>
      <c r="H25" s="610" t="inlineStr">
        <is>
          <t>Corporate Sustainability Disclosure Standards</t>
        </is>
      </c>
      <c r="I25" s="610" t="inlineStr">
        <is>
          <t>N/A</t>
        </is>
      </c>
      <c r="J25" s="610"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610" t="inlineStr">
        <is>
          <t>Information disclosure</t>
        </is>
      </c>
      <c r="L25" s="610" t="inlineStr">
        <is>
          <t>Indirect</t>
        </is>
      </c>
      <c r="M25" s="610" t="inlineStr">
        <is>
          <t>national</t>
        </is>
      </c>
      <c r="N25" s="610" t="inlineStr">
        <is>
          <t>N/A</t>
        </is>
      </c>
      <c r="O25" s="610" t="inlineStr">
        <is>
          <t>20/11/2024</t>
        </is>
      </c>
      <c r="P25" s="610" t="inlineStr">
        <is>
          <t>17/12/2024</t>
        </is>
      </c>
      <c r="Q25" s="610" t="inlineStr">
        <is>
          <t>N/A</t>
        </is>
      </c>
      <c r="R25" s="610" t="inlineStr">
        <is>
          <t>19/12/2025</t>
        </is>
      </c>
      <c r="S25" s="610"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T25" s="610">
        <f>IF(P25="","In force",IF(P25="N/A","In force",IF(TODAY()&lt;DATE(VALUE(RIGHT(P25,4)),VALUE(MID(P25,4,2)),VALUE(LEFT(P25,2))),"Scheduled",IF(Q25="","In force",IF(Q25="N/A","In force",IF(TODAY()&lt;DATE(VALUE(RIGHT(Q25,4)),VALUE(MID(Q25,4,2)),VALUE(LEFT(Q25,2))),"In force","Ended"))))))</f>
        <v/>
      </c>
      <c r="U25" s="610"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V25" s="610" t="inlineStr">
        <is>
          <t>Sustainability/ESG information (disclosure object)</t>
        </is>
      </c>
      <c r="W25" s="610" t="inlineStr">
        <is>
          <t>N/A</t>
        </is>
      </c>
      <c r="X25" s="610"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Y25" s="610" t="inlineStr">
        <is>
          <t>N/A</t>
        </is>
      </c>
      <c r="Z25" s="610" t="inlineStr">
        <is>
          <t>N/A</t>
        </is>
      </c>
      <c r="AA25" s="610" t="inlineStr">
        <is>
          <t>Firms</t>
        </is>
      </c>
      <c r="AB25" s="610"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C25" s="610" t="inlineStr">
        <is>
          <t>Registration, licensing or other administrative tasks</t>
        </is>
      </c>
      <c r="AD25" s="610"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E25" s="610" t="inlineStr">
        <is>
          <t>N/A</t>
        </is>
      </c>
      <c r="AF25" s="610" t="inlineStr">
        <is>
          <t>N/A</t>
        </is>
      </c>
      <c r="AG25" s="610" t="inlineStr">
        <is>
          <t>N/A</t>
        </is>
      </c>
      <c r="AH25" s="610"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I25" s="610" t="inlineStr">
        <is>
          <t>N/A</t>
        </is>
      </c>
      <c r="AJ25" s="610" t="inlineStr">
        <is>
          <t>N/A</t>
        </is>
      </c>
      <c r="AK25" s="610"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L25" s="610"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M25" s="610" t="inlineStr">
        <is>
          <t>N/A (voluntary disclosure standards; no non-compliance sanctions. At the current stage, enterprises implement the standards voluntarily; there are no mandatory compliance obligations or penalties.)</t>
        </is>
      </c>
      <c r="AN25" s="610"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O25" s="610" t="inlineStr">
        <is>
          <t>N/A (this instrument is a voluntary tool; the share of GHG emissions covered depends on voluntary uptake)</t>
        </is>
      </c>
      <c r="AP25" s="610" t="inlineStr">
        <is>
          <t>M72</t>
        </is>
      </c>
      <c r="AQ25" s="610" t="inlineStr">
        <is>
          <t>CO2; CH4; N2O</t>
        </is>
      </c>
      <c r="AR25" s="610" t="inlineStr">
        <is>
          <t>Positive</t>
        </is>
      </c>
      <c r="AS25" s="610" t="inlineStr">
        <is>
          <t>Technological innovation; Industrial development; Energy conservation</t>
        </is>
      </c>
      <c r="AT25" s="610" t="inlineStr">
        <is>
          <t>Notice of the Ministry of Finance and Other Departments on Issuing the Corporate Sustainability Disclosure Standards — Basic Standards (Trial) (Cai Kuai [2024] No. 17)</t>
        </is>
      </c>
      <c r="AU25" s="610" t="inlineStr">
        <is>
          <t>http://kjs.mof.gov.cn/zhengcefabu/202412/t20241216_3949745.htm</t>
        </is>
      </c>
      <c r="AV25" s="610" t="inlineStr">
        <is>
          <t>https://www.casc.org.cn/2025/1225/278706.shtml</t>
        </is>
      </c>
      <c r="AW25" s="610" t="inlineStr"/>
    </row>
    <row r="26">
      <c r="A26" s="610" t="inlineStr">
        <is>
          <t>CHNVIIVIDI02S000</t>
        </is>
      </c>
      <c r="B26" s="610" t="inlineStr">
        <is>
          <t>Instrument</t>
        </is>
      </c>
      <c r="C26" s="610" t="inlineStr">
        <is>
          <t>Voluntary information instrument</t>
        </is>
      </c>
      <c r="D26" s="610" t="inlineStr">
        <is>
          <t>Voluntary information disclosure</t>
        </is>
      </c>
      <c r="E26" s="610" t="inlineStr">
        <is>
          <t>Cross-sectoral</t>
        </is>
      </c>
      <c r="F26" s="610" t="inlineStr">
        <is>
          <t>N/A</t>
        </is>
      </c>
      <c r="G26" s="610" t="inlineStr">
        <is>
          <t>金融机构环境信息披露指南</t>
        </is>
      </c>
      <c r="H26" s="610" t="inlineStr">
        <is>
          <t>Environmental Information Disclosure Guidelines for Financial Institutions</t>
        </is>
      </c>
      <c r="I26" s="610" t="inlineStr">
        <is>
          <t>N/A</t>
        </is>
      </c>
      <c r="J26" s="610"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610" t="inlineStr">
        <is>
          <t>Information disclosure; Green finance</t>
        </is>
      </c>
      <c r="L26" s="610" t="inlineStr">
        <is>
          <t>Indirect</t>
        </is>
      </c>
      <c r="M26" s="610" t="inlineStr">
        <is>
          <t>national</t>
        </is>
      </c>
      <c r="N26" s="610" t="inlineStr">
        <is>
          <t>N/A</t>
        </is>
      </c>
      <c r="O26" s="610" t="inlineStr">
        <is>
          <t>22/07/2021</t>
        </is>
      </c>
      <c r="P26" s="610" t="inlineStr">
        <is>
          <t>22/07/2021</t>
        </is>
      </c>
      <c r="Q26" s="610" t="inlineStr">
        <is>
          <t>N/A</t>
        </is>
      </c>
      <c r="R26" s="610" t="inlineStr">
        <is>
          <t>N/A</t>
        </is>
      </c>
      <c r="S26" s="610" t="inlineStr">
        <is>
          <t>N/A</t>
        </is>
      </c>
      <c r="T26" s="610">
        <f>IF(P26="","In force",IF(P26="N/A","In force",IF(TODAY()&lt;DATE(VALUE(RIGHT(P26,4)),VALUE(MID(P26,4,2)),VALUE(LEFT(P26,2))),"Scheduled",IF(Q26="","In force",IF(Q26="N/A","In force",IF(TODAY()&lt;DATE(VALUE(RIGHT(Q26,4)),VALUE(MID(Q26,4,2)),VALUE(LEFT(Q26,2))),"In force","Ended"))))))</f>
        <v/>
      </c>
      <c r="U26" s="610" t="inlineStr">
        <is>
          <t>People's Bank of China (Research Bureau, Science and Technology Department); National Financial Standardisation Technical Committee (SAC/TC 180)</t>
        </is>
      </c>
      <c r="V26" s="610" t="inlineStr">
        <is>
          <t>Environmental information (disclosure object)</t>
        </is>
      </c>
      <c r="W26" s="610" t="inlineStr">
        <is>
          <t>N/A</t>
        </is>
      </c>
      <c r="X26" s="610"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Y26" s="610" t="inlineStr">
        <is>
          <t>N/A</t>
        </is>
      </c>
      <c r="Z26" s="610" t="inlineStr">
        <is>
          <t>N/A</t>
        </is>
      </c>
      <c r="AA26" s="610" t="inlineStr">
        <is>
          <t>Firms</t>
        </is>
      </c>
      <c r="AB26" s="610"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C26" s="610" t="inlineStr">
        <is>
          <t>Registration, licensing or other administrative tasks</t>
        </is>
      </c>
      <c r="AD26" s="610"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E26" s="610" t="inlineStr">
        <is>
          <t>N/A</t>
        </is>
      </c>
      <c r="AF26" s="610" t="inlineStr">
        <is>
          <t>N/A</t>
        </is>
      </c>
      <c r="AG26" s="610" t="inlineStr">
        <is>
          <t>N/A</t>
        </is>
      </c>
      <c r="AH26" s="610"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I26" s="610" t="inlineStr">
        <is>
          <t>N/A</t>
        </is>
      </c>
      <c r="AJ26" s="610" t="inlineStr">
        <is>
          <t>N/A</t>
        </is>
      </c>
      <c r="AK26" s="610"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L26" s="610"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M26" s="610" t="inlineStr">
        <is>
          <t>N/A (recommended industry standard; no non-compliance sanctions. Financial institutions adopt the standard voluntarily; there are no mandatory compliance obligations or penalties.)</t>
        </is>
      </c>
      <c r="AN26" s="610"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O26" s="610" t="inlineStr">
        <is>
          <t>N/A (this instrument is a voluntary tool; the share of GHG emissions covered depends on voluntary uptake)</t>
        </is>
      </c>
      <c r="AP26" s="610" t="inlineStr">
        <is>
          <t>K64</t>
        </is>
      </c>
      <c r="AQ26" s="610" t="inlineStr">
        <is>
          <t>CO2; CH4; N2O</t>
        </is>
      </c>
      <c r="AR26" s="610" t="inlineStr">
        <is>
          <t>Positive</t>
        </is>
      </c>
      <c r="AS26" s="610" t="inlineStr">
        <is>
          <t>Industrial development; Technological innovation; Energy conservation; Pollution control</t>
        </is>
      </c>
      <c r="AT26" s="610" t="inlineStr">
        <is>
          <t>Environmental Information Disclosure Guidelines for Financial Institutions (JR/T 0227—2021) issued by the People's Bank of China</t>
        </is>
      </c>
      <c r="AU26" s="610" t="inlineStr">
        <is>
          <t>https://std.samr.gov.cn/hb/search/stdHBDetailed?id=C8CBBCAE2F3D5981E05397BE0A0AB29C</t>
        </is>
      </c>
      <c r="AV26" s="610" t="inlineStr">
        <is>
          <t>N/A</t>
        </is>
      </c>
      <c r="AW26" s="610" t="inlineStr"/>
    </row>
    <row r="27">
      <c r="A27" s="610" t="inlineStr">
        <is>
          <t>CHNVIIVLBI01S000</t>
        </is>
      </c>
      <c r="B27" s="610" t="inlineStr">
        <is>
          <t>Instrument</t>
        </is>
      </c>
      <c r="C27" s="610" t="inlineStr">
        <is>
          <t>Voluntary information instrument</t>
        </is>
      </c>
      <c r="D27" s="610" t="inlineStr">
        <is>
          <t>Voluntary certification and labelling scheme</t>
        </is>
      </c>
      <c r="E27" s="610" t="inlineStr">
        <is>
          <t>Cross-sectoral</t>
        </is>
      </c>
      <c r="F27" s="610" t="inlineStr">
        <is>
          <t>N/A</t>
        </is>
      </c>
      <c r="G27" s="610" t="inlineStr">
        <is>
          <t>节能低碳产品认证</t>
        </is>
      </c>
      <c r="H27" s="610" t="inlineStr">
        <is>
          <t>Energy-Saving and Low-Carbon Product Certification</t>
        </is>
      </c>
      <c r="I27" s="610" t="inlineStr">
        <is>
          <t>N/A</t>
        </is>
      </c>
      <c r="J27" s="610"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610" t="inlineStr">
        <is>
          <t>Energy efficiency; Climate change mitigation; Green consumption</t>
        </is>
      </c>
      <c r="L27" s="610" t="inlineStr">
        <is>
          <t>Direct</t>
        </is>
      </c>
      <c r="M27" s="610" t="inlineStr">
        <is>
          <t>national</t>
        </is>
      </c>
      <c r="N27" s="610" t="inlineStr">
        <is>
          <t>N/A</t>
        </is>
      </c>
      <c r="O27" s="610" t="inlineStr">
        <is>
          <t>11/02/1999</t>
        </is>
      </c>
      <c r="P27" s="610" t="inlineStr">
        <is>
          <t>11/02/1999</t>
        </is>
      </c>
      <c r="Q27" s="610" t="inlineStr">
        <is>
          <t>N/A</t>
        </is>
      </c>
      <c r="R27" s="610" t="inlineStr">
        <is>
          <t>23/09/2022</t>
        </is>
      </c>
      <c r="S27" s="610"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T27" s="610">
        <f>IF(P27="","In force",IF(P27="N/A","In force",IF(TODAY()&lt;DATE(VALUE(RIGHT(P27,4)),VALUE(MID(P27,4,2)),VALUE(LEFT(P27,2))),"Scheduled",IF(Q27="","In force",IF(Q27="N/A","In force",IF(TODAY()&lt;DATE(VALUE(RIGHT(Q27,4)),VALUE(MID(Q27,4,2)),VALUE(LEFT(Q27,2))),"In force","Ended"))))))</f>
        <v/>
      </c>
      <c r="U27" s="610"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V27" s="610" t="inlineStr">
        <is>
          <t>End-use energy-consuming products (energy-saving and low-carbon certification objects)</t>
        </is>
      </c>
      <c r="W27" s="610" t="inlineStr">
        <is>
          <t>New; Existing</t>
        </is>
      </c>
      <c r="X27" s="610"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Y27" s="610" t="inlineStr">
        <is>
          <t>N/A</t>
        </is>
      </c>
      <c r="Z27" s="610" t="inlineStr">
        <is>
          <t>N/A</t>
        </is>
      </c>
      <c r="AA27" s="610" t="inlineStr">
        <is>
          <t>Firms</t>
        </is>
      </c>
      <c r="AB27" s="610"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C27" s="610" t="inlineStr">
        <is>
          <t>Registration, licensing or other administrative tasks</t>
        </is>
      </c>
      <c r="AD27" s="610"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E27" s="610" t="inlineStr">
        <is>
          <t>N/A</t>
        </is>
      </c>
      <c r="AF27" s="610" t="inlineStr">
        <is>
          <t>N/A</t>
        </is>
      </c>
      <c r="AG27" s="610" t="inlineStr">
        <is>
          <t>N/A</t>
        </is>
      </c>
      <c r="AH27" s="610"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I27" s="610" t="inlineStr">
        <is>
          <t>N/A</t>
        </is>
      </c>
      <c r="AJ27" s="610" t="inlineStr">
        <is>
          <t>N/A</t>
        </is>
      </c>
      <c r="AK27" s="610"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L27" s="610"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M27" s="610"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N27" s="610"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O27" s="610" t="inlineStr">
        <is>
          <t>N/A (this instrument is a voluntary tool; the share of GHG emissions covered depends on voluntary uptake)</t>
        </is>
      </c>
      <c r="AP27" s="610" t="inlineStr">
        <is>
          <t>C10; C11; C12; C13; C14; C15; C16; C17; C18; C19; C20; C21; C22; C23; C24; C25; C26; C27; C28; C29; C30; C31; C32; C33</t>
        </is>
      </c>
      <c r="AQ27" s="610" t="inlineStr">
        <is>
          <t>CO2; CH4; N2O</t>
        </is>
      </c>
      <c r="AR27" s="610" t="inlineStr">
        <is>
          <t>Positive</t>
        </is>
      </c>
      <c r="AS27" s="610" t="inlineStr">
        <is>
          <t>Energy conservation; Pollution control; Technological innovation; Industrial development</t>
        </is>
      </c>
      <c r="AT27" s="610" t="inlineStr">
        <is>
          <t>Opinions of the General Office of the State Council on Deepening the Reform of the Management System for the Electronic and Electrical Appliances Industry (Guobanfa [2022] No. 31)</t>
        </is>
      </c>
      <c r="AU27" s="610" t="inlineStr">
        <is>
          <t>https://www.gov.cn/xinwen/2022-09/23/content_5711581.htm</t>
        </is>
      </c>
      <c r="AV27" s="610" t="inlineStr">
        <is>
          <t>https://www.ndrc.gov.cn/fggz/hjyzy/stwmjs/200507/t20050711_1159582_ext.html; https://www.ndrc.gov.cn/xxgk/zcfb/tz/201303/t20130319_964565.html</t>
        </is>
      </c>
      <c r="AW27" s="610" t="inlineStr"/>
    </row>
    <row r="28">
      <c r="A28" s="610" t="inlineStr">
        <is>
          <t>CHNVIIVLBI02S000</t>
        </is>
      </c>
      <c r="B28" s="610" t="inlineStr">
        <is>
          <t>Instrument</t>
        </is>
      </c>
      <c r="C28" s="610" t="inlineStr">
        <is>
          <t>Voluntary information instrument</t>
        </is>
      </c>
      <c r="D28" s="610" t="inlineStr">
        <is>
          <t>Voluntary certification and labelling scheme</t>
        </is>
      </c>
      <c r="E28" s="610" t="inlineStr">
        <is>
          <t>Buildings</t>
        </is>
      </c>
      <c r="F28" s="610" t="inlineStr">
        <is>
          <t>N/A</t>
        </is>
      </c>
      <c r="G28" s="610" t="inlineStr">
        <is>
          <t>绿色建筑标识</t>
        </is>
      </c>
      <c r="H28" s="610" t="inlineStr">
        <is>
          <t>Green Building Label</t>
        </is>
      </c>
      <c r="I28" s="610" t="inlineStr">
        <is>
          <t>N/A</t>
        </is>
      </c>
      <c r="J28" s="610"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610" t="inlineStr">
        <is>
          <t>Energy efficiency; Climate change mitigation</t>
        </is>
      </c>
      <c r="L28" s="610" t="inlineStr">
        <is>
          <t>Indirect</t>
        </is>
      </c>
      <c r="M28" s="610" t="inlineStr">
        <is>
          <t>national</t>
        </is>
      </c>
      <c r="N28" s="610" t="inlineStr">
        <is>
          <t>N/A</t>
        </is>
      </c>
      <c r="O28" s="610" t="inlineStr">
        <is>
          <t>10/08/2007</t>
        </is>
      </c>
      <c r="P28" s="610" t="inlineStr">
        <is>
          <t>10/08/2007</t>
        </is>
      </c>
      <c r="Q28" s="610" t="inlineStr">
        <is>
          <t>N/A</t>
        </is>
      </c>
      <c r="R28" s="610" t="inlineStr">
        <is>
          <t>01/03/2019</t>
        </is>
      </c>
      <c r="S28" s="610"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T28" s="610">
        <f>IF(P28="","In force",IF(P28="N/A","In force",IF(TODAY()&lt;DATE(VALUE(RIGHT(P28,4)),VALUE(MID(P28,4,2)),VALUE(LEFT(P28,2))),"Scheduled",IF(Q28="","In force",IF(Q28="N/A","In force",IF(TODAY()&lt;DATE(VALUE(RIGHT(Q28,4)),VALUE(MID(Q28,4,2)),VALUE(LEFT(Q28,2))),"In force","Ended"))))))</f>
        <v/>
      </c>
      <c r="U28" s="610" t="inlineStr">
        <is>
          <t>Ministry of Housing and Urban-Rural Development (Department of Standard Quota); provincial-level, autonomous-region and municipal housing and urban-rural development authorities</t>
        </is>
      </c>
      <c r="V28" s="610" t="inlineStr">
        <is>
          <t>Buildings (green building evaluation objects)</t>
        </is>
      </c>
      <c r="W28" s="610" t="inlineStr">
        <is>
          <t>New; Existing</t>
        </is>
      </c>
      <c r="X28" s="610"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Y28" s="610" t="inlineStr">
        <is>
          <t>N/A</t>
        </is>
      </c>
      <c r="Z28" s="610" t="inlineStr">
        <is>
          <t>N/A</t>
        </is>
      </c>
      <c r="AA28" s="610" t="inlineStr">
        <is>
          <t>Firms</t>
        </is>
      </c>
      <c r="AB28" s="610"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C28" s="610" t="inlineStr">
        <is>
          <t>Registration, licensing or other administrative tasks</t>
        </is>
      </c>
      <c r="AD28" s="610"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E28" s="610" t="inlineStr">
        <is>
          <t>N/A</t>
        </is>
      </c>
      <c r="AF28" s="610" t="inlineStr">
        <is>
          <t>N/A</t>
        </is>
      </c>
      <c r="AG28" s="610" t="inlineStr">
        <is>
          <t>N/A</t>
        </is>
      </c>
      <c r="AH28" s="610"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I28" s="610" t="inlineStr">
        <is>
          <t>N/A</t>
        </is>
      </c>
      <c r="AJ28" s="610" t="inlineStr">
        <is>
          <t>N/A</t>
        </is>
      </c>
      <c r="AK28" s="610"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L28" s="610"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M28" s="610" t="inlineStr">
        <is>
          <t>N/A (voluntary building evaluation label; no non-compliance sanctions. Where falsification of application materials is discovered or operations no longer meet the requirements, the competent authority shall revoke the label.)</t>
        </is>
      </c>
      <c r="AN28" s="610"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O28" s="610" t="inlineStr">
        <is>
          <t>N/A (this instrument is a voluntary tool; the share of GHG emissions covered depends on voluntary uptake)</t>
        </is>
      </c>
      <c r="AP28" s="610" t="inlineStr">
        <is>
          <t>F41; F42; F43</t>
        </is>
      </c>
      <c r="AQ28" s="610" t="inlineStr">
        <is>
          <t>CO2; CH4; N2O</t>
        </is>
      </c>
      <c r="AR28" s="610" t="inlineStr">
        <is>
          <t>Positive</t>
        </is>
      </c>
      <c r="AS28" s="610" t="inlineStr">
        <is>
          <t>Energy conservation; Resource conservation; Pollution control; Ecological protection</t>
        </is>
      </c>
      <c r="AT28" s="610" t="inlineStr">
        <is>
          <t>Notice of the Ministry of Housing and Urban-Rural Development on Issuing the Green Building Label Administrative Measures (Jian Biao Gui [2021] No. 1)</t>
        </is>
      </c>
      <c r="AU28" s="610" t="inlineStr">
        <is>
          <t>https://www.gov.cn/zhengce/zhengceku/2021-01/17/content_5580528.htm</t>
        </is>
      </c>
      <c r="AV28" s="610" t="inlineStr">
        <is>
          <t>N/A</t>
        </is>
      </c>
      <c r="AW28" s="610" t="inlineStr"/>
    </row>
    <row r="29">
      <c r="A29" s="610" t="inlineStr">
        <is>
          <t>CHNVIIVLBI03S000</t>
        </is>
      </c>
      <c r="B29" s="610" t="inlineStr">
        <is>
          <t>Instrument</t>
        </is>
      </c>
      <c r="C29" s="610" t="inlineStr">
        <is>
          <t>Voluntary information instrument</t>
        </is>
      </c>
      <c r="D29" s="610" t="inlineStr">
        <is>
          <t>Voluntary certification and labelling scheme</t>
        </is>
      </c>
      <c r="E29" s="610" t="inlineStr">
        <is>
          <t>Cross-sectoral</t>
        </is>
      </c>
      <c r="F29" s="610" t="inlineStr">
        <is>
          <t>N/A</t>
        </is>
      </c>
      <c r="G29" s="610" t="inlineStr">
        <is>
          <t>水效领跑者制度</t>
        </is>
      </c>
      <c r="H29" s="610" t="inlineStr">
        <is>
          <t>Water Efficiency Top-Runner System</t>
        </is>
      </c>
      <c r="I29" s="610" t="inlineStr">
        <is>
          <t>N/A</t>
        </is>
      </c>
      <c r="J29" s="610"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610" t="inlineStr">
        <is>
          <t>Circular economy; Climate change mitigation</t>
        </is>
      </c>
      <c r="L29" s="610" t="inlineStr">
        <is>
          <t>Indirect</t>
        </is>
      </c>
      <c r="M29" s="610" t="inlineStr">
        <is>
          <t>national</t>
        </is>
      </c>
      <c r="N29" s="610" t="inlineStr">
        <is>
          <t>N/A</t>
        </is>
      </c>
      <c r="O29" s="610" t="inlineStr">
        <is>
          <t>21/04/2016</t>
        </is>
      </c>
      <c r="P29" s="610" t="inlineStr">
        <is>
          <t>21/04/2016</t>
        </is>
      </c>
      <c r="Q29" s="610" t="inlineStr">
        <is>
          <t>N/A</t>
        </is>
      </c>
      <c r="R29" s="610" t="inlineStr">
        <is>
          <t>N/A</t>
        </is>
      </c>
      <c r="S29" s="610" t="inlineStr">
        <is>
          <t>N/A</t>
        </is>
      </c>
      <c r="T29" s="610">
        <f>IF(P29="","In force",IF(P29="N/A","In force",IF(TODAY()&lt;DATE(VALUE(RIGHT(P29,4)),VALUE(MID(P29,4,2)),VALUE(LEFT(P29,2))),"Scheduled",IF(Q29="","In force",IF(Q29="N/A","In force",IF(TODAY()&lt;DATE(VALUE(RIGHT(Q29,4)),VALUE(MID(Q29,4,2)),VALUE(LEFT(Q29,2))),"In force","Ended"))))))</f>
        <v/>
      </c>
      <c r="U29" s="610"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V29" s="610"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W29" s="610" t="inlineStr">
        <is>
          <t>Existing</t>
        </is>
      </c>
      <c r="X29" s="610"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Y29" s="610" t="inlineStr">
        <is>
          <t>N/A</t>
        </is>
      </c>
      <c r="Z29" s="610" t="inlineStr">
        <is>
          <t>N/A</t>
        </is>
      </c>
      <c r="AA29" s="610" t="inlineStr">
        <is>
          <t>Firms; Governments</t>
        </is>
      </c>
      <c r="AB29" s="610"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C29" s="610" t="inlineStr">
        <is>
          <t>Registration, licensing or other administrative tasks</t>
        </is>
      </c>
      <c r="AD29" s="610"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E29" s="610" t="inlineStr">
        <is>
          <t>N/A</t>
        </is>
      </c>
      <c r="AF29" s="610" t="inlineStr">
        <is>
          <t>N/A</t>
        </is>
      </c>
      <c r="AG29" s="610" t="inlineStr">
        <is>
          <t>N/A</t>
        </is>
      </c>
      <c r="AH29" s="610"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I29" s="610" t="inlineStr">
        <is>
          <t>N/A</t>
        </is>
      </c>
      <c r="AJ29" s="610" t="inlineStr">
        <is>
          <t>N/A</t>
        </is>
      </c>
      <c r="AK29" s="610"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L29" s="610"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M29" s="610"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N29" s="610"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O29" s="610" t="inlineStr">
        <is>
          <t>N/A (this instrument is a voluntary tool; the share of GHG emissions covered depends on voluntary uptake)</t>
        </is>
      </c>
      <c r="AP29" s="610" t="inlineStr">
        <is>
          <t>A01; C13; C17; C19; C20; C23; C24; C27; D35; O84; P85; Q86</t>
        </is>
      </c>
      <c r="AQ29" s="610" t="inlineStr">
        <is>
          <t>CO2</t>
        </is>
      </c>
      <c r="AR29" s="610" t="inlineStr">
        <is>
          <t>Positive</t>
        </is>
      </c>
      <c r="AS29" s="610" t="inlineStr">
        <is>
          <t>Resource conservation; Energy conservation; Pollution control</t>
        </is>
      </c>
      <c r="AT29" s="610"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U29" s="610" t="inlineStr">
        <is>
          <t>https://zfxxgk.ndrc.gov.cn/web/iteminfo.jsp?id=2443</t>
        </is>
      </c>
      <c r="AV29" s="610" t="inlineStr">
        <is>
          <t>N/A</t>
        </is>
      </c>
      <c r="AW29" s="610" t="inlineStr"/>
    </row>
    <row r="30">
      <c r="A30" s="610" t="inlineStr">
        <is>
          <t>CHNVIIVLBI04S000</t>
        </is>
      </c>
      <c r="B30" s="610" t="inlineStr">
        <is>
          <t>Instrument</t>
        </is>
      </c>
      <c r="C30" s="610" t="inlineStr">
        <is>
          <t>Voluntary information instrument</t>
        </is>
      </c>
      <c r="D30" s="610" t="inlineStr">
        <is>
          <t>Voluntary certification and labelling scheme</t>
        </is>
      </c>
      <c r="E30" s="610" t="inlineStr">
        <is>
          <t>Cross-sectoral; Industry</t>
        </is>
      </c>
      <c r="F30" s="610" t="inlineStr">
        <is>
          <t>N/A</t>
        </is>
      </c>
      <c r="G30" s="610" t="inlineStr">
        <is>
          <t>能效、碳效领跑者制度</t>
        </is>
      </c>
      <c r="H30" s="610" t="inlineStr">
        <is>
          <t>Energy Efficiency and Carbon Efficiency Top-Runner Programme</t>
        </is>
      </c>
      <c r="I30" s="610" t="inlineStr">
        <is>
          <t>N/A</t>
        </is>
      </c>
      <c r="J30" s="610" t="inlineStr">
        <is>
          <t>The Energy Efficiency and Carbon Efficiency Top-Runner Programme is a voluntary benchmarking programme established and implemented under the leadership of the National Development and Reform Commission. It periodically selects and publishes top runners with the highest energy efficiency or carbon efficiency levels, and uses their performance levels as industry benchmarks and catch-up targets to guide energy users in benchmarking and competition, thereby driving the continuous improvement of overall energy efficiency and carbon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Following the abolition of the product selection track in 2022, it now comprises two subschemes: (1) the Energy Efficiency Top-Runner, covering high-energy-consuming industry enterprises (expanded to 43 sub-sectors in the 2026 round) and public institutions, benchmarked on energy efficiency indicators such as unit product comprehensive energy consumption (see subscheme S001); (2) the Carbon Efficiency Top-Runner, first established in the 2026 round, covering five sub-sectors — electrolytic aluminium, cement clinker, synthetic ammonia, ethylene and methanol — benchmarked against product carbon footprint accounting rules under national or group standards (see subscheme S002). Top-runner lists are published by the competent government authorities following voluntary application, local recommendation, expert review and public notification. Participation is voluntary, with no mandatory compliance obligations or penalties.</t>
        </is>
      </c>
      <c r="K30" s="610" t="inlineStr">
        <is>
          <t>Energy efficiency; Climate change mitigation</t>
        </is>
      </c>
      <c r="L30" s="610" t="inlineStr">
        <is>
          <t>Direct</t>
        </is>
      </c>
      <c r="M30" s="610" t="inlineStr">
        <is>
          <t>national</t>
        </is>
      </c>
      <c r="N30" s="610" t="inlineStr">
        <is>
          <t>N/A</t>
        </is>
      </c>
      <c r="O30" s="610" t="inlineStr">
        <is>
          <t>31/12/2014</t>
        </is>
      </c>
      <c r="P30" s="610" t="inlineStr">
        <is>
          <t>01/01/2015</t>
        </is>
      </c>
      <c r="Q30" s="610" t="inlineStr">
        <is>
          <t>N/A</t>
        </is>
      </c>
      <c r="R30" s="610" t="inlineStr">
        <is>
          <t>30/07/2026</t>
        </is>
      </c>
      <c r="S30" s="610"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T30" s="610">
        <f>IF(P30="","In force",IF(P30="N/A","In force",IF(TODAY()&lt;DATE(VALUE(RIGHT(P30,4)),VALUE(MID(P30,4,2)),VALUE(LEFT(P30,2))),"Scheduled",IF(Q30="","In force",IF(Q30="N/A","In force",IF(TODAY()&lt;DATE(VALUE(RIGHT(Q30,4)),VALUE(MID(Q30,4,2)),VALUE(LEFT(Q30,2))),"In force","Ended"))))))</f>
        <v/>
      </c>
      <c r="U30" s="610"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 Department of Metrology)</t>
        </is>
      </c>
      <c r="V30" s="610" t="inlineStr">
        <is>
          <t>High-energy-consuming enterprises / public institutions (energy efficiency top-runner designation objects); industrial enterprises in key industries (carbon efficiency top-runner designation objects)</t>
        </is>
      </c>
      <c r="W30" s="610" t="inlineStr">
        <is>
          <t>New; Existing</t>
        </is>
      </c>
      <c r="X30" s="610" t="inlineStr">
        <is>
          <t>This instrument covers the top-runner selection under two subschemes: (1) Energy Efficiency Top-Runner — high-energy-consuming industry enterprises, with unit product comprehensive energy consumption as the selection basis (expanded to 43 sub-sectors in the 2026 round), and public institutions (state organs, schools, hospitals, etc.), with per-unit-floor-area energy consumption and per-capita energy consumption as the selection basis (see subscheme S001); (2) Carbon Efficiency Top-Runner — industrial enterprises in five sub-sectors (electrolytic aluminium, cement clinker, synthetic ammonia, ethylene and methanol), benchmarked on product carbon footprint (see subscheme S002). Top runners in each category are selected and published on a regular basis. The end-use energy-consuming product top-runner selection was abolished in September 2022 (Guobanfa [2022] No. 31).</t>
        </is>
      </c>
      <c r="Y30" s="610" t="inlineStr">
        <is>
          <t>N/A</t>
        </is>
      </c>
      <c r="Z30" s="610" t="inlineStr">
        <is>
          <t>N/A</t>
        </is>
      </c>
      <c r="AA30" s="610" t="inlineStr">
        <is>
          <t>Firms</t>
        </is>
      </c>
      <c r="AB30" s="610" t="inlineStr">
        <is>
          <t>Enterprises in high-energy-consuming industries and public institutions (Energy Efficiency Top-Runner) and industrial enterprises in five key sub-sectors (Carbon Efficiency Top-Runner) may voluntarily apply, and be selected following preliminary review, expert review and public notification. Participation is voluntary, with no mandatory compliance obligations. The end-use energy-consuming product top-runner selection was abolished in September 2022.</t>
        </is>
      </c>
      <c r="AC30" s="610" t="inlineStr">
        <is>
          <t>Registration, licensing or other administrative tasks</t>
        </is>
      </c>
      <c r="AD30" s="610" t="inlineStr">
        <is>
          <t>The activity regulated and guided by this instrument is the voluntary application, selection and publication process for energy efficiency and carbon efficiency top runners (see subschemes S001 and S002). Top-runner lists are valid for approximately two years, after which re-selection takes place. Participation is voluntary.</t>
        </is>
      </c>
      <c r="AE30" s="610" t="inlineStr">
        <is>
          <t>N/A</t>
        </is>
      </c>
      <c r="AF30" s="610" t="inlineStr">
        <is>
          <t>N/A</t>
        </is>
      </c>
      <c r="AG30" s="610" t="inlineStr">
        <is>
          <t>N/A</t>
        </is>
      </c>
      <c r="AH30" s="610" t="inlineStr">
        <is>
          <t>1) Energy Efficiency Top-Runner: the unit product energy consumption of high-energy-consuming industry enterprises must reach the industry advanced level, and public institutions must reach the advanced level of energy and resource consumption for the corresponding category (see subscheme S001); 2) Carbon Efficiency Top-Runner: applicant enterprises must have annual energy consumption exceeding 10,000 tonnes of standard coal equivalent or annual carbon dioxide emissions exceeding 26,000 tonnes of CO2 equivalent, unit product energy efficiency reaching or exceeding Level 1 (advanced value) of the energy consumption limit standards and the benchmark level, a green electricity consumption share meeting the prescribed requirements, and be benchmarked against the product carbon footprint accounting rules (see subscheme S002); 3) Selection is through voluntary application, local recommendation, expert review and public notification; 4) Participation is voluntary, with no mandatory compliance obligations or penalties.</t>
        </is>
      </c>
      <c r="AI30" s="610" t="inlineStr">
        <is>
          <t>N/A</t>
        </is>
      </c>
      <c r="AJ30" s="610" t="inlineStr">
        <is>
          <t>N/A</t>
        </is>
      </c>
      <c r="AK30" s="610" t="inlineStr">
        <is>
          <t>Selected top-runner enterprises and public institutions are published in national-level lists and receive media publicity and promotion, enhancing brand image and industry influence; they receive priority recommendation for inclusion in relevant demonstration lists; some localities provide commendation and financial awards (see subschemes S001 and S002).</t>
        </is>
      </c>
      <c r="AL30" s="610" t="inlineStr">
        <is>
          <t>Selected energy efficiency and carbon efficiency top runners are subject to dynamic management; those that no longer meet the top-runner conditions or are found to have engaged in falsification have their qualification revoked and are publicly announced. The competent authorities organise a new round of recommendation and designation every year (see subschemes S001 and S002).</t>
        </is>
      </c>
      <c r="AM30" s="610" t="inlineStr">
        <is>
          <t>N/A (voluntary programme; no non-compliance sanctions. Those that no longer meet the top-runner conditions or are found to have engaged in falsification shall have their top-runner qualification revoked and be publicly announced.)</t>
        </is>
      </c>
      <c r="AN30" s="610"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O30" s="610" t="inlineStr">
        <is>
          <t>N/A (this instrument is a voluntary tool; the share of GHG emissions covered depends on voluntary uptake)</t>
        </is>
      </c>
      <c r="AP30" s="610" t="inlineStr">
        <is>
          <t>C19; C20; C23; C24; D35; O84; P85; Q86</t>
        </is>
      </c>
      <c r="AQ30" s="610" t="inlineStr">
        <is>
          <t>CO2; CH4; N2O</t>
        </is>
      </c>
      <c r="AR30" s="610" t="inlineStr">
        <is>
          <t>Positive</t>
        </is>
      </c>
      <c r="AS30" s="610" t="inlineStr">
        <is>
          <t>Energy conservation; Technological innovation; Industrial development; Pollution control</t>
        </is>
      </c>
      <c r="AT30" s="610"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U30" s="610" t="inlineStr">
        <is>
          <t>https://www.ndrc.gov.cn/xxgk/zcfb/tz/201501/t20150108_963728.html</t>
        </is>
      </c>
      <c r="AV30" s="610" t="inlineStr">
        <is>
          <t>https://wap.miit.gov.cn/zwgk/zcwj/wjfb/tz/art/2026/art_277a824ef0ae478faf7dc2d4f14b5db6.html</t>
        </is>
      </c>
      <c r="AW30" s="610" t="inlineStr"/>
    </row>
    <row r="31">
      <c r="A31" s="464" t="inlineStr">
        <is>
          <t>CHNVIIVLBI04S001</t>
        </is>
      </c>
      <c r="B31" s="464" t="inlineStr">
        <is>
          <t>Subscheme</t>
        </is>
      </c>
      <c r="C31" s="464" t="inlineStr">
        <is>
          <t>Voluntary information instrument</t>
        </is>
      </c>
      <c r="D31" s="464" t="inlineStr">
        <is>
          <t>Voluntary certification and labelling scheme</t>
        </is>
      </c>
      <c r="E31" s="464" t="inlineStr">
        <is>
          <t>Cross-sectoral; Industry</t>
        </is>
      </c>
      <c r="F31" s="464" t="inlineStr">
        <is>
          <t>N/A</t>
        </is>
      </c>
      <c r="G31" s="464" t="inlineStr">
        <is>
          <t>能效领跑者</t>
        </is>
      </c>
      <c r="H31" s="464" t="inlineStr">
        <is>
          <t>Energy Efficiency Top-Runner</t>
        </is>
      </c>
      <c r="I31" s="464" t="inlineStr">
        <is>
          <t>Energy Efficiency and Carbon Efficiency Top-Runner Programme</t>
        </is>
      </c>
      <c r="J31" s="464" t="inlineStr">
        <is>
          <t>The Energy Efficiency Top-Runner is the voluntary benchmarking and designation mechanism implemented under the Energy Efficiency and Carbon Efficiency Top-Runner Programme since 2014.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and competition, thereby driving the continuous improvement of overall energy efficiency. The mechanism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product selection track; the enterprise and public institution tracks continue. It now focuses on two categories: (1) High-energy-consuming industry top runners — enterprises whose unit product energy consumption reaches the industry advanced level, with the recommended scope expanded to 43 sub-sectors in the 2026 round, including steel, non-ferrous metals, building materials, petrochemicals, chemicals, textiles and paper-making; (2) Public institution top runners — state organs, schools, hospitals and other public institutions whose energy and resource utilisation efficiency reaches an advanced level. From the 2026 round, a green electricity consumption share requirement is added (not lower than the region's 2025 renewable electricity consumption responsibility weight and the green electricity consumption share for key energy-consuming industries), and in principle no more than 5 energy efficiency top-runner enterprises may be designated per industry. Top-runner lists are published following voluntary application, local recommendation, expert review and public notification, and are valid for approximately two years. Participation is voluntary, with no mandatory compliance obligations or penalties.</t>
        </is>
      </c>
      <c r="K31" s="464" t="inlineStr">
        <is>
          <t>Energy efficiency</t>
        </is>
      </c>
      <c r="L31" s="464" t="inlineStr">
        <is>
          <t>Indirect</t>
        </is>
      </c>
      <c r="M31" s="464" t="inlineStr">
        <is>
          <t>national</t>
        </is>
      </c>
      <c r="N31" s="464" t="inlineStr">
        <is>
          <t>N/A</t>
        </is>
      </c>
      <c r="O31" s="464" t="inlineStr">
        <is>
          <t>31/12/2014</t>
        </is>
      </c>
      <c r="P31" s="464" t="inlineStr">
        <is>
          <t>01/01/2015</t>
        </is>
      </c>
      <c r="Q31" s="464" t="inlineStr">
        <is>
          <t>N/A</t>
        </is>
      </c>
      <c r="R31" s="464" t="inlineStr">
        <is>
          <t>30/07/2026</t>
        </is>
      </c>
      <c r="S31" s="464"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On 23 September 2022, the General Office of the State Council issued the Opinions on Deepening the Reform of the Management System for the Electronic and Electrical Appliances Industry (Guobanfa [2022] No. 31), abolishing the energy efficiency top-runner product selection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and adding a green electricity consumption share requirement.</t>
        </is>
      </c>
      <c r="T31" s="464">
        <f>IF(P31="","In force",IF(P31="N/A","In force",IF(TODAY()&lt;DATE(VALUE(RIGHT(P31,4)),VALUE(MID(P31,4,2)),VALUE(LEFT(P31,2))),"Scheduled",IF(Q31="","In force",IF(Q31="N/A","In force",IF(TODAY()&lt;DATE(VALUE(RIGHT(Q31,4)),VALUE(MID(Q31,4,2)),VALUE(LEFT(Q31,2))),"In force","Ended"))))))</f>
        <v/>
      </c>
      <c r="U31" s="464"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V31" s="464" t="inlineStr">
        <is>
          <t>High-energy-consuming enterprises / public institutions (energy efficiency top-runner designation objects)</t>
        </is>
      </c>
      <c r="W31" s="464" t="inlineStr">
        <is>
          <t>New; Existing</t>
        </is>
      </c>
      <c r="X31" s="464" t="inlineStr">
        <is>
          <t>This subscheme covers two categories: (1) High-energy-consuming industry enterprises, with unit product comprehensive energy consumption as the selection basis; the 2026 round expands the recommended scope to 43 sub-sectors, including steel, cement, electrolytic aluminium, flat glass, oil refining, ethylene and synthetic ammonia; (2) Public institutions (state organs, schools, hospitals, etc.), with per-unit-floor-area energy consumption and per-capita energy consumption as the selection basis. Top runners are selected and published on a regular basis, and the list is valid for approximately two years. The end-use energy-consuming product top-runner selection was abolished in September 2022 (Guobanfa [2022] No. 31).</t>
        </is>
      </c>
      <c r="Y31" s="464" t="inlineStr">
        <is>
          <t>N/A</t>
        </is>
      </c>
      <c r="Z31" s="464" t="inlineStr">
        <is>
          <t>N/A</t>
        </is>
      </c>
      <c r="AA31" s="464" t="inlineStr">
        <is>
          <t>Firms</t>
        </is>
      </c>
      <c r="AB31" s="464"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C31" s="464" t="inlineStr">
        <is>
          <t>Registration, licensing or other administrative tasks</t>
        </is>
      </c>
      <c r="AD31" s="464"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E31" s="464" t="inlineStr">
        <is>
          <t>N/A</t>
        </is>
      </c>
      <c r="AF31" s="464" t="inlineStr">
        <is>
          <t>N/A</t>
        </is>
      </c>
      <c r="AG31" s="464" t="inlineStr">
        <is>
          <t>N/A</t>
        </is>
      </c>
      <c r="AH31" s="464"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From the 2026 round, in principle no more than 5 energy efficiency top-runner enterprises may be designated per industry; 6) Participation is voluntary.</t>
        </is>
      </c>
      <c r="AI31" s="464" t="inlineStr">
        <is>
          <t>N/A</t>
        </is>
      </c>
      <c r="AJ31" s="464" t="inlineStr">
        <is>
          <t>N/A</t>
        </is>
      </c>
      <c r="AK31" s="464"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L31" s="464"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M31" s="464" t="inlineStr">
        <is>
          <t>N/A (voluntary programme; no non-compliance sanctions. Those that no longer meet the top-runner conditions or are found to have engaged in falsification shall have their top-runner qualification revoked and be publicly announced.)</t>
        </is>
      </c>
      <c r="AN31" s="464"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O31" s="464" t="inlineStr">
        <is>
          <t>N/A (this instrument is a voluntary tool; the share of GHG emissions covered depends on voluntary uptake)</t>
        </is>
      </c>
      <c r="AP31" s="464" t="inlineStr">
        <is>
          <t>C19; C20; C23; C24; D35; O84; P85; Q86</t>
        </is>
      </c>
      <c r="AQ31" s="464" t="inlineStr">
        <is>
          <t>CO2; CH4; N2O</t>
        </is>
      </c>
      <c r="AR31" s="464" t="inlineStr">
        <is>
          <t>Positive</t>
        </is>
      </c>
      <c r="AS31" s="464" t="inlineStr">
        <is>
          <t>Energy conservation; Technological innovation; Industrial development; Pollution control</t>
        </is>
      </c>
      <c r="AT31" s="464"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U31" s="464" t="inlineStr">
        <is>
          <t>https://www.ndrc.gov.cn/xxgk/zcfb/tz/201501/t20150108_963728.html</t>
        </is>
      </c>
      <c r="AV31" s="464" t="inlineStr">
        <is>
          <t>https://wap.miit.gov.cn/zwgk/zcwj/wjfb/tz/art/2026/art_277a824ef0ae478faf7dc2d4f14b5db6.html</t>
        </is>
      </c>
      <c r="AW31" s="464" t="inlineStr"/>
    </row>
    <row r="32">
      <c r="A32" s="464" t="inlineStr">
        <is>
          <t>CHNVIIVLBI04S002</t>
        </is>
      </c>
      <c r="B32" s="464" t="inlineStr">
        <is>
          <t>Subscheme</t>
        </is>
      </c>
      <c r="C32" s="464" t="inlineStr">
        <is>
          <t>Voluntary information instrument</t>
        </is>
      </c>
      <c r="D32" s="464" t="inlineStr">
        <is>
          <t>Voluntary certification and labelling scheme</t>
        </is>
      </c>
      <c r="E32" s="464" t="inlineStr">
        <is>
          <t>Industry</t>
        </is>
      </c>
      <c r="F32" s="464" t="inlineStr">
        <is>
          <t>Electrolytic aluminium; Cement clinker; Synthetic ammonia; Ethylene; Methanol</t>
        </is>
      </c>
      <c r="G32" s="464" t="inlineStr">
        <is>
          <t>重点行业碳效领跑者</t>
        </is>
      </c>
      <c r="H32" s="464" t="inlineStr">
        <is>
          <t>Carbon Efficiency Top-Runner in Key Industries</t>
        </is>
      </c>
      <c r="I32" s="464" t="inlineStr">
        <is>
          <t>Energy Efficiency and Carbon Efficiency Top-Runner Programme</t>
        </is>
      </c>
      <c r="J32" s="464"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2" s="464" t="inlineStr">
        <is>
          <t>Climate change mitigation</t>
        </is>
      </c>
      <c r="L32" s="464" t="inlineStr">
        <is>
          <t>Direct</t>
        </is>
      </c>
      <c r="M32" s="464" t="inlineStr">
        <is>
          <t>national</t>
        </is>
      </c>
      <c r="N32" s="464" t="inlineStr">
        <is>
          <t>N/A</t>
        </is>
      </c>
      <c r="O32" s="464" t="inlineStr">
        <is>
          <t>30/07/2026</t>
        </is>
      </c>
      <c r="P32" s="464" t="inlineStr">
        <is>
          <t>03/08/2026</t>
        </is>
      </c>
      <c r="Q32" s="464" t="inlineStr">
        <is>
          <t>N/A</t>
        </is>
      </c>
      <c r="R32" s="464" t="inlineStr">
        <is>
          <t>N/A</t>
        </is>
      </c>
      <c r="S32" s="464" t="inlineStr">
        <is>
          <t>N/A</t>
        </is>
      </c>
      <c r="T32" s="464">
        <f>IF(P32="","In force",IF(P32="N/A","In force",IF(TODAY()&lt;DATE(VALUE(RIGHT(P32,4)),VALUE(MID(P32,4,2)),VALUE(LEFT(P32,2))),"Scheduled",IF(Q32="","In force",IF(Q32="N/A","In force",IF(TODAY()&lt;DATE(VALUE(RIGHT(Q32,4)),VALUE(MID(Q32,4,2)),VALUE(LEFT(Q32,2))),"In force","Ended"))))))</f>
        <v/>
      </c>
      <c r="U32" s="464"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V32" s="464" t="inlineStr">
        <is>
          <t>Industrial enterprises in key industries (carbon efficiency top-runner designation objects)</t>
        </is>
      </c>
      <c r="W32" s="464" t="inlineStr">
        <is>
          <t>Existing</t>
        </is>
      </c>
      <c r="X32" s="464"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Y32" s="464" t="inlineStr">
        <is>
          <t>N/A</t>
        </is>
      </c>
      <c r="Z32" s="464" t="inlineStr">
        <is>
          <t>Annual energy consumption &gt; 10,000 tonnes of standard coal equivalent, or annual carbon dioxide emissions &gt; 26,000 tonnes of CO2 equivalent</t>
        </is>
      </c>
      <c r="AA32" s="464" t="inlineStr">
        <is>
          <t>Firms</t>
        </is>
      </c>
      <c r="AB32" s="464"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C32" s="464" t="inlineStr">
        <is>
          <t>Registration, licensing or other administrative tasks</t>
        </is>
      </c>
      <c r="AD32" s="464"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E32" s="464" t="inlineStr">
        <is>
          <t>N/A</t>
        </is>
      </c>
      <c r="AF32" s="464" t="inlineStr">
        <is>
          <t>N/A</t>
        </is>
      </c>
      <c r="AG32" s="464" t="inlineStr">
        <is>
          <t>N/A</t>
        </is>
      </c>
      <c r="AH32" s="464"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I32" s="464" t="inlineStr">
        <is>
          <t>N/A</t>
        </is>
      </c>
      <c r="AJ32" s="464" t="inlineStr">
        <is>
          <t>N/A</t>
        </is>
      </c>
      <c r="AK32" s="464"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L32" s="464"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M32" s="464"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N32" s="464" t="inlineStr">
        <is>
          <t>N/A (voluntary instrument; the amount of GHG emissions covered depends on the scale and number of enterprises voluntarily applying and designated, with no fixed quantifiable coverage amount)</t>
        </is>
      </c>
      <c r="AO32" s="464" t="inlineStr">
        <is>
          <t>N/A</t>
        </is>
      </c>
      <c r="AP32" s="464" t="inlineStr">
        <is>
          <t>C20; C23; C24</t>
        </is>
      </c>
      <c r="AQ32" s="464" t="inlineStr">
        <is>
          <t>CO2</t>
        </is>
      </c>
      <c r="AR32" s="464" t="inlineStr">
        <is>
          <t>Positive</t>
        </is>
      </c>
      <c r="AS32" s="464" t="inlineStr">
        <is>
          <t>Energy conservation; Technological innovation; Industrial development</t>
        </is>
      </c>
      <c r="AT32" s="464" t="inlineStr">
        <is>
          <t>Notice on Organising the 2026 Recommendation of Energy Efficiency and Carbon Efficiency Top-Runner Enterprises in Key Industries (MIIT Joint Notification [2026] No. 372)</t>
        </is>
      </c>
      <c r="AU32" s="464" t="inlineStr">
        <is>
          <t>https://wap.miit.gov.cn/zwgk/zcwj/wjfb/tz/art/2026/art_277a824ef0ae478faf7dc2d4f14b5db6.html</t>
        </is>
      </c>
      <c r="AV32" s="464" t="inlineStr">
        <is>
          <t>N/A</t>
        </is>
      </c>
      <c r="AW32" s="464" t="inlineStr"/>
    </row>
    <row r="33">
      <c r="A33" s="610" t="inlineStr">
        <is>
          <t>CHNVIIVLBI05S000</t>
        </is>
      </c>
      <c r="B33" s="610" t="inlineStr">
        <is>
          <t>Instrument</t>
        </is>
      </c>
      <c r="C33" s="610" t="inlineStr">
        <is>
          <t>Voluntary information instrument</t>
        </is>
      </c>
      <c r="D33" s="610" t="inlineStr">
        <is>
          <t>Voluntary certification and labelling scheme</t>
        </is>
      </c>
      <c r="E33" s="610" t="inlineStr">
        <is>
          <t>Cross-sectoral</t>
        </is>
      </c>
      <c r="F33" s="610" t="inlineStr">
        <is>
          <t>N/A</t>
        </is>
      </c>
      <c r="G33" s="610" t="inlineStr">
        <is>
          <t>绿色产品标识</t>
        </is>
      </c>
      <c r="H33" s="610" t="inlineStr">
        <is>
          <t>Green Product Label</t>
        </is>
      </c>
      <c r="I33" s="610" t="inlineStr">
        <is>
          <t>N/A</t>
        </is>
      </c>
      <c r="J33" s="610"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3" s="610" t="inlineStr">
        <is>
          <t>Green consumption; Climate change mitigation; Climate change adaptation</t>
        </is>
      </c>
      <c r="L33" s="610" t="inlineStr">
        <is>
          <t>Indirect</t>
        </is>
      </c>
      <c r="M33" s="610" t="inlineStr">
        <is>
          <t>national</t>
        </is>
      </c>
      <c r="N33" s="610" t="inlineStr">
        <is>
          <t>N/A</t>
        </is>
      </c>
      <c r="O33" s="610" t="inlineStr">
        <is>
          <t>22/11/2016</t>
        </is>
      </c>
      <c r="P33" s="610" t="inlineStr">
        <is>
          <t>22/11/2016</t>
        </is>
      </c>
      <c r="Q33" s="610" t="inlineStr">
        <is>
          <t>N/A</t>
        </is>
      </c>
      <c r="R33" s="610" t="inlineStr">
        <is>
          <t>01/03/2020</t>
        </is>
      </c>
      <c r="S33" s="610" t="inlineStr">
        <is>
          <t>In 2020, the State Administration for Market Regulation issued the Green Product Certification Catalogue, which was formally implemented after integration, further clarifying the scope of certified products and implementation rules.</t>
        </is>
      </c>
      <c r="T33" s="610">
        <f>IF(P33="","In force",IF(P33="N/A","In force",IF(TODAY()&lt;DATE(VALUE(RIGHT(P33,4)),VALUE(MID(P33,4,2)),VALUE(LEFT(P33,2))),"Scheduled",IF(Q33="","In force",IF(Q33="N/A","In force",IF(TODAY()&lt;DATE(VALUE(RIGHT(Q33,4)),VALUE(MID(Q33,4,2)),VALUE(LEFT(Q33,2))),"In force","Ended"))))))</f>
        <v/>
      </c>
      <c r="U33" s="610"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V33" s="610" t="inlineStr">
        <is>
          <t>Products (green product certification objects)</t>
        </is>
      </c>
      <c r="W33" s="610" t="inlineStr">
        <is>
          <t>New; Existing</t>
        </is>
      </c>
      <c r="X33" s="610"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Y33" s="610" t="inlineStr">
        <is>
          <t>N/A</t>
        </is>
      </c>
      <c r="Z33" s="610" t="inlineStr">
        <is>
          <t>N/A</t>
        </is>
      </c>
      <c r="AA33" s="610" t="inlineStr">
        <is>
          <t>Firms</t>
        </is>
      </c>
      <c r="AB33" s="610"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C33" s="610" t="inlineStr">
        <is>
          <t>Registration, licensing or other administrative tasks</t>
        </is>
      </c>
      <c r="AD33" s="610"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E33" s="610" t="inlineStr">
        <is>
          <t>N/A</t>
        </is>
      </c>
      <c r="AF33" s="610" t="inlineStr">
        <is>
          <t>N/A</t>
        </is>
      </c>
      <c r="AG33" s="610" t="inlineStr">
        <is>
          <t>N/A</t>
        </is>
      </c>
      <c r="AH33" s="610"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I33" s="610" t="inlineStr">
        <is>
          <t>N/A</t>
        </is>
      </c>
      <c r="AJ33" s="610" t="inlineStr">
        <is>
          <t>N/A</t>
        </is>
      </c>
      <c r="AK33" s="610"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L33" s="610"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M33" s="610"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N33" s="610" t="inlineStr">
        <is>
          <t>N/A (this instrument is a voluntary certification and labelling tool; the amount of GHG emissions covered depends on the categories and quantity of products voluntarily certified by enterprises, and there is no directly quantifiable fixed coverage amount)</t>
        </is>
      </c>
      <c r="AO33" s="610" t="inlineStr">
        <is>
          <t>N/A (this instrument is a voluntary tool; the share of GHG emissions covered depends on voluntary uptake)</t>
        </is>
      </c>
      <c r="AP33" s="610" t="inlineStr">
        <is>
          <t>C10; C11; C12; C13; C14; C15; C16; C17; C18; C19; C20; C21; C22; C23; C24; C25; C26; C27; C28; C29; C30; C31; C32; C33</t>
        </is>
      </c>
      <c r="AQ33" s="610" t="inlineStr">
        <is>
          <t>CO2; CH4; N2O</t>
        </is>
      </c>
      <c r="AR33" s="610" t="inlineStr">
        <is>
          <t>Positive</t>
        </is>
      </c>
      <c r="AS33" s="610" t="inlineStr">
        <is>
          <t>Industrial development; Pollution control; Resource conservation; Circular economy; Public health</t>
        </is>
      </c>
      <c r="AT33" s="610" t="inlineStr">
        <is>
          <t>Opinions of the General Office of the State Council on Establishing a Unified Green Product Standard, Certification and Labelling System (Guobanfa [2016] No. 86)</t>
        </is>
      </c>
      <c r="AU33" s="610" t="inlineStr">
        <is>
          <t>https://www.gov.cn/zhengce/content/2016-12/07/content_5144554.htm</t>
        </is>
      </c>
      <c r="AV33" s="610" t="inlineStr">
        <is>
          <t>N/A</t>
        </is>
      </c>
      <c r="AW33" s="610" t="inlineStr"/>
    </row>
    <row r="34">
      <c r="A34" s="610" t="inlineStr">
        <is>
          <t>CHNVIIVLBI06S000</t>
        </is>
      </c>
      <c r="B34" s="610" t="inlineStr">
        <is>
          <t>Instrument</t>
        </is>
      </c>
      <c r="C34" s="610" t="inlineStr">
        <is>
          <t>Voluntary information instrument</t>
        </is>
      </c>
      <c r="D34" s="610" t="inlineStr">
        <is>
          <t>Voluntary certification and labelling scheme</t>
        </is>
      </c>
      <c r="E34" s="610" t="inlineStr">
        <is>
          <t>Buildings</t>
        </is>
      </c>
      <c r="F34" s="610" t="inlineStr">
        <is>
          <t>N/A</t>
        </is>
      </c>
      <c r="G34" s="610" t="inlineStr">
        <is>
          <t>近零能耗建筑标识</t>
        </is>
      </c>
      <c r="H34" s="610" t="inlineStr">
        <is>
          <t>Nearly Zero Energy Building Label</t>
        </is>
      </c>
      <c r="I34" s="610" t="inlineStr">
        <is>
          <t>N/A</t>
        </is>
      </c>
      <c r="J34" s="610"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4" s="610" t="inlineStr">
        <is>
          <t>Energy efficiency; Climate change mitigation</t>
        </is>
      </c>
      <c r="L34" s="610" t="inlineStr">
        <is>
          <t>Direct</t>
        </is>
      </c>
      <c r="M34" s="610" t="inlineStr">
        <is>
          <t>national</t>
        </is>
      </c>
      <c r="N34" s="610" t="inlineStr">
        <is>
          <t>N/A</t>
        </is>
      </c>
      <c r="O34" s="610" t="inlineStr">
        <is>
          <t>01/01/2019</t>
        </is>
      </c>
      <c r="P34" s="610" t="inlineStr">
        <is>
          <t>01/09/2019</t>
        </is>
      </c>
      <c r="Q34" s="610" t="inlineStr">
        <is>
          <t>N/A</t>
        </is>
      </c>
      <c r="R34" s="610" t="inlineStr">
        <is>
          <t>N/A</t>
        </is>
      </c>
      <c r="S34" s="610" t="inlineStr">
        <is>
          <t>N/A</t>
        </is>
      </c>
      <c r="T34" s="610">
        <f>IF(P34="","In force",IF(P34="N/A","In force",IF(TODAY()&lt;DATE(VALUE(RIGHT(P34,4)),VALUE(MID(P34,4,2)),VALUE(LEFT(P34,2))),"Scheduled",IF(Q34="","In force",IF(Q34="N/A","In force",IF(TODAY()&lt;DATE(VALUE(RIGHT(Q34,4)),VALUE(MID(Q34,4,2)),VALUE(LEFT(Q34,2))),"In force","Ended"))))))</f>
        <v/>
      </c>
      <c r="U34" s="610" t="inlineStr">
        <is>
          <t>Ministry of Housing and Urban-Rural Development (Department of Standard Quota); China Association of Building Energy Efficiency and other authorised assessment bodies</t>
        </is>
      </c>
      <c r="V34" s="610" t="inlineStr">
        <is>
          <t>Buildings (nearly zero energy building evaluation objects)</t>
        </is>
      </c>
      <c r="W34" s="610" t="inlineStr">
        <is>
          <t>New; Existing</t>
        </is>
      </c>
      <c r="X34" s="610"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Y34" s="610" t="inlineStr">
        <is>
          <t>N/A</t>
        </is>
      </c>
      <c r="Z34" s="610" t="inlineStr">
        <is>
          <t>N/A</t>
        </is>
      </c>
      <c r="AA34" s="610" t="inlineStr">
        <is>
          <t>Firms</t>
        </is>
      </c>
      <c r="AB34" s="610"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C34" s="610" t="inlineStr">
        <is>
          <t>Registration, licensing or other administrative tasks</t>
        </is>
      </c>
      <c r="AD34" s="610"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E34" s="610" t="inlineStr">
        <is>
          <t>N/A</t>
        </is>
      </c>
      <c r="AF34" s="610" t="inlineStr">
        <is>
          <t>N/A</t>
        </is>
      </c>
      <c r="AG34" s="610" t="inlineStr">
        <is>
          <t>N/A</t>
        </is>
      </c>
      <c r="AH34" s="610"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I34" s="610" t="inlineStr">
        <is>
          <t>N/A</t>
        </is>
      </c>
      <c r="AJ34" s="610" t="inlineStr">
        <is>
          <t>N/A</t>
        </is>
      </c>
      <c r="AK34" s="610"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L34" s="610"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M34" s="610" t="inlineStr">
        <is>
          <t>N/A (voluntary building evaluation label; no non-compliance sanctions. Where falsification of application materials is discovered or operations no longer meet the requirements, the assessment body shall revoke the label.)</t>
        </is>
      </c>
      <c r="AN34" s="610"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O34" s="610" t="inlineStr">
        <is>
          <t>N/A (this instrument is a voluntary tool; the share of GHG emissions covered depends on voluntary uptake)</t>
        </is>
      </c>
      <c r="AP34" s="610" t="inlineStr">
        <is>
          <t>F41; F42; F43</t>
        </is>
      </c>
      <c r="AQ34" s="610" t="inlineStr">
        <is>
          <t>CO2; CH4; N2O</t>
        </is>
      </c>
      <c r="AR34" s="610" t="inlineStr">
        <is>
          <t>Positive</t>
        </is>
      </c>
      <c r="AS34" s="610" t="inlineStr">
        <is>
          <t>Energy conservation; Pollution control; Technological innovation</t>
        </is>
      </c>
      <c r="AT34" s="610" t="inlineStr">
        <is>
          <t>Announcement of the Ministry of Housing and Urban-Rural Development on Issuing the National Standard Technical Standard for Nearly Zero Energy Buildings (MOHURD Announcement [2019] No. 22, GB/T 51350-2019)</t>
        </is>
      </c>
      <c r="AU34" s="610" t="inlineStr">
        <is>
          <t>https://www.mohurd.gov.cn/gongkai/zc/wjk/art/2019/art_17339_240712.html</t>
        </is>
      </c>
      <c r="AV34" s="610" t="inlineStr">
        <is>
          <t>N/A</t>
        </is>
      </c>
      <c r="AW34" s="610" t="inlineStr"/>
    </row>
    <row r="35">
      <c r="A35" s="610" t="inlineStr">
        <is>
          <t>CHNVIIVLBI07S000</t>
        </is>
      </c>
      <c r="B35" s="610" t="inlineStr">
        <is>
          <t>Instrument</t>
        </is>
      </c>
      <c r="C35" s="610" t="inlineStr">
        <is>
          <t>Voluntary information instrument</t>
        </is>
      </c>
      <c r="D35" s="610" t="inlineStr">
        <is>
          <t>Voluntary certification and labelling scheme</t>
        </is>
      </c>
      <c r="E35" s="610" t="inlineStr">
        <is>
          <t>Cross-sectoral</t>
        </is>
      </c>
      <c r="F35" s="610" t="inlineStr">
        <is>
          <t>N/A</t>
        </is>
      </c>
      <c r="G35" s="610" t="inlineStr">
        <is>
          <t>产品碳足迹标识</t>
        </is>
      </c>
      <c r="H35" s="610" t="inlineStr">
        <is>
          <t>Product Carbon Footprint Label</t>
        </is>
      </c>
      <c r="I35" s="610" t="inlineStr">
        <is>
          <t>N/A</t>
        </is>
      </c>
      <c r="J35" s="610"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5" s="610" t="inlineStr">
        <is>
          <t>Climate change mitigation; Green consumption</t>
        </is>
      </c>
      <c r="L35" s="610" t="inlineStr">
        <is>
          <t>Direct</t>
        </is>
      </c>
      <c r="M35" s="610" t="inlineStr">
        <is>
          <t>national</t>
        </is>
      </c>
      <c r="N35" s="610" t="inlineStr">
        <is>
          <t>N/A</t>
        </is>
      </c>
      <c r="O35" s="610" t="inlineStr">
        <is>
          <t>30/08/2024</t>
        </is>
      </c>
      <c r="P35" s="610" t="inlineStr">
        <is>
          <t>30/08/2024</t>
        </is>
      </c>
      <c r="Q35" s="610" t="inlineStr">
        <is>
          <t>N/A</t>
        </is>
      </c>
      <c r="R35" s="610" t="inlineStr">
        <is>
          <t>N/A</t>
        </is>
      </c>
      <c r="S35" s="610" t="inlineStr">
        <is>
          <t>N/A</t>
        </is>
      </c>
      <c r="T35" s="610">
        <f>IF(P35="","In force",IF(P35="N/A","In force",IF(TODAY()&lt;DATE(VALUE(RIGHT(P35,4)),VALUE(MID(P35,4,2)),VALUE(LEFT(P35,2))),"Scheduled",IF(Q35="","In force",IF(Q35="N/A","In force",IF(TODAY()&lt;DATE(VALUE(RIGHT(Q35,4)),VALUE(MID(Q35,4,2)),VALUE(LEFT(Q35,2))),"In force","Ended"))))))</f>
        <v/>
      </c>
      <c r="U35" s="610" t="inlineStr">
        <is>
          <t>State Administration for Market Regulation (Department of Certification Supervision); Ministry of Ecology and Environment; National Development and Reform Commission; Ministry of Industry and Information Technology</t>
        </is>
      </c>
      <c r="V35" s="610" t="inlineStr">
        <is>
          <t>Products (carbon footprint label certification objects)</t>
        </is>
      </c>
      <c r="W35" s="610" t="inlineStr">
        <is>
          <t>New; Existing</t>
        </is>
      </c>
      <c r="X35" s="610"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Y35" s="610" t="inlineStr">
        <is>
          <t>N/A</t>
        </is>
      </c>
      <c r="Z35" s="610" t="inlineStr">
        <is>
          <t>N/A</t>
        </is>
      </c>
      <c r="AA35" s="610" t="inlineStr">
        <is>
          <t>Firms</t>
        </is>
      </c>
      <c r="AB35" s="610"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C35" s="610" t="inlineStr">
        <is>
          <t>Registration, licensing or other administrative tasks</t>
        </is>
      </c>
      <c r="AD35" s="610"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E35" s="610" t="inlineStr">
        <is>
          <t>N/A</t>
        </is>
      </c>
      <c r="AF35" s="610" t="inlineStr">
        <is>
          <t>N/A</t>
        </is>
      </c>
      <c r="AG35" s="610" t="inlineStr">
        <is>
          <t>N/A</t>
        </is>
      </c>
      <c r="AH35" s="610"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I35" s="610" t="inlineStr">
        <is>
          <t>N/A</t>
        </is>
      </c>
      <c r="AJ35" s="610" t="inlineStr">
        <is>
          <t>N/A</t>
        </is>
      </c>
      <c r="AK35" s="610"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L35" s="610"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M35" s="610"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N35" s="610"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O35" s="610" t="inlineStr">
        <is>
          <t>N/A (this instrument is a voluntary tool; the share of GHG emissions covered depends on voluntary uptake)</t>
        </is>
      </c>
      <c r="AP35" s="610" t="inlineStr">
        <is>
          <t>C13; C24; C26; C27</t>
        </is>
      </c>
      <c r="AQ35" s="610" t="inlineStr">
        <is>
          <t>CO2; CH4; N2O; SF6; HFCs; PFCs</t>
        </is>
      </c>
      <c r="AR35" s="610" t="inlineStr">
        <is>
          <t>Positive</t>
        </is>
      </c>
      <c r="AS35" s="610" t="inlineStr">
        <is>
          <t>Technological innovation; Industrial development; Energy conservation</t>
        </is>
      </c>
      <c r="AT35" s="610" t="inlineStr">
        <is>
          <t>Notice of the State Administration for Market Regulation and Other Departments on Launching the Pilot Programme for Product Carbon Footprint Label Certification (Guoshijian Ren Zhengfa [2024] No. 85)</t>
        </is>
      </c>
      <c r="AU35" s="610" t="inlineStr">
        <is>
          <t>https://www.gov.cn/zhengce/zhengceku/202409/content_6973449.htm</t>
        </is>
      </c>
      <c r="AV35" s="610" t="inlineStr">
        <is>
          <t>N/A</t>
        </is>
      </c>
      <c r="AW35" s="610" t="inlineStr"/>
    </row>
    <row r="36">
      <c r="A36" s="610" t="inlineStr">
        <is>
          <t>CHNVIIVLBI08S000</t>
        </is>
      </c>
      <c r="B36" s="610" t="inlineStr">
        <is>
          <t>Instrument</t>
        </is>
      </c>
      <c r="C36" s="610" t="inlineStr">
        <is>
          <t>Voluntary information instrument</t>
        </is>
      </c>
      <c r="D36" s="610" t="inlineStr">
        <is>
          <t>Voluntary certification and labelling scheme</t>
        </is>
      </c>
      <c r="E36" s="610" t="inlineStr">
        <is>
          <t>Cross-sectoral</t>
        </is>
      </c>
      <c r="F36" s="610" t="inlineStr">
        <is>
          <t>N/A</t>
        </is>
      </c>
      <c r="G36" s="610" t="inlineStr">
        <is>
          <t>绿色债券标识</t>
        </is>
      </c>
      <c r="H36" s="610" t="inlineStr">
        <is>
          <t>Green Bond Label</t>
        </is>
      </c>
      <c r="I36" s="610" t="inlineStr">
        <is>
          <t>N/A</t>
        </is>
      </c>
      <c r="J36" s="610"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6" s="610" t="inlineStr">
        <is>
          <t>Green economy; Climate change mitigation; Green finance</t>
        </is>
      </c>
      <c r="L36" s="610" t="inlineStr">
        <is>
          <t>Indirect</t>
        </is>
      </c>
      <c r="M36" s="610" t="inlineStr">
        <is>
          <t>national</t>
        </is>
      </c>
      <c r="N36" s="610" t="inlineStr">
        <is>
          <t>N/A</t>
        </is>
      </c>
      <c r="O36" s="610" t="inlineStr">
        <is>
          <t>26/10/2017</t>
        </is>
      </c>
      <c r="P36" s="610" t="inlineStr">
        <is>
          <t>28/12/2017</t>
        </is>
      </c>
      <c r="Q36" s="610" t="inlineStr">
        <is>
          <t>N/A</t>
        </is>
      </c>
      <c r="R36" s="610" t="inlineStr">
        <is>
          <t>01/10/2025</t>
        </is>
      </c>
      <c r="S36" s="610"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T36" s="610">
        <f>IF(P36="","In force",IF(P36="N/A","In force",IF(TODAY()&lt;DATE(VALUE(RIGHT(P36,4)),VALUE(MID(P36,4,2)),VALUE(LEFT(P36,2))),"Scheduled",IF(Q36="","In force",IF(Q36="N/A","In force",IF(TODAY()&lt;DATE(VALUE(RIGHT(Q36,4)),VALUE(MID(Q36,4,2)),VALUE(LEFT(Q36,2))),"In force","Ended"))))))</f>
        <v/>
      </c>
      <c r="U36" s="610" t="inlineStr">
        <is>
          <t>People's Bank of China (Financial Market Department); China Securities Regulatory Commission (Department of Corporate Bond Supervision); National Development and Reform Commission (Department of Fiscal, Financial and Credit Construction)</t>
        </is>
      </c>
      <c r="V36" s="610" t="inlineStr">
        <is>
          <t>Green bonds (certification and labelling objects)</t>
        </is>
      </c>
      <c r="W36" s="610" t="inlineStr">
        <is>
          <t>New; Existing</t>
        </is>
      </c>
      <c r="X36" s="610"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Y36" s="610" t="inlineStr">
        <is>
          <t>N/A</t>
        </is>
      </c>
      <c r="Z36" s="610" t="inlineStr">
        <is>
          <t>N/A</t>
        </is>
      </c>
      <c r="AA36" s="610" t="inlineStr">
        <is>
          <t>Firms</t>
        </is>
      </c>
      <c r="AB36" s="610"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C36" s="610" t="inlineStr">
        <is>
          <t>Registration, licensing or other administrative tasks</t>
        </is>
      </c>
      <c r="AD36" s="610"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E36" s="610" t="inlineStr">
        <is>
          <t>N/A</t>
        </is>
      </c>
      <c r="AF36" s="610" t="inlineStr">
        <is>
          <t>N/A</t>
        </is>
      </c>
      <c r="AG36" s="610" t="inlineStr">
        <is>
          <t>N/A</t>
        </is>
      </c>
      <c r="AH36" s="610"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I36" s="610" t="inlineStr">
        <is>
          <t>N/A</t>
        </is>
      </c>
      <c r="AJ36" s="610" t="inlineStr">
        <is>
          <t>N/A</t>
        </is>
      </c>
      <c r="AK36" s="610"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L36" s="610"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M36" s="610"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N36" s="610"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O36" s="610" t="inlineStr">
        <is>
          <t>N/A (this instrument is a voluntary tool; the share of GHG emissions covered depends on voluntary uptake)</t>
        </is>
      </c>
      <c r="AP36" s="610" t="inlineStr">
        <is>
          <t>K64</t>
        </is>
      </c>
      <c r="AQ36" s="610" t="inlineStr">
        <is>
          <t>CO2; CH4; N2O</t>
        </is>
      </c>
      <c r="AR36" s="610" t="inlineStr">
        <is>
          <t>Positive</t>
        </is>
      </c>
      <c r="AS36" s="610" t="inlineStr">
        <is>
          <t>Industrial development; Technological innovation; Energy conservation; Pollution control</t>
        </is>
      </c>
      <c r="AT36" s="610" t="inlineStr">
        <is>
          <t>Announcement of the People's Bank of China and the China Securities Regulatory Commission ([2017] No. 20) — Green Bond Assessment and Certification Conduct Guidelines (Interim)</t>
        </is>
      </c>
      <c r="AU36" s="610" t="inlineStr">
        <is>
          <t>https://www.gov.cn/gongbao/content/2018/content_5271800.htm</t>
        </is>
      </c>
      <c r="AV36" s="610" t="inlineStr">
        <is>
          <t>https://www.gov.cn/zhengce/zhengceku/2021-04/22/content_5601284.htm;https://www.nafmii.org.cn/xhdt/202207/t20220729_255959.html;https://www.gov.cn/zhengce/zhengceku/202507/content_7032004.htm</t>
        </is>
      </c>
      <c r="AW36" s="610" t="inlineStr"/>
    </row>
    <row r="37">
      <c r="A37" s="610" t="inlineStr">
        <is>
          <t>CHNVIIVLBI09S000</t>
        </is>
      </c>
      <c r="B37" s="610" t="inlineStr">
        <is>
          <t>Instrument</t>
        </is>
      </c>
      <c r="C37" s="610" t="inlineStr">
        <is>
          <t>Voluntary information instrument</t>
        </is>
      </c>
      <c r="D37" s="610" t="inlineStr">
        <is>
          <t>Voluntary certification and labelling scheme</t>
        </is>
      </c>
      <c r="E37" s="610" t="inlineStr">
        <is>
          <t>Cross-sectoral</t>
        </is>
      </c>
      <c r="F37" s="610" t="inlineStr">
        <is>
          <t>N/A</t>
        </is>
      </c>
      <c r="G37" s="610" t="inlineStr">
        <is>
          <t>可持续发展挂钩债券标识</t>
        </is>
      </c>
      <c r="H37" s="610" t="inlineStr">
        <is>
          <t>Sustainability-Linked Bond Label</t>
        </is>
      </c>
      <c r="I37" s="610" t="inlineStr">
        <is>
          <t>N/A</t>
        </is>
      </c>
      <c r="J37" s="610"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7" s="610" t="inlineStr">
        <is>
          <t>Green economy; Climate change mitigation; Green finance</t>
        </is>
      </c>
      <c r="L37" s="610" t="inlineStr">
        <is>
          <t>Indirect</t>
        </is>
      </c>
      <c r="M37" s="610" t="inlineStr">
        <is>
          <t>national</t>
        </is>
      </c>
      <c r="N37" s="610" t="inlineStr">
        <is>
          <t>N/A</t>
        </is>
      </c>
      <c r="O37" s="610" t="inlineStr">
        <is>
          <t>28/04/2021</t>
        </is>
      </c>
      <c r="P37" s="610" t="inlineStr">
        <is>
          <t>28/04/2021</t>
        </is>
      </c>
      <c r="Q37" s="610" t="inlineStr">
        <is>
          <t>N/A</t>
        </is>
      </c>
      <c r="R37" s="610" t="inlineStr">
        <is>
          <t>10/10/2024</t>
        </is>
      </c>
      <c r="S37" s="610"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T37" s="610">
        <f>IF(P37="","In force",IF(P37="N/A","In force",IF(TODAY()&lt;DATE(VALUE(RIGHT(P37,4)),VALUE(MID(P37,4,2)),VALUE(LEFT(P37,2))),"Scheduled",IF(Q37="","In force",IF(Q37="N/A","In force",IF(TODAY()&lt;DATE(VALUE(RIGHT(Q37,4)),VALUE(MID(Q37,4,2)),VALUE(LEFT(Q37,2))),"In force","Ended"))))))</f>
        <v/>
      </c>
      <c r="U37" s="610" t="inlineStr">
        <is>
          <t>National Association of Financial Market Institutional Investors (NAFMII)</t>
        </is>
      </c>
      <c r="V37" s="610" t="inlineStr">
        <is>
          <t>Sustainability-linked bonds (labelling objects)</t>
        </is>
      </c>
      <c r="W37" s="610" t="inlineStr">
        <is>
          <t>New; Existing</t>
        </is>
      </c>
      <c r="X37" s="610"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Y37" s="610" t="inlineStr">
        <is>
          <t>N/A</t>
        </is>
      </c>
      <c r="Z37" s="610" t="inlineStr">
        <is>
          <t>N/A</t>
        </is>
      </c>
      <c r="AA37" s="610" t="inlineStr">
        <is>
          <t>Firms</t>
        </is>
      </c>
      <c r="AB37" s="610"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C37" s="610" t="inlineStr">
        <is>
          <t>Registration, licensing or other administrative tasks</t>
        </is>
      </c>
      <c r="AD37" s="610"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E37" s="610" t="inlineStr">
        <is>
          <t>N/A</t>
        </is>
      </c>
      <c r="AF37" s="610" t="inlineStr">
        <is>
          <t>N/A</t>
        </is>
      </c>
      <c r="AG37" s="610" t="inlineStr">
        <is>
          <t>N/A</t>
        </is>
      </c>
      <c r="AH37" s="610"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I37" s="610" t="inlineStr">
        <is>
          <t>N/A</t>
        </is>
      </c>
      <c r="AJ37" s="610" t="inlineStr">
        <is>
          <t>N/A</t>
        </is>
      </c>
      <c r="AK37" s="610"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L37" s="610"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M37" s="610"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N37" s="610"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O37" s="610" t="inlineStr">
        <is>
          <t>N/A (this instrument is a voluntary tool; the share of GHG emissions covered depends on voluntary uptake)</t>
        </is>
      </c>
      <c r="AP37" s="610" t="inlineStr">
        <is>
          <t>K64</t>
        </is>
      </c>
      <c r="AQ37" s="610" t="inlineStr">
        <is>
          <t>CO2; CH4; N2O</t>
        </is>
      </c>
      <c r="AR37" s="610" t="inlineStr">
        <is>
          <t>Positive</t>
        </is>
      </c>
      <c r="AS37" s="610" t="inlineStr">
        <is>
          <t>Industrial development; Technological innovation; Energy conservation; Pollution control</t>
        </is>
      </c>
      <c r="AT37" s="610" t="inlineStr">
        <is>
          <t>Sustainability-Linked Bond (SLB) Ten Questions and Answers published by the National Association of Financial Market Institutional Investors (NAFMII) on 28 April 2021</t>
        </is>
      </c>
      <c r="AU37" s="610" t="inlineStr">
        <is>
          <t>https://www.nafmii.org.cn/xhdt/202104/t20210428_197371.html</t>
        </is>
      </c>
      <c r="AV37" s="610" t="inlineStr">
        <is>
          <t>N/A</t>
        </is>
      </c>
      <c r="AW37" s="610" t="inlineStr"/>
    </row>
    <row r="38">
      <c r="A38" s="610" t="inlineStr">
        <is>
          <t>CHNVIIVLBI10S000</t>
        </is>
      </c>
      <c r="B38" s="610" t="inlineStr">
        <is>
          <t>Instrument</t>
        </is>
      </c>
      <c r="C38" s="610" t="inlineStr">
        <is>
          <t>Voluntary information instrument</t>
        </is>
      </c>
      <c r="D38" s="610" t="inlineStr">
        <is>
          <t>Voluntary certification and labelling scheme</t>
        </is>
      </c>
      <c r="E38" s="610" t="inlineStr">
        <is>
          <t>Industry</t>
        </is>
      </c>
      <c r="F38" s="610" t="inlineStr">
        <is>
          <t>N/A</t>
        </is>
      </c>
      <c r="G38" s="610" t="inlineStr">
        <is>
          <t>零碳园区标识</t>
        </is>
      </c>
      <c r="H38" s="610" t="inlineStr">
        <is>
          <t>Zero-Carbon Industrial Park Label</t>
        </is>
      </c>
      <c r="I38" s="610" t="inlineStr">
        <is>
          <t>N/A</t>
        </is>
      </c>
      <c r="J38" s="610"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8" s="610" t="inlineStr">
        <is>
          <t>Climate change mitigation; Industrial development</t>
        </is>
      </c>
      <c r="L38" s="610" t="inlineStr">
        <is>
          <t>Direct</t>
        </is>
      </c>
      <c r="M38" s="610" t="inlineStr">
        <is>
          <t>national</t>
        </is>
      </c>
      <c r="N38" s="610" t="inlineStr">
        <is>
          <t>N/A</t>
        </is>
      </c>
      <c r="O38" s="610" t="inlineStr">
        <is>
          <t>30/06/2025</t>
        </is>
      </c>
      <c r="P38" s="610" t="inlineStr">
        <is>
          <t>08/07/2025</t>
        </is>
      </c>
      <c r="Q38" s="610" t="inlineStr">
        <is>
          <t>N/A</t>
        </is>
      </c>
      <c r="R38" s="610" t="inlineStr">
        <is>
          <t>N/A</t>
        </is>
      </c>
      <c r="S38" s="610" t="inlineStr">
        <is>
          <t>N/A</t>
        </is>
      </c>
      <c r="T38" s="610">
        <f>IF(P38="","In force",IF(P38="N/A","In force",IF(TODAY()&lt;DATE(VALUE(RIGHT(P38,4)),VALUE(MID(P38,4,2)),VALUE(LEFT(P38,2))),"Scheduled",IF(Q38="","In force",IF(Q38="N/A","In force",IF(TODAY()&lt;DATE(VALUE(RIGHT(Q38,4)),VALUE(MID(Q38,4,2)),VALUE(LEFT(Q38,2))),"In force","Ended"))))))</f>
        <v/>
      </c>
      <c r="U38" s="610"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V38" s="610" t="inlineStr">
        <is>
          <t>Industrial parks (zero-carbon park evaluation and designation objects)</t>
        </is>
      </c>
      <c r="W38" s="610" t="inlineStr">
        <is>
          <t>New; Existing</t>
        </is>
      </c>
      <c r="X38" s="610"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Y38" s="610" t="inlineStr">
        <is>
          <t>N/A</t>
        </is>
      </c>
      <c r="Z38" s="610" t="inlineStr">
        <is>
          <t>N/A</t>
        </is>
      </c>
      <c r="AA38" s="610" t="inlineStr">
        <is>
          <t>Firms</t>
        </is>
      </c>
      <c r="AB38" s="610"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C38" s="610" t="inlineStr">
        <is>
          <t>Registration, licensing or other administrative tasks</t>
        </is>
      </c>
      <c r="AD38" s="610"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E38" s="610" t="inlineStr">
        <is>
          <t>N/A</t>
        </is>
      </c>
      <c r="AF38" s="610" t="inlineStr">
        <is>
          <t>N/A</t>
        </is>
      </c>
      <c r="AG38" s="610" t="inlineStr">
        <is>
          <t>N/A</t>
        </is>
      </c>
      <c r="AH38" s="610"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I38" s="610" t="inlineStr">
        <is>
          <t>N/A</t>
        </is>
      </c>
      <c r="AJ38" s="610" t="inlineStr">
        <is>
          <t>N/A</t>
        </is>
      </c>
      <c r="AK38" s="610"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L38" s="610"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M38" s="610"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N38" s="610"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O38" s="610" t="inlineStr">
        <is>
          <t>N/A (this instrument is a voluntary tool; the share of GHG emissions covered depends on voluntary uptake)</t>
        </is>
      </c>
      <c r="AP38" s="610" t="inlineStr">
        <is>
          <t>C10; C11; C12; C13; C14; C15; C16; C17; C18; C19; C20; C21; C22; C23; C24; C25; C26; C27; C28; C29; C30; C31; C32; C33</t>
        </is>
      </c>
      <c r="AQ38" s="610" t="inlineStr">
        <is>
          <t>CO2</t>
        </is>
      </c>
      <c r="AR38" s="610" t="inlineStr">
        <is>
          <t>Positive</t>
        </is>
      </c>
      <c r="AS38" s="610" t="inlineStr">
        <is>
          <t>Industrial development; Technological innovation; Energy conservation; Pollution control; Renewable energy development</t>
        </is>
      </c>
      <c r="AT38" s="610" t="inlineStr">
        <is>
          <t>Notice of the National Development and Reform Commission, the Ministry of Industry and Information Technology, and the National Energy Administration on Carrying Out Zero-Carbon Industrial Park Construction (Fa Gai Huan Zi [2025] No. 910)</t>
        </is>
      </c>
      <c r="AU38" s="610" t="inlineStr">
        <is>
          <t>https://www.ndrc.gov.cn/xxgk/zcfb/tz/202507/t20250708_1399055_ext.html</t>
        </is>
      </c>
      <c r="AV38" s="610" t="inlineStr">
        <is>
          <t>https://www.gov.cn/zhengce/zhengceku/202507/content_7031090.htm</t>
        </is>
      </c>
      <c r="AW38" s="610" t="inlineStr"/>
    </row>
    <row r="39">
      <c r="A39" s="610" t="inlineStr">
        <is>
          <t>CHNVTGVTGI01S000</t>
        </is>
      </c>
      <c r="B39" s="610" t="inlineStr">
        <is>
          <t>Instrument</t>
        </is>
      </c>
      <c r="C39" s="610" t="inlineStr">
        <is>
          <t>Voluntary target</t>
        </is>
      </c>
      <c r="D39" s="610" t="inlineStr">
        <is>
          <t>Voluntary target</t>
        </is>
      </c>
      <c r="E39" s="610" t="inlineStr">
        <is>
          <t>Industry</t>
        </is>
      </c>
      <c r="F39" s="610" t="inlineStr">
        <is>
          <t>Home appliances</t>
        </is>
      </c>
      <c r="G39" s="610" t="inlineStr">
        <is>
          <t>家电生产企业回收目标责任制</t>
        </is>
      </c>
      <c r="H39" s="610" t="inlineStr">
        <is>
          <t>Home Appliance Manufacturer Recycling Target Responsibility System</t>
        </is>
      </c>
      <c r="I39" s="610" t="inlineStr">
        <is>
          <t>N/A</t>
        </is>
      </c>
      <c r="J39" s="610"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9" s="610" t="inlineStr">
        <is>
          <t>Circular economy</t>
        </is>
      </c>
      <c r="L39" s="610" t="inlineStr">
        <is>
          <t>Indirect</t>
        </is>
      </c>
      <c r="M39" s="610" t="inlineStr">
        <is>
          <t>national</t>
        </is>
      </c>
      <c r="N39" s="610" t="inlineStr">
        <is>
          <t>N/A</t>
        </is>
      </c>
      <c r="O39" s="610" t="inlineStr">
        <is>
          <t>27/07/2021</t>
        </is>
      </c>
      <c r="P39" s="610" t="inlineStr">
        <is>
          <t>04/08/2021</t>
        </is>
      </c>
      <c r="Q39" s="610" t="inlineStr">
        <is>
          <t>N/A</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V39" s="610" t="inlineStr">
        <is>
          <t>Waste home appliances (televisions, refrigerators, washing machines, air conditioners)</t>
        </is>
      </c>
      <c r="W39" s="610" t="inlineStr">
        <is>
          <t>Existing</t>
        </is>
      </c>
      <c r="X39" s="610"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Y39" s="610" t="inlineStr">
        <is>
          <t>N/A</t>
        </is>
      </c>
      <c r="Z39" s="610" t="inlineStr">
        <is>
          <t>N/A</t>
        </is>
      </c>
      <c r="AA39" s="610" t="inlineStr">
        <is>
          <t>Firms</t>
        </is>
      </c>
      <c r="AB39" s="610"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C39" s="610" t="inlineStr">
        <is>
          <t>Collection or sorting after use</t>
        </is>
      </c>
      <c r="AD39" s="610"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E39" s="610" t="inlineStr">
        <is>
          <t>N/A</t>
        </is>
      </c>
      <c r="AF39" s="610" t="inlineStr">
        <is>
          <t>N/A</t>
        </is>
      </c>
      <c r="AG39" s="610" t="inlineStr">
        <is>
          <t>N/A</t>
        </is>
      </c>
      <c r="AH39" s="610"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I39" s="610" t="inlineStr">
        <is>
          <t>N/A</t>
        </is>
      </c>
      <c r="AJ39" s="610" t="inlineStr">
        <is>
          <t>N/A</t>
        </is>
      </c>
      <c r="AK39" s="610"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L39" s="610"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M39" s="610" t="inlineStr">
        <is>
          <t>N/A (voluntary target responsibility framework; enterprises participate voluntarily, with no mandatory compliance obligations or penalties)</t>
        </is>
      </c>
      <c r="AN39" s="610" t="inlineStr">
        <is>
          <t>N/A (this instrument is a voluntary target responsibility framework; the volume of GHG emissions covered depends on the scale and extent of voluntary enterprise participation and recycling treatment, with no directly quantifiable fixed coverage)</t>
        </is>
      </c>
      <c r="AO39" s="610" t="inlineStr">
        <is>
          <t>N/A (this instrument is a voluntary tool; the share of GHG emissions covered depends on voluntary uptake)</t>
        </is>
      </c>
      <c r="AP39" s="610" t="inlineStr">
        <is>
          <t>C27</t>
        </is>
      </c>
      <c r="AQ39" s="610" t="inlineStr">
        <is>
          <t>CO2; HFCs</t>
        </is>
      </c>
      <c r="AR39" s="610" t="inlineStr">
        <is>
          <t>Positive</t>
        </is>
      </c>
      <c r="AS39" s="610" t="inlineStr">
        <is>
          <t>Circular economy; Resource conservation; Pollution control</t>
        </is>
      </c>
      <c r="AT39" s="610"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U39" s="610" t="inlineStr">
        <is>
          <t>https://www.miit.gov.cn/jgsj/jns/wjfb/art/2021/art_5df08ed7493e4a40af80f0124fc2e7b7.html</t>
        </is>
      </c>
      <c r="AV39" s="610" t="inlineStr">
        <is>
          <t>N/A</t>
        </is>
      </c>
      <c r="AW39" s="610" t="inlineStr"/>
    </row>
    <row r="40">
      <c r="A40" s="610" t="inlineStr">
        <is>
          <t>CHNVTGVTGI02S000</t>
        </is>
      </c>
      <c r="B40" s="610" t="inlineStr">
        <is>
          <t>Instrument</t>
        </is>
      </c>
      <c r="C40" s="610" t="inlineStr">
        <is>
          <t>Voluntary target</t>
        </is>
      </c>
      <c r="D40" s="610" t="inlineStr">
        <is>
          <t>Voluntary target</t>
        </is>
      </c>
      <c r="E40" s="610" t="inlineStr">
        <is>
          <t>Energy</t>
        </is>
      </c>
      <c r="F40" s="610" t="inlineStr">
        <is>
          <t>wind power; solar power</t>
        </is>
      </c>
      <c r="G40" s="610" t="inlineStr">
        <is>
          <t>可再生能源发电企业自建或购买调峰能力增加并网规模</t>
        </is>
      </c>
      <c r="H40" s="610" t="inlineStr">
        <is>
          <t>Self-Built or Purchased Peak-Shaving Capacity by Renewable Energy Power Generation Enterprises to Increase Grid-Connected Scale</t>
        </is>
      </c>
      <c r="I40" s="610" t="inlineStr">
        <is>
          <t>N/A</t>
        </is>
      </c>
      <c r="J40" s="610"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40" s="610" t="inlineStr">
        <is>
          <t>Non-fossil energy; Energy security</t>
        </is>
      </c>
      <c r="L40" s="610" t="inlineStr">
        <is>
          <t>Direct</t>
        </is>
      </c>
      <c r="M40" s="610" t="inlineStr">
        <is>
          <t>national</t>
        </is>
      </c>
      <c r="N40" s="610" t="inlineStr">
        <is>
          <t>N/A</t>
        </is>
      </c>
      <c r="O40" s="610" t="inlineStr">
        <is>
          <t>29/07/2021</t>
        </is>
      </c>
      <c r="P40" s="610" t="inlineStr">
        <is>
          <t>10/08/2021</t>
        </is>
      </c>
      <c r="Q40" s="610" t="inlineStr">
        <is>
          <t>N/A</t>
        </is>
      </c>
      <c r="R40" s="610" t="inlineStr">
        <is>
          <t>N/A</t>
        </is>
      </c>
      <c r="S40" s="610" t="inlineStr">
        <is>
          <t>N/A</t>
        </is>
      </c>
      <c r="T40" s="610">
        <f>IF(P40="","In force",IF(P40="N/A","In force",IF(TODAY()&lt;DATE(VALUE(RIGHT(P40,4)),VALUE(MID(P40,4,2)),VALUE(LEFT(P40,2))),"Scheduled",IF(Q40="","In force",IF(Q40="N/A","In force",IF(TODAY()&lt;DATE(VALUE(RIGHT(Q40,4)),VALUE(MID(Q40,4,2)),VALUE(LEFT(Q40,2))),"In force","Ended"))))))</f>
        <v/>
      </c>
      <c r="U40" s="610" t="inlineStr">
        <is>
          <t>National Development and Reform Commission (Department of Economic Operation and Regulation); National Energy Administration (Department of New and Renewable Energy)</t>
        </is>
      </c>
      <c r="V40" s="610" t="inlineStr">
        <is>
          <t>Peak-shaving resources (pumped-storage hydropower, new-type energy storage such as electrochemical storage, gas-fired power, CSP plants, flexibility-retrofitted coal-fired power)</t>
        </is>
      </c>
      <c r="W40" s="610" t="inlineStr">
        <is>
          <t>New</t>
        </is>
      </c>
      <c r="X40" s="610"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Y40" s="610" t="inlineStr">
        <is>
          <t>N/A</t>
        </is>
      </c>
      <c r="Z40" s="610" t="inlineStr">
        <is>
          <t>N/A</t>
        </is>
      </c>
      <c r="AA40" s="610" t="inlineStr">
        <is>
          <t>Firms</t>
        </is>
      </c>
      <c r="AB40" s="610"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C40" s="610" t="inlineStr">
        <is>
          <t>Production, transmission and distribution of electricity</t>
        </is>
      </c>
      <c r="AD40" s="610"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E40" s="610" t="inlineStr">
        <is>
          <t>N/A</t>
        </is>
      </c>
      <c r="AF40" s="610" t="inlineStr">
        <is>
          <t>N/A</t>
        </is>
      </c>
      <c r="AG40" s="610" t="inlineStr">
        <is>
          <t>N/A</t>
        </is>
      </c>
      <c r="AH40" s="610"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I40" s="610" t="inlineStr">
        <is>
          <t>N/A</t>
        </is>
      </c>
      <c r="AJ40" s="610" t="inlineStr">
        <is>
          <t>N/A</t>
        </is>
      </c>
      <c r="AK40" s="610" t="inlineStr">
        <is>
          <t>Enterprises building peak-shaving capacity at a linkage ratio of 20% or above receive priority grid-connection arrangements; unused peak-shaving resources may be traded intra-provincially to other power generation enterprises, generating additional revenue.</t>
        </is>
      </c>
      <c r="AL40" s="610"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M40" s="610"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N40" s="610"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O40" s="610" t="inlineStr">
        <is>
          <t>N/A (this instrument is a voluntary tool; the share of GHG emissions covered depends on voluntary uptake)</t>
        </is>
      </c>
      <c r="AP40" s="610" t="inlineStr">
        <is>
          <t>D35</t>
        </is>
      </c>
      <c r="AQ40" s="610" t="inlineStr">
        <is>
          <t>CO2</t>
        </is>
      </c>
      <c r="AR40" s="610" t="inlineStr">
        <is>
          <t>Positive</t>
        </is>
      </c>
      <c r="AS40" s="610" t="inlineStr">
        <is>
          <t>Renewable energy development; Technological innovation</t>
        </is>
      </c>
      <c r="AT40" s="610"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U40" s="610" t="inlineStr">
        <is>
          <t>https://www.ndrc.gov.cn/xwdt/tzgg/202108/t20210810_1293397_ext.html</t>
        </is>
      </c>
      <c r="AV40" s="610" t="inlineStr">
        <is>
          <t>N/A</t>
        </is>
      </c>
      <c r="AW40" s="610" t="inlineStr"/>
    </row>
    <row r="41">
      <c r="A41" s="610" t="inlineStr">
        <is>
          <t>CHNVIIVLBI11S000</t>
        </is>
      </c>
      <c r="B41" s="610" t="inlineStr">
        <is>
          <t>Instrument</t>
        </is>
      </c>
      <c r="C41" s="610" t="inlineStr">
        <is>
          <t>Voluntary information instrument</t>
        </is>
      </c>
      <c r="D41" s="610" t="inlineStr">
        <is>
          <t>Voluntary certification and labelling scheme</t>
        </is>
      </c>
      <c r="E41" s="610" t="inlineStr">
        <is>
          <t>Industry</t>
        </is>
      </c>
      <c r="F41" s="610" t="inlineStr">
        <is>
          <t>N/A</t>
        </is>
      </c>
      <c r="G41" s="610" t="inlineStr">
        <is>
          <t>零碳工厂标识</t>
        </is>
      </c>
      <c r="H41" s="610" t="inlineStr">
        <is>
          <t>Zero-Carbon Factory Label</t>
        </is>
      </c>
      <c r="I41" s="610" t="inlineStr">
        <is>
          <t>N/A</t>
        </is>
      </c>
      <c r="J41" s="610"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1" s="610" t="inlineStr">
        <is>
          <t>Climate change mitigation; Industrial development</t>
        </is>
      </c>
      <c r="L41" s="610" t="inlineStr">
        <is>
          <t>Direct</t>
        </is>
      </c>
      <c r="M41" s="610" t="inlineStr">
        <is>
          <t>national</t>
        </is>
      </c>
      <c r="N41" s="610" t="inlineStr">
        <is>
          <t>N/A</t>
        </is>
      </c>
      <c r="O41" s="610" t="inlineStr">
        <is>
          <t>13/07/2026</t>
        </is>
      </c>
      <c r="P41" s="610" t="inlineStr">
        <is>
          <t>22/07/2026</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Ministry of Industry and Information Technology (Department of Energy Conservation and Comprehensive Utilisation, lead); provincial industry and information technology authorities (review, recommendation and follow-up management)</t>
        </is>
      </c>
      <c r="V41" s="610" t="inlineStr">
        <is>
          <t>Manufacturing enterprises; computing facilities (national zero-carbon factory designation and evaluation objects)</t>
        </is>
      </c>
      <c r="W41" s="610" t="inlineStr">
        <is>
          <t>Existing</t>
        </is>
      </c>
      <c r="X41" s="610"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Y41" s="610" t="inlineStr">
        <is>
          <t>N/A</t>
        </is>
      </c>
      <c r="Z41" s="610" t="inlineStr">
        <is>
          <t>Annual comprehensive energy consumption ≥ 1,000 tonnes of standard coal equivalent (manufacturing enterprises); scale ≥ 3,000 standard racks (computing facilities, excluding AI computing centres)</t>
        </is>
      </c>
      <c r="AA41" s="610" t="inlineStr">
        <is>
          <t>Firms</t>
        </is>
      </c>
      <c r="AB41" s="610"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C41" s="610" t="inlineStr">
        <is>
          <t>Registration, licensing or other administrative tasks</t>
        </is>
      </c>
      <c r="AD41" s="610"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E41" s="610" t="inlineStr">
        <is>
          <t>N/A</t>
        </is>
      </c>
      <c r="AF41" s="610" t="inlineStr">
        <is>
          <t>N/A</t>
        </is>
      </c>
      <c r="AG41" s="610" t="inlineStr">
        <is>
          <t>N/A</t>
        </is>
      </c>
      <c r="AH41" s="610"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I41" s="610" t="inlineStr">
        <is>
          <t>N/A</t>
        </is>
      </c>
      <c r="AJ41" s="610" t="inlineStr">
        <is>
          <t>N/A</t>
        </is>
      </c>
      <c r="AK41" s="610"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L41" s="610"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M41" s="610"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1" s="610" t="inlineStr">
        <is>
          <t>N/A (voluntary labelling instrument; coverage depends on the scale and number of voluntarily applying and designated manufacturing enterprises and computing facilities, with no fixed quantifiable coverage amount)</t>
        </is>
      </c>
      <c r="AO41" s="610" t="inlineStr">
        <is>
          <t>N/A</t>
        </is>
      </c>
      <c r="AP41" s="610" t="inlineStr">
        <is>
          <t>C10; C11; C12; C13; C14; C15; C16; C17; C18; C19; C20; C21; C22; C23; C24; C25; C26; C27; C28; C29; C30; C31; C32; C33; J63</t>
        </is>
      </c>
      <c r="AQ41" s="610" t="inlineStr">
        <is>
          <t>CO2</t>
        </is>
      </c>
      <c r="AR41" s="610" t="inlineStr">
        <is>
          <t>Positive</t>
        </is>
      </c>
      <c r="AS41" s="610" t="inlineStr">
        <is>
          <t>Technological innovation; Industrial development; Energy conservation; Renewable energy development</t>
        </is>
      </c>
      <c r="AT41" s="610"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1" s="610" t="inlineStr">
        <is>
          <t>https://www.miit.gov.cn/jgsj/jns/nyjy/art/2026/art_93fe83f24eb843789a636f6c5f9e79c6.html</t>
        </is>
      </c>
      <c r="AV41" s="610" t="inlineStr">
        <is>
          <t>N/A</t>
        </is>
      </c>
      <c r="AW41" s="610" t="inlineStr"/>
    </row>
    <row r="42">
      <c r="A42" s="464" t="inlineStr">
        <is>
          <t>CHNVIIVLBI11S001</t>
        </is>
      </c>
      <c r="B42" s="464" t="inlineStr">
        <is>
          <t>Subscheme</t>
        </is>
      </c>
      <c r="C42" s="464" t="inlineStr">
        <is>
          <t>Voluntary information instrument</t>
        </is>
      </c>
      <c r="D42" s="464" t="inlineStr">
        <is>
          <t>Voluntary certification and labelling scheme</t>
        </is>
      </c>
      <c r="E42" s="464" t="inlineStr">
        <is>
          <t>Industry</t>
        </is>
      </c>
      <c r="F42" s="464" t="inlineStr">
        <is>
          <t>N/A</t>
        </is>
      </c>
      <c r="G42" s="464" t="inlineStr">
        <is>
          <t>零碳工厂（制造型企业）</t>
        </is>
      </c>
      <c r="H42" s="464" t="inlineStr">
        <is>
          <t>Zero-Carbon Factory (Manufacturing Enterprise)</t>
        </is>
      </c>
      <c r="I42" s="464" t="inlineStr">
        <is>
          <t>Zero-Carbon Factory Label</t>
        </is>
      </c>
      <c r="J42" s="464"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2" s="464" t="inlineStr">
        <is>
          <t>Climate change mitigation; Industrial development</t>
        </is>
      </c>
      <c r="L42" s="464" t="inlineStr">
        <is>
          <t>Direct</t>
        </is>
      </c>
      <c r="M42" s="464" t="inlineStr">
        <is>
          <t>national</t>
        </is>
      </c>
      <c r="N42" s="464" t="inlineStr">
        <is>
          <t>N/A</t>
        </is>
      </c>
      <c r="O42" s="464" t="inlineStr">
        <is>
          <t>13/07/2026</t>
        </is>
      </c>
      <c r="P42" s="464" t="inlineStr">
        <is>
          <t>22/07/2026</t>
        </is>
      </c>
      <c r="Q42" s="464" t="inlineStr">
        <is>
          <t>N/A</t>
        </is>
      </c>
      <c r="R42" s="464" t="inlineStr">
        <is>
          <t>N/A</t>
        </is>
      </c>
      <c r="S42" s="464" t="inlineStr">
        <is>
          <t>N/A</t>
        </is>
      </c>
      <c r="T42" s="464">
        <f>IF(P42="","In force",IF(P42="N/A","In force",IF(TODAY()&lt;DATE(VALUE(RIGHT(P42,4)),VALUE(MID(P42,4,2)),VALUE(LEFT(P42,2))),"Scheduled",IF(Q42="","In force",IF(Q42="N/A","In force",IF(TODAY()&lt;DATE(VALUE(RIGHT(Q42,4)),VALUE(MID(Q42,4,2)),VALUE(LEFT(Q42,2))),"In force","Ended"))))))</f>
        <v/>
      </c>
      <c r="U42" s="464" t="inlineStr">
        <is>
          <t>Ministry of Industry and Information Technology (Department of Energy Conservation and Comprehensive Utilisation); provincial industry and information technology authorities</t>
        </is>
      </c>
      <c r="V42" s="464" t="inlineStr">
        <is>
          <t>Above-designated-size industrial enterprises (manufacturing type)</t>
        </is>
      </c>
      <c r="W42" s="464" t="inlineStr">
        <is>
          <t>Existing</t>
        </is>
      </c>
      <c r="X42" s="464"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Y42" s="464" t="inlineStr">
        <is>
          <t>N/A</t>
        </is>
      </c>
      <c r="Z42" s="464" t="inlineStr">
        <is>
          <t>Annual comprehensive energy consumption ≥ 1,000 tonnes of standard coal equivalent (electricity converted by calorific equivalent)</t>
        </is>
      </c>
      <c r="AA42" s="464" t="inlineStr">
        <is>
          <t>Firms</t>
        </is>
      </c>
      <c r="AB42" s="464"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C42" s="464" t="inlineStr">
        <is>
          <t>Registration, licensing or other administrative tasks</t>
        </is>
      </c>
      <c r="AD42" s="464"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E42" s="464" t="inlineStr">
        <is>
          <t>N/A</t>
        </is>
      </c>
      <c r="AF42" s="464" t="inlineStr">
        <is>
          <t>N/A</t>
        </is>
      </c>
      <c r="AG42" s="464" t="inlineStr">
        <is>
          <t>N/A</t>
        </is>
      </c>
      <c r="AH42" s="464"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I42" s="464" t="inlineStr">
        <is>
          <t>N/A</t>
        </is>
      </c>
      <c r="AJ42" s="464" t="inlineStr">
        <is>
          <t>N/A</t>
        </is>
      </c>
      <c r="AK42" s="464"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L42"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M42"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2" s="464" t="inlineStr">
        <is>
          <t>N/A (voluntary labelling instrument; coverage depends on the scale and number of voluntarily applying and designated enterprises, with no fixed quantifiable coverage amount)</t>
        </is>
      </c>
      <c r="AO42" s="464" t="inlineStr">
        <is>
          <t>N/A</t>
        </is>
      </c>
      <c r="AP42" s="464" t="inlineStr">
        <is>
          <t>C10; C11; C12; C13; C14; C15; C16; C17; C18; C19; C20; C21; C22; C23; C24; C25; C26; C27; C28; C29; C30; C31; C32; C33</t>
        </is>
      </c>
      <c r="AQ42" s="464" t="inlineStr">
        <is>
          <t>CO2</t>
        </is>
      </c>
      <c r="AR42" s="464" t="inlineStr">
        <is>
          <t>Positive</t>
        </is>
      </c>
      <c r="AS42" s="464" t="inlineStr">
        <is>
          <t>Technological innovation; Industrial development; Energy conservation</t>
        </is>
      </c>
      <c r="AT42"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2" s="464" t="inlineStr">
        <is>
          <t>https://www.miit.gov.cn/jgsj/jns/nyjy/art/2026/art_93fe83f24eb843789a636f6c5f9e79c6.html</t>
        </is>
      </c>
      <c r="AV42" s="464" t="inlineStr">
        <is>
          <t>N/A</t>
        </is>
      </c>
      <c r="AW42" s="464" t="inlineStr"/>
    </row>
    <row r="43">
      <c r="A43" s="464" t="inlineStr">
        <is>
          <t>CHNVIIVLBI11S002</t>
        </is>
      </c>
      <c r="B43" s="464" t="inlineStr">
        <is>
          <t>Subscheme</t>
        </is>
      </c>
      <c r="C43" s="464" t="inlineStr">
        <is>
          <t>Voluntary information instrument</t>
        </is>
      </c>
      <c r="D43" s="464" t="inlineStr">
        <is>
          <t>Voluntary certification and labelling scheme</t>
        </is>
      </c>
      <c r="E43" s="464" t="inlineStr">
        <is>
          <t>Industry</t>
        </is>
      </c>
      <c r="F43" s="464" t="inlineStr">
        <is>
          <t>Data centres (computing facilities)</t>
        </is>
      </c>
      <c r="G43" s="464" t="inlineStr">
        <is>
          <t>零碳算力设施</t>
        </is>
      </c>
      <c r="H43" s="464" t="inlineStr">
        <is>
          <t>Zero-Carbon Computing Facility</t>
        </is>
      </c>
      <c r="I43" s="464" t="inlineStr">
        <is>
          <t>Zero-Carbon Factory Label</t>
        </is>
      </c>
      <c r="J43" s="464"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3" s="464" t="inlineStr">
        <is>
          <t>Climate change mitigation; Industrial development</t>
        </is>
      </c>
      <c r="L43" s="464" t="inlineStr">
        <is>
          <t>Direct</t>
        </is>
      </c>
      <c r="M43" s="464" t="inlineStr">
        <is>
          <t>national</t>
        </is>
      </c>
      <c r="N43" s="464" t="inlineStr">
        <is>
          <t>N/A</t>
        </is>
      </c>
      <c r="O43" s="464" t="inlineStr">
        <is>
          <t>13/07/2026</t>
        </is>
      </c>
      <c r="P43" s="464" t="inlineStr">
        <is>
          <t>22/07/2026</t>
        </is>
      </c>
      <c r="Q43" s="464" t="inlineStr">
        <is>
          <t>N/A</t>
        </is>
      </c>
      <c r="R43" s="464" t="inlineStr">
        <is>
          <t>N/A</t>
        </is>
      </c>
      <c r="S43" s="464" t="inlineStr">
        <is>
          <t>N/A</t>
        </is>
      </c>
      <c r="T43" s="464">
        <f>IF(P43="","In force",IF(P43="N/A","In force",IF(TODAY()&lt;DATE(VALUE(RIGHT(P43,4)),VALUE(MID(P43,4,2)),VALUE(LEFT(P43,2))),"Scheduled",IF(Q43="","In force",IF(Q43="N/A","In force",IF(TODAY()&lt;DATE(VALUE(RIGHT(Q43,4)),VALUE(MID(Q43,4,2)),VALUE(LEFT(Q43,2))),"In force","Ended"))))))</f>
        <v/>
      </c>
      <c r="U43" s="464" t="inlineStr">
        <is>
          <t>Ministry of Industry and Information Technology (Department of Energy Conservation and Comprehensive Utilisation); provincial industry and information technology authorities</t>
        </is>
      </c>
      <c r="V43" s="464" t="inlineStr">
        <is>
          <t>Computing facilities</t>
        </is>
      </c>
      <c r="W43" s="464" t="inlineStr">
        <is>
          <t>Existing</t>
        </is>
      </c>
      <c r="X43" s="464"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Y43" s="464" t="inlineStr">
        <is>
          <t>N/A</t>
        </is>
      </c>
      <c r="Z43" s="464" t="inlineStr">
        <is>
          <t>Scale ≥ 3,000 standard racks (not applicable to AI computing centres); PUE reaching Level 2 or above under GB 40879-2021</t>
        </is>
      </c>
      <c r="AA43" s="464" t="inlineStr">
        <is>
          <t>Firms</t>
        </is>
      </c>
      <c r="AB43" s="464"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C43" s="464" t="inlineStr">
        <is>
          <t>Registration, licensing or other administrative tasks</t>
        </is>
      </c>
      <c r="AD43" s="464"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E43" s="464" t="inlineStr">
        <is>
          <t>N/A</t>
        </is>
      </c>
      <c r="AF43" s="464" t="inlineStr">
        <is>
          <t>N/A</t>
        </is>
      </c>
      <c r="AG43" s="464" t="inlineStr">
        <is>
          <t>N/A</t>
        </is>
      </c>
      <c r="AH43" s="464"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I43" s="464" t="inlineStr">
        <is>
          <t>N/A</t>
        </is>
      </c>
      <c r="AJ43" s="464" t="inlineStr">
        <is>
          <t>N/A</t>
        </is>
      </c>
      <c r="AK43" s="464"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L43"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M43"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3" s="464" t="inlineStr">
        <is>
          <t>N/A (voluntary labelling instrument; coverage depends on the scale and number of voluntarily applying and designated computing facilities, with no fixed quantifiable coverage amount)</t>
        </is>
      </c>
      <c r="AO43" s="464" t="inlineStr">
        <is>
          <t>N/A</t>
        </is>
      </c>
      <c r="AP43" s="464" t="inlineStr">
        <is>
          <t>J63</t>
        </is>
      </c>
      <c r="AQ43" s="464" t="inlineStr">
        <is>
          <t>CO2</t>
        </is>
      </c>
      <c r="AR43" s="464" t="inlineStr">
        <is>
          <t>Positive</t>
        </is>
      </c>
      <c r="AS43" s="464" t="inlineStr">
        <is>
          <t>Technological innovation; Energy conservation; Renewable energy development</t>
        </is>
      </c>
      <c r="AT43"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3" s="464" t="inlineStr">
        <is>
          <t>https://www.miit.gov.cn/jgsj/jns/nyjy/art/2026/art_93fe83f24eb843789a636f6c5f9e79c6.html</t>
        </is>
      </c>
      <c r="AV43" s="464" t="inlineStr">
        <is>
          <t>N/A</t>
        </is>
      </c>
      <c r="AW43" s="464" t="inlineStr"/>
    </row>
  </sheetData>
  <mergeCells count="9">
    <mergeCell ref="G1:L1"/>
    <mergeCell ref="AK1:AM1"/>
    <mergeCell ref="V1:AJ1"/>
    <mergeCell ref="AT1:AV1"/>
    <mergeCell ref="AN1:AO1"/>
    <mergeCell ref="M1:U1"/>
    <mergeCell ref="C1:F1"/>
    <mergeCell ref="A1:B1"/>
    <mergeCell ref="AP1:AS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4"/>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59" t="n"/>
      <c r="G1" s="499" t="n"/>
      <c r="H1" s="499" t="n"/>
      <c r="I1" s="499" t="n"/>
      <c r="J1" s="499" t="n"/>
      <c r="K1" s="499" t="n"/>
      <c r="L1" s="499" t="n"/>
      <c r="M1" s="499" t="n"/>
      <c r="N1" s="499" t="n"/>
      <c r="O1" s="499" t="n"/>
      <c r="P1" s="499" t="n"/>
      <c r="Q1" s="499" t="n"/>
      <c r="R1" s="499" t="n"/>
      <c r="S1" s="499" t="n"/>
      <c r="T1" s="499" t="n"/>
    </row>
    <row r="2" ht="15" customHeight="1">
      <c r="A2" s="446" t="inlineStr">
        <is>
          <t>Common Attributes</t>
        </is>
      </c>
      <c r="B2" s="339" t="n"/>
      <c r="C2" s="339" t="n"/>
      <c r="D2" s="339" t="n"/>
      <c r="E2" s="340" t="n"/>
      <c r="F2" s="459" t="n"/>
      <c r="G2" s="499" t="n"/>
      <c r="H2" s="499" t="n"/>
      <c r="I2" s="499" t="n"/>
      <c r="J2" s="499" t="n"/>
      <c r="K2" s="499" t="n"/>
      <c r="L2" s="499" t="n"/>
      <c r="M2" s="499" t="n"/>
      <c r="N2" s="499" t="n"/>
      <c r="O2" s="499" t="n"/>
      <c r="P2" s="499" t="n"/>
      <c r="Q2" s="499" t="n"/>
      <c r="R2" s="499" t="n"/>
      <c r="S2" s="499" t="n"/>
      <c r="T2" s="499" t="n"/>
    </row>
    <row r="3" ht="15" customHeight="1">
      <c r="A3" s="450"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59" t="n"/>
      <c r="G3" s="499" t="n"/>
      <c r="H3" s="499" t="n"/>
      <c r="I3" s="499" t="n"/>
      <c r="J3" s="499" t="n"/>
      <c r="K3" s="499" t="n"/>
      <c r="L3" s="499" t="n"/>
      <c r="M3" s="499" t="n"/>
      <c r="N3" s="499" t="n"/>
      <c r="O3" s="499" t="n"/>
      <c r="P3" s="499" t="n"/>
      <c r="Q3" s="499" t="n"/>
      <c r="R3" s="499" t="n"/>
      <c r="S3" s="499" t="n"/>
      <c r="T3" s="499"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59" t="n"/>
      <c r="G4" s="499" t="n"/>
      <c r="H4" s="499" t="n"/>
      <c r="I4" s="499" t="n"/>
      <c r="J4" s="499" t="n"/>
      <c r="K4" s="499" t="n"/>
      <c r="L4" s="499" t="n"/>
      <c r="M4" s="499" t="n"/>
      <c r="N4" s="499" t="n"/>
      <c r="O4" s="499" t="n"/>
      <c r="P4" s="499" t="n"/>
      <c r="Q4" s="499" t="n"/>
      <c r="R4" s="499" t="n"/>
      <c r="S4" s="499" t="n"/>
      <c r="T4" s="499"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59" t="n"/>
      <c r="G5" s="499" t="n"/>
      <c r="H5" s="499" t="n"/>
      <c r="I5" s="499" t="n"/>
      <c r="J5" s="499" t="n"/>
      <c r="K5" s="499" t="n"/>
      <c r="L5" s="499" t="n"/>
      <c r="M5" s="499" t="n"/>
      <c r="N5" s="499" t="n"/>
      <c r="O5" s="499" t="n"/>
      <c r="P5" s="499" t="n"/>
      <c r="Q5" s="499" t="n"/>
      <c r="R5" s="499" t="n"/>
      <c r="S5" s="499" t="n"/>
      <c r="T5" s="499"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59" t="n"/>
      <c r="G6" s="499" t="n"/>
      <c r="H6" s="499" t="n"/>
      <c r="I6" s="499" t="n"/>
      <c r="J6" s="499" t="n"/>
      <c r="K6" s="499" t="n"/>
      <c r="L6" s="499" t="n"/>
      <c r="M6" s="499" t="n"/>
      <c r="N6" s="499" t="n"/>
      <c r="O6" s="499" t="n"/>
      <c r="P6" s="499" t="n"/>
      <c r="Q6" s="499" t="n"/>
      <c r="R6" s="499" t="n"/>
      <c r="S6" s="499" t="n"/>
      <c r="T6" s="499"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59" t="n"/>
      <c r="G7" s="499" t="n"/>
      <c r="H7" s="499" t="n"/>
      <c r="I7" s="499" t="n"/>
      <c r="J7" s="499" t="n"/>
      <c r="K7" s="499" t="n"/>
      <c r="L7" s="499" t="n"/>
      <c r="M7" s="499" t="n"/>
      <c r="N7" s="499" t="n"/>
      <c r="O7" s="499" t="n"/>
      <c r="P7" s="499" t="n"/>
      <c r="Q7" s="499" t="n"/>
      <c r="R7" s="499" t="n"/>
      <c r="S7" s="499" t="n"/>
      <c r="T7" s="499"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59" t="n"/>
      <c r="G8" s="499" t="n"/>
      <c r="H8" s="499" t="n"/>
      <c r="I8" s="499" t="n"/>
      <c r="J8" s="499" t="n"/>
      <c r="K8" s="499" t="n"/>
      <c r="L8" s="499" t="n"/>
      <c r="M8" s="499" t="n"/>
      <c r="N8" s="499" t="n"/>
      <c r="O8" s="499" t="n"/>
      <c r="P8" s="499" t="n"/>
      <c r="Q8" s="499" t="n"/>
      <c r="R8" s="499" t="n"/>
      <c r="S8" s="499" t="n"/>
      <c r="T8" s="499" t="n"/>
    </row>
    <row r="9" ht="15" customHeight="1">
      <c r="A9" s="369" t="n"/>
      <c r="B9" s="448" t="inlineStr">
        <is>
          <t>English name</t>
        </is>
      </c>
      <c r="C9" s="448" t="inlineStr">
        <is>
          <t>English translation of domestic instrument name</t>
        </is>
      </c>
      <c r="D9" s="449" t="inlineStr">
        <is>
          <t>Free text</t>
        </is>
      </c>
      <c r="E9" s="449" t="inlineStr">
        <is>
          <t>N/A</t>
        </is>
      </c>
      <c r="F9" s="459" t="n"/>
      <c r="G9" s="499" t="n"/>
      <c r="H9" s="499" t="n"/>
      <c r="I9" s="499" t="n"/>
      <c r="J9" s="499" t="n"/>
      <c r="K9" s="499" t="n"/>
      <c r="L9" s="499" t="n"/>
      <c r="M9" s="499" t="n"/>
      <c r="N9" s="499" t="n"/>
      <c r="O9" s="499" t="n"/>
      <c r="P9" s="499" t="n"/>
      <c r="Q9" s="499" t="n"/>
      <c r="R9" s="499" t="n"/>
      <c r="S9" s="499" t="n"/>
      <c r="T9" s="499"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59" t="n"/>
      <c r="G10" s="499" t="n"/>
      <c r="H10" s="499" t="n"/>
      <c r="I10" s="499" t="n"/>
      <c r="J10" s="499" t="n"/>
      <c r="K10" s="499" t="n"/>
      <c r="L10" s="499" t="n"/>
      <c r="M10" s="499" t="n"/>
      <c r="N10" s="499" t="n"/>
      <c r="O10" s="499" t="n"/>
      <c r="P10" s="499" t="n"/>
      <c r="Q10" s="499" t="n"/>
      <c r="R10" s="499" t="n"/>
      <c r="S10" s="499" t="n"/>
      <c r="T10" s="499"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59" t="n"/>
      <c r="G11" s="499" t="n"/>
      <c r="H11" s="499" t="n"/>
      <c r="I11" s="499" t="n"/>
      <c r="J11" s="499" t="n"/>
      <c r="K11" s="499" t="n"/>
      <c r="L11" s="499" t="n"/>
      <c r="M11" s="499" t="n"/>
      <c r="N11" s="499" t="n"/>
      <c r="O11" s="499" t="n"/>
      <c r="P11" s="499" t="n"/>
      <c r="Q11" s="499" t="n"/>
      <c r="R11" s="499" t="n"/>
      <c r="S11" s="499" t="n"/>
      <c r="T11" s="499" t="n"/>
    </row>
    <row r="12" ht="15" customHeight="1">
      <c r="A12" s="369" t="n"/>
      <c r="B12" s="448" t="inlineStr">
        <is>
          <t>Objective</t>
        </is>
      </c>
      <c r="C12" s="448" t="inlineStr">
        <is>
          <t>Policy objective as explicitly stated in the legislation</t>
        </is>
      </c>
      <c r="D12" s="449" t="inlineStr">
        <is>
          <t>Categorial (multiple choice)</t>
        </is>
      </c>
      <c r="E12" s="449" t="inlineStr">
        <is>
          <t>Climate change mitigation; Non-fossil energy; Energy efficiency; Green economy; Technological innovation; Energy security; Pollution control; Ecological protection; Biodiversity protection; Natural resource protection; Circular economy; Climate change adaptation; Green finance; Electrification; Industrial development; Green consumption; Information disclosure; Public awareness; Ozone layer protection</t>
        </is>
      </c>
      <c r="F12" s="459" t="n"/>
      <c r="G12" s="499" t="n"/>
      <c r="H12" s="499" t="n"/>
      <c r="I12" s="499" t="n"/>
      <c r="J12" s="499" t="n"/>
      <c r="K12" s="499" t="n"/>
      <c r="L12" s="499" t="n"/>
      <c r="M12" s="499" t="n"/>
      <c r="N12" s="499" t="n"/>
      <c r="O12" s="499" t="n"/>
      <c r="P12" s="499" t="n"/>
      <c r="Q12" s="499" t="n"/>
      <c r="R12" s="499" t="n"/>
      <c r="S12" s="499" t="n"/>
      <c r="T12" s="499"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59" t="n"/>
      <c r="G13" s="499" t="n"/>
      <c r="H13" s="499" t="n"/>
      <c r="I13" s="499" t="n"/>
      <c r="J13" s="499" t="n"/>
      <c r="K13" s="499" t="n"/>
      <c r="L13" s="499" t="n"/>
      <c r="M13" s="499" t="n"/>
      <c r="N13" s="499" t="n"/>
      <c r="O13" s="499" t="n"/>
      <c r="P13" s="499" t="n"/>
      <c r="Q13" s="499" t="n"/>
      <c r="R13" s="499" t="n"/>
      <c r="S13" s="499" t="n"/>
      <c r="T13" s="499" t="n"/>
    </row>
    <row r="14" ht="15" customHeight="1">
      <c r="A14" s="369" t="n"/>
      <c r="B14" s="448" t="inlineStr">
        <is>
          <t>Jurisdiction level</t>
        </is>
      </c>
      <c r="C14" s="448" t="inlineStr">
        <is>
          <t>Jurisdiction level where the instrument is applied</t>
        </is>
      </c>
      <c r="D14" s="449" t="inlineStr">
        <is>
          <t>Categorial (single choice)</t>
        </is>
      </c>
      <c r="E14" s="449" t="inlineStr">
        <is>
          <t>National; Sub-national; Supra-national; Special economic zone</t>
        </is>
      </c>
      <c r="F14" s="459" t="n"/>
      <c r="G14" s="499" t="n"/>
      <c r="H14" s="499" t="n"/>
      <c r="I14" s="499" t="n"/>
      <c r="J14" s="499" t="n"/>
      <c r="K14" s="499" t="n"/>
      <c r="L14" s="499" t="n"/>
      <c r="M14" s="499" t="n"/>
      <c r="N14" s="499" t="n"/>
      <c r="O14" s="499" t="n"/>
      <c r="P14" s="499" t="n"/>
      <c r="Q14" s="499" t="n"/>
      <c r="R14" s="499" t="n"/>
      <c r="S14" s="499" t="n"/>
      <c r="T14" s="499" t="n"/>
    </row>
    <row r="15" ht="15" customHeight="1">
      <c r="A15" s="369" t="n"/>
      <c r="B15" s="448" t="inlineStr">
        <is>
          <t>Jurisdiction name</t>
        </is>
      </c>
      <c r="C15" s="448" t="inlineStr">
        <is>
          <t>Name of jurisdiction if it is applied at supra- / international or subnational level in english language</t>
        </is>
      </c>
      <c r="D15" s="449" t="inlineStr">
        <is>
          <t>Free</t>
        </is>
      </c>
      <c r="E15" s="449" t="inlineStr">
        <is>
          <t>N/A</t>
        </is>
      </c>
      <c r="F15" s="459" t="n"/>
      <c r="G15" s="499" t="n"/>
      <c r="H15" s="499" t="n"/>
      <c r="I15" s="499" t="n"/>
      <c r="J15" s="499" t="n"/>
      <c r="K15" s="499" t="n"/>
      <c r="L15" s="499" t="n"/>
      <c r="M15" s="499" t="n"/>
      <c r="N15" s="499" t="n"/>
      <c r="O15" s="499" t="n"/>
      <c r="P15" s="499" t="n"/>
      <c r="Q15" s="499" t="n"/>
      <c r="R15" s="499" t="n"/>
      <c r="S15" s="499" t="n"/>
      <c r="T15" s="499" t="n"/>
    </row>
    <row r="16" ht="15" customHeight="1">
      <c r="A16" s="369" t="n"/>
      <c r="B16" s="448" t="inlineStr">
        <is>
          <t>Status</t>
        </is>
      </c>
      <c r="C16" s="448" t="inlineStr">
        <is>
          <t>Defines if the instrument is active or inactive, and whether it is in force</t>
        </is>
      </c>
      <c r="D16" s="449" t="inlineStr">
        <is>
          <t>Categorial (single choice)</t>
        </is>
      </c>
      <c r="E16" s="449" t="inlineStr">
        <is>
          <t>In force; Scheduled; Ended; Non-existent</t>
        </is>
      </c>
      <c r="F16" s="459" t="n"/>
      <c r="G16" s="499" t="n"/>
      <c r="H16" s="499" t="n"/>
      <c r="I16" s="499" t="n"/>
      <c r="J16" s="499" t="n"/>
      <c r="K16" s="499" t="n"/>
      <c r="L16" s="499" t="n"/>
      <c r="M16" s="499" t="n"/>
      <c r="N16" s="499" t="n"/>
      <c r="O16" s="499" t="n"/>
      <c r="P16" s="499" t="n"/>
      <c r="Q16" s="499" t="n"/>
      <c r="R16" s="499" t="n"/>
      <c r="S16" s="499" t="n"/>
      <c r="T16" s="499" t="n"/>
    </row>
    <row r="17" ht="15" customHeight="1">
      <c r="A17" s="369" t="n"/>
      <c r="B17" s="448" t="inlineStr">
        <is>
          <t>Adoption date</t>
        </is>
      </c>
      <c r="C17" s="448" t="inlineStr">
        <is>
          <t>Date when the instrument is approved</t>
        </is>
      </c>
      <c r="D17" s="449" t="inlineStr">
        <is>
          <t>DMY protocol</t>
        </is>
      </c>
      <c r="E17" s="449" t="inlineStr">
        <is>
          <t>Fixed structure [mm/yyyy] or [yyyy]</t>
        </is>
      </c>
      <c r="F17" s="459" t="n"/>
      <c r="G17" s="499" t="n"/>
      <c r="H17" s="499" t="n"/>
      <c r="I17" s="499" t="n"/>
      <c r="J17" s="499" t="n"/>
      <c r="K17" s="499" t="n"/>
      <c r="L17" s="499" t="n"/>
      <c r="M17" s="499" t="n"/>
      <c r="N17" s="499" t="n"/>
      <c r="O17" s="499" t="n"/>
      <c r="P17" s="499" t="n"/>
      <c r="Q17" s="499" t="n"/>
      <c r="R17" s="499" t="n"/>
      <c r="S17" s="499" t="n"/>
      <c r="T17" s="499" t="n"/>
    </row>
    <row r="18" ht="15" customHeight="1">
      <c r="A18" s="369" t="n"/>
      <c r="B18" s="448" t="inlineStr">
        <is>
          <t>Start date</t>
        </is>
      </c>
      <c r="C18" s="448" t="inlineStr">
        <is>
          <t>Date of entry into force/ when the instrument became or will become legally binding</t>
        </is>
      </c>
      <c r="D18" s="449" t="inlineStr">
        <is>
          <t>DMY protocol</t>
        </is>
      </c>
      <c r="E18" s="449" t="inlineStr">
        <is>
          <t>Fixed structure [mm/yyyy] or [yyyy]</t>
        </is>
      </c>
      <c r="F18" s="459" t="n"/>
      <c r="G18" s="499" t="n"/>
      <c r="H18" s="499" t="n"/>
      <c r="I18" s="499" t="n"/>
      <c r="J18" s="499" t="n"/>
      <c r="K18" s="499" t="n"/>
      <c r="L18" s="499" t="n"/>
      <c r="M18" s="499" t="n"/>
      <c r="N18" s="499" t="n"/>
      <c r="O18" s="499" t="n"/>
      <c r="P18" s="499" t="n"/>
      <c r="Q18" s="499" t="n"/>
      <c r="R18" s="499" t="n"/>
      <c r="S18" s="499" t="n"/>
      <c r="T18" s="499" t="n"/>
    </row>
    <row r="19" ht="15" customHeight="1">
      <c r="A19" s="369" t="n"/>
      <c r="B19" s="448" t="inlineStr">
        <is>
          <t>End date</t>
        </is>
      </c>
      <c r="C19" s="448" t="inlineStr">
        <is>
          <t>Date when the final requirement of the legal mandate takes effect, if relevant</t>
        </is>
      </c>
      <c r="D19" s="449" t="inlineStr">
        <is>
          <t>DMY protocol</t>
        </is>
      </c>
      <c r="E19" s="449" t="inlineStr">
        <is>
          <t>Fixed structure [mm/yyyy] or [yyyy]</t>
        </is>
      </c>
      <c r="F19" s="459" t="n"/>
      <c r="G19" s="499" t="n"/>
      <c r="H19" s="499" t="n"/>
      <c r="I19" s="499" t="n"/>
      <c r="J19" s="499" t="n"/>
      <c r="K19" s="499" t="n"/>
      <c r="L19" s="499" t="n"/>
      <c r="M19" s="499" t="n"/>
      <c r="N19" s="499" t="n"/>
      <c r="O19" s="499" t="n"/>
      <c r="P19" s="499" t="n"/>
      <c r="Q19" s="499" t="n"/>
      <c r="R19" s="499" t="n"/>
      <c r="S19" s="499" t="n"/>
      <c r="T19" s="499" t="n"/>
    </row>
    <row r="20" ht="15" customHeight="1">
      <c r="A20" s="369" t="n"/>
      <c r="B20" s="448" t="inlineStr">
        <is>
          <t>Last revision</t>
        </is>
      </c>
      <c r="C20" s="448" t="inlineStr">
        <is>
          <t>Date of the last update/revision to the policy instrument</t>
        </is>
      </c>
      <c r="D20" s="449" t="inlineStr">
        <is>
          <t>DMY protocol</t>
        </is>
      </c>
      <c r="E20" s="449" t="inlineStr">
        <is>
          <t>Fixed structure [mm/yyyy] or [yyyy]</t>
        </is>
      </c>
      <c r="F20" s="459" t="n"/>
      <c r="G20" s="499" t="n"/>
      <c r="H20" s="499" t="n"/>
      <c r="I20" s="499" t="n"/>
      <c r="J20" s="499" t="n"/>
      <c r="K20" s="499" t="n"/>
      <c r="L20" s="499" t="n"/>
      <c r="M20" s="499" t="n"/>
      <c r="N20" s="499" t="n"/>
      <c r="O20" s="499" t="n"/>
      <c r="P20" s="499" t="n"/>
      <c r="Q20" s="499" t="n"/>
      <c r="R20" s="499" t="n"/>
      <c r="S20" s="499" t="n"/>
      <c r="T20" s="499" t="n"/>
    </row>
    <row r="21" ht="15" customHeight="1">
      <c r="A21" s="369" t="n"/>
      <c r="B21" s="448" t="inlineStr">
        <is>
          <t>Last revision details</t>
        </is>
      </c>
      <c r="C21" s="448" t="inlineStr">
        <is>
          <t>Informs on the nature of the last revision if applicable, what has been modified [broader scope, different intensity, new earmarking, etc) and/or previous relevant revisions</t>
        </is>
      </c>
      <c r="D21" s="449" t="inlineStr">
        <is>
          <t>Free text</t>
        </is>
      </c>
      <c r="E21" s="449" t="n"/>
      <c r="F21" s="459" t="n"/>
      <c r="G21" s="499" t="n"/>
      <c r="H21" s="499" t="n"/>
      <c r="I21" s="499" t="n"/>
      <c r="J21" s="499" t="n"/>
      <c r="K21" s="499" t="n"/>
      <c r="L21" s="499" t="n"/>
      <c r="M21" s="499" t="n"/>
      <c r="N21" s="499" t="n"/>
      <c r="O21" s="499" t="n"/>
      <c r="P21" s="499" t="n"/>
      <c r="Q21" s="499" t="n"/>
      <c r="R21" s="499" t="n"/>
      <c r="S21" s="499" t="n"/>
      <c r="T21" s="499" t="n"/>
    </row>
    <row r="22" ht="15" customHeight="1">
      <c r="A22" s="361" t="n"/>
      <c r="B22" s="448" t="inlineStr">
        <is>
          <t>Aministrating authority</t>
        </is>
      </c>
      <c r="C22" s="448" t="inlineStr">
        <is>
          <t>The institution(s) that implement and manage the instrument. This involves setting rates and/or defining the policy base</t>
        </is>
      </c>
      <c r="D22" s="449" t="inlineStr">
        <is>
          <t>Free</t>
        </is>
      </c>
      <c r="E22" s="449" t="inlineStr">
        <is>
          <t>N/A</t>
        </is>
      </c>
      <c r="F22" s="459" t="n"/>
      <c r="G22" s="499" t="n"/>
      <c r="H22" s="499" t="n"/>
      <c r="I22" s="499" t="n"/>
      <c r="J22" s="499" t="n"/>
      <c r="K22" s="499" t="n"/>
      <c r="L22" s="499" t="n"/>
      <c r="M22" s="499" t="n"/>
      <c r="N22" s="499" t="n"/>
      <c r="O22" s="499" t="n"/>
      <c r="P22" s="499" t="n"/>
      <c r="Q22" s="499" t="n"/>
      <c r="R22" s="499" t="n"/>
      <c r="S22" s="499" t="n"/>
      <c r="T22" s="499" t="n"/>
    </row>
    <row r="23" ht="15" customHeight="1">
      <c r="A23" s="642" t="inlineStr">
        <is>
          <t>Policy regulatory base and intensity</t>
        </is>
      </c>
      <c r="B23" s="448" t="inlineStr">
        <is>
          <t>Regulated asset</t>
        </is>
      </c>
      <c r="C23" s="448" t="inlineStr">
        <is>
          <t>The object that is regulated; this can be a structure (e.g. boilers and turbines), a fuel (e.g. coal or gas), emissions, more generic objects such as products and inputs, as well as intangible assets</t>
        </is>
      </c>
      <c r="D23" s="449" t="inlineStr">
        <is>
          <t>Categorial (multiple choice), free for details</t>
        </is>
      </c>
      <c r="E23" s="449" t="inlineStr">
        <is>
          <t>Non-exhaustive list</t>
        </is>
      </c>
      <c r="F23" s="459" t="n"/>
      <c r="G23" s="499" t="n"/>
      <c r="H23" s="499" t="n"/>
      <c r="I23" s="499" t="n"/>
      <c r="J23" s="499" t="n"/>
      <c r="K23" s="499" t="n"/>
      <c r="L23" s="499" t="n"/>
      <c r="M23" s="499" t="n"/>
      <c r="N23" s="499" t="n"/>
      <c r="O23" s="499" t="n"/>
      <c r="P23" s="499" t="n"/>
      <c r="Q23" s="499" t="n"/>
      <c r="R23" s="499" t="n"/>
      <c r="S23" s="499" t="n"/>
      <c r="T23" s="499" t="n"/>
    </row>
    <row r="24" ht="15" customHeight="1">
      <c r="A24" s="369" t="n"/>
      <c r="B24" s="448" t="inlineStr">
        <is>
          <t>Regulated asset (Status)</t>
        </is>
      </c>
      <c r="C24" s="448" t="inlineStr">
        <is>
          <t>Asset status, i.e. whether an asset is newly sold or build, already existing (building stock or vehicle fleet) or is sold used</t>
        </is>
      </c>
      <c r="D24" s="449" t="inlineStr">
        <is>
          <t>Categorial</t>
        </is>
      </c>
      <c r="E24" s="449" t="inlineStr">
        <is>
          <t>New; existing</t>
        </is>
      </c>
      <c r="F24" s="459" t="n"/>
      <c r="G24" s="499" t="n"/>
      <c r="H24" s="499" t="n"/>
      <c r="I24" s="499" t="n"/>
      <c r="J24" s="499" t="n"/>
      <c r="K24" s="499" t="n"/>
      <c r="L24" s="499" t="n"/>
      <c r="M24" s="499" t="n"/>
      <c r="N24" s="499" t="n"/>
      <c r="O24" s="499" t="n"/>
      <c r="P24" s="499" t="n"/>
      <c r="Q24" s="499" t="n"/>
      <c r="R24" s="499" t="n"/>
      <c r="S24" s="499" t="n"/>
      <c r="T24" s="499" t="n"/>
    </row>
    <row r="25" ht="15" customHeight="1">
      <c r="A25" s="369" t="n"/>
      <c r="B25" s="448" t="inlineStr">
        <is>
          <t>Regulated asset (Details)</t>
        </is>
      </c>
      <c r="C25" s="448" t="inlineStr">
        <is>
          <t>Asset type, which can take various forms depending on asset. Could include enginge types, or other technological specifications</t>
        </is>
      </c>
      <c r="D25" s="449" t="inlineStr">
        <is>
          <t>Categorial</t>
        </is>
      </c>
      <c r="E25" s="449" t="inlineStr">
        <is>
          <t>Non-exhaustive list</t>
        </is>
      </c>
      <c r="F25" s="459" t="n"/>
      <c r="G25" s="499" t="n"/>
      <c r="H25" s="499" t="n"/>
      <c r="I25" s="499" t="n"/>
      <c r="J25" s="499" t="n"/>
      <c r="K25" s="499" t="n"/>
      <c r="L25" s="499" t="n"/>
      <c r="M25" s="499" t="n"/>
      <c r="N25" s="499" t="n"/>
      <c r="O25" s="499" t="n"/>
      <c r="P25" s="499" t="n"/>
      <c r="Q25" s="499" t="n"/>
      <c r="R25" s="499" t="n"/>
      <c r="S25" s="499" t="n"/>
      <c r="T25" s="499" t="n"/>
    </row>
    <row r="26" ht="15" customHeight="1">
      <c r="A26" s="369" t="n"/>
      <c r="B26" s="448" t="inlineStr">
        <is>
          <t>Regulated asset (Other)</t>
        </is>
      </c>
      <c r="C26" s="448" t="inlineStr">
        <is>
          <t>Other details relevant to define the regulated assets</t>
        </is>
      </c>
      <c r="D26" s="449" t="inlineStr">
        <is>
          <t>Free</t>
        </is>
      </c>
      <c r="E26" s="449" t="inlineStr">
        <is>
          <t>N/A</t>
        </is>
      </c>
      <c r="F26" s="459" t="n"/>
      <c r="G26" s="499" t="n"/>
      <c r="H26" s="499" t="n"/>
      <c r="I26" s="499" t="n"/>
      <c r="J26" s="499" t="n"/>
      <c r="K26" s="499" t="n"/>
      <c r="L26" s="499" t="n"/>
      <c r="M26" s="499" t="n"/>
      <c r="N26" s="499" t="n"/>
      <c r="O26" s="499" t="n"/>
      <c r="P26" s="499" t="n"/>
      <c r="Q26" s="499" t="n"/>
      <c r="R26" s="499" t="n"/>
      <c r="S26" s="499" t="n"/>
      <c r="T26" s="499" t="n"/>
    </row>
    <row r="27" ht="15" customHeight="1">
      <c r="A27" s="369" t="n"/>
      <c r="B27" s="448" t="inlineStr">
        <is>
          <t>Regulated asset (Cut-off range)</t>
        </is>
      </c>
      <c r="C27"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7" s="449" t="inlineStr">
        <is>
          <t>Open structure</t>
        </is>
      </c>
      <c r="E27" s="449" t="inlineStr">
        <is>
          <t>[XXXX ; YYYY] + unit</t>
        </is>
      </c>
      <c r="F27" s="459" t="n"/>
      <c r="G27" s="499" t="n"/>
      <c r="H27" s="499" t="n"/>
      <c r="I27" s="499" t="n"/>
      <c r="J27" s="499" t="n"/>
      <c r="K27" s="499" t="n"/>
      <c r="L27" s="499" t="n"/>
      <c r="M27" s="499" t="n"/>
      <c r="N27" s="499" t="n"/>
      <c r="O27" s="499" t="n"/>
      <c r="P27" s="499" t="n"/>
      <c r="Q27" s="499" t="n"/>
      <c r="R27" s="499" t="n"/>
      <c r="S27" s="499" t="n"/>
      <c r="T27" s="499" t="n"/>
    </row>
    <row r="28" ht="15" customHeight="1">
      <c r="A28" s="369" t="n"/>
      <c r="B28" s="448" t="inlineStr">
        <is>
          <t>Regulated agent</t>
        </is>
      </c>
      <c r="C28" s="448" t="inlineStr">
        <is>
          <t>Entity that must legally comply with the policy instrument, or that receive the established benefit or information</t>
        </is>
      </c>
      <c r="D28" s="449" t="inlineStr">
        <is>
          <t>Categorial (multiple choice), free for details</t>
        </is>
      </c>
      <c r="E28" s="449" t="inlineStr">
        <is>
          <t>Households; Firms; Governments; Non-governmental organisations</t>
        </is>
      </c>
      <c r="F28" s="459" t="n"/>
      <c r="G28" s="499" t="n"/>
      <c r="H28" s="499" t="n"/>
      <c r="I28" s="499" t="n"/>
      <c r="J28" s="499" t="n"/>
      <c r="K28" s="499" t="n"/>
      <c r="L28" s="499" t="n"/>
      <c r="M28" s="499" t="n"/>
      <c r="N28" s="499" t="n"/>
      <c r="O28" s="499" t="n"/>
      <c r="P28" s="499" t="n"/>
      <c r="Q28" s="499" t="n"/>
      <c r="R28" s="499" t="n"/>
      <c r="S28" s="499" t="n"/>
      <c r="T28" s="499" t="n"/>
    </row>
    <row r="29" ht="15" customHeight="1">
      <c r="A29" s="369" t="n"/>
      <c r="B29" s="448" t="inlineStr">
        <is>
          <t>Regulated agent (Detail)</t>
        </is>
      </c>
      <c r="C29" s="448" t="inlineStr">
        <is>
          <t>Details relevant to define the regulated agents (e.g., vehicles older than 10 years, housholds/firms above a certain revenue treshhold, etc.)</t>
        </is>
      </c>
      <c r="D29" s="449" t="inlineStr">
        <is>
          <t>Free</t>
        </is>
      </c>
      <c r="E29" s="449" t="inlineStr">
        <is>
          <t>N/A</t>
        </is>
      </c>
      <c r="F29" s="459" t="n"/>
      <c r="G29" s="499" t="n"/>
      <c r="H29" s="499" t="n"/>
      <c r="I29" s="499" t="n"/>
      <c r="J29" s="499" t="n"/>
      <c r="K29" s="499" t="n"/>
      <c r="L29" s="499" t="n"/>
      <c r="M29" s="499" t="n"/>
      <c r="N29" s="499" t="n"/>
      <c r="O29" s="499" t="n"/>
      <c r="P29" s="499" t="n"/>
      <c r="Q29" s="499" t="n"/>
      <c r="R29" s="499" t="n"/>
      <c r="S29" s="499" t="n"/>
      <c r="T29" s="499" t="n"/>
    </row>
    <row r="30" ht="15" customHeight="1">
      <c r="A30" s="369" t="n"/>
      <c r="B30" s="448" t="inlineStr">
        <is>
          <t>Regulated activity</t>
        </is>
      </c>
      <c r="C30" s="448" t="inlineStr">
        <is>
          <t>The point of incidence when the policy instrument intervenes</t>
        </is>
      </c>
      <c r="D30" s="449" t="inlineStr">
        <is>
          <t>Categorial (multiple choice), free for details</t>
        </is>
      </c>
      <c r="E30" s="449" t="inlineStr">
        <is>
          <t>Non-exhaustive list</t>
        </is>
      </c>
      <c r="F30" s="459" t="n"/>
      <c r="G30" s="499" t="n"/>
      <c r="H30" s="499" t="n"/>
      <c r="I30" s="499" t="n"/>
      <c r="J30" s="499" t="n"/>
      <c r="K30" s="499" t="n"/>
      <c r="L30" s="499" t="n"/>
      <c r="M30" s="499" t="n"/>
      <c r="N30" s="499" t="n"/>
      <c r="O30" s="499" t="n"/>
      <c r="P30" s="499" t="n"/>
      <c r="Q30" s="499" t="n"/>
      <c r="R30" s="499" t="n"/>
      <c r="S30" s="499" t="n"/>
      <c r="T30" s="499" t="n"/>
    </row>
    <row r="31" ht="15" customHeight="1">
      <c r="A31" s="369" t="n"/>
      <c r="B31" s="448" t="inlineStr">
        <is>
          <t>Regulated activity (Details)</t>
        </is>
      </c>
      <c r="C31" s="448" t="inlineStr">
        <is>
          <t>Other details relevant to define the regulated activity</t>
        </is>
      </c>
      <c r="D31" s="449" t="inlineStr">
        <is>
          <t>Free</t>
        </is>
      </c>
      <c r="E31" s="449" t="inlineStr">
        <is>
          <t>N/A</t>
        </is>
      </c>
      <c r="F31" s="459" t="n"/>
      <c r="G31" s="499" t="n"/>
      <c r="H31" s="499" t="n"/>
      <c r="I31" s="499" t="n"/>
      <c r="J31" s="499" t="n"/>
      <c r="K31" s="499" t="n"/>
      <c r="L31" s="499" t="n"/>
      <c r="M31" s="499" t="n"/>
      <c r="N31" s="499" t="n"/>
      <c r="O31" s="499" t="n"/>
      <c r="P31" s="499" t="n"/>
      <c r="Q31" s="499" t="n"/>
      <c r="R31" s="499" t="n"/>
      <c r="S31" s="499" t="n"/>
      <c r="T31" s="499" t="n"/>
    </row>
    <row r="32" ht="15" customHeight="1">
      <c r="A32" s="369" t="n"/>
      <c r="B32" s="448" t="inlineStr">
        <is>
          <t>Intensity (Value)</t>
        </is>
      </c>
      <c r="C32" s="448" t="inlineStr">
        <is>
          <t>The numerical value used in the legislation (level, rate, target, etc)</t>
        </is>
      </c>
      <c r="D32" s="449" t="inlineStr">
        <is>
          <t>Free</t>
        </is>
      </c>
      <c r="E32" s="449" t="inlineStr">
        <is>
          <t>N/A</t>
        </is>
      </c>
      <c r="F32" s="459" t="n"/>
      <c r="G32" s="499" t="n"/>
      <c r="H32" s="499" t="n"/>
      <c r="I32" s="499" t="n"/>
      <c r="J32" s="499" t="n"/>
      <c r="K32" s="499" t="n"/>
      <c r="L32" s="499" t="n"/>
      <c r="M32" s="499" t="n"/>
      <c r="N32" s="499" t="n"/>
      <c r="O32" s="499" t="n"/>
      <c r="P32" s="499" t="n"/>
      <c r="Q32" s="499" t="n"/>
      <c r="R32" s="499" t="n"/>
      <c r="S32" s="499" t="n"/>
      <c r="T32" s="499" t="n"/>
    </row>
    <row r="33" ht="15" customHeight="1">
      <c r="A33" s="369" t="n"/>
      <c r="B33" s="448" t="inlineStr">
        <is>
          <t>Intensity (Unit)</t>
        </is>
      </c>
      <c r="C33" s="448" t="inlineStr">
        <is>
          <t>The unit of the intensity value, e.g. EUR, km, %, level, etc.</t>
        </is>
      </c>
      <c r="D33" s="449" t="inlineStr">
        <is>
          <t>Free</t>
        </is>
      </c>
      <c r="E33" s="449" t="inlineStr">
        <is>
          <t>[unit as stated in the regulation]</t>
        </is>
      </c>
      <c r="F33" s="459" t="n"/>
      <c r="G33" s="499" t="n"/>
      <c r="H33" s="499" t="n"/>
      <c r="I33" s="499" t="n"/>
      <c r="J33" s="499" t="n"/>
      <c r="K33" s="499" t="n"/>
      <c r="L33" s="499" t="n"/>
      <c r="M33" s="499" t="n"/>
      <c r="N33" s="499" t="n"/>
      <c r="O33" s="499" t="n"/>
      <c r="P33" s="499" t="n"/>
      <c r="Q33" s="499" t="n"/>
      <c r="R33" s="499" t="n"/>
      <c r="S33" s="499" t="n"/>
      <c r="T33" s="499" t="n"/>
    </row>
    <row r="34" ht="15" customHeight="1">
      <c r="A34" s="369" t="n"/>
      <c r="B34" s="448" t="inlineStr">
        <is>
          <t>Intensity (Details)</t>
        </is>
      </c>
      <c r="C34" s="448" t="inlineStr">
        <is>
          <t>Further details about the intensity, if necessary, e.g. if the intensity is calculated on a formula, the formula and an average intensity value can be provided</t>
        </is>
      </c>
      <c r="D34" s="449" t="inlineStr">
        <is>
          <t>Free</t>
        </is>
      </c>
      <c r="E34" s="449" t="inlineStr">
        <is>
          <t>N/A</t>
        </is>
      </c>
      <c r="F34" s="459" t="n"/>
      <c r="G34" s="499" t="n"/>
      <c r="H34" s="499" t="n"/>
      <c r="I34" s="499" t="n"/>
      <c r="J34" s="499" t="n"/>
      <c r="K34" s="499" t="n"/>
      <c r="L34" s="499" t="n"/>
      <c r="M34" s="499" t="n"/>
      <c r="N34" s="499" t="n"/>
      <c r="O34" s="499" t="n"/>
      <c r="P34" s="499" t="n"/>
      <c r="Q34" s="499" t="n"/>
      <c r="R34" s="499" t="n"/>
      <c r="S34" s="499" t="n"/>
      <c r="T34" s="499" t="n"/>
    </row>
    <row r="35" ht="15" customHeight="1">
      <c r="A35" s="369" t="n"/>
      <c r="B35" s="448" t="inlineStr">
        <is>
          <t>Requirement specification</t>
        </is>
      </c>
      <c r="C35" s="448" t="inlineStr">
        <is>
          <t>If an intensity changes based on a requirement not yet captured in the asset, activity or agent attributes but is relevant to understand and describe a policy instrument, this requirement is entered here.</t>
        </is>
      </c>
      <c r="D35" s="449" t="inlineStr">
        <is>
          <t>Free</t>
        </is>
      </c>
      <c r="E35" s="449" t="inlineStr">
        <is>
          <t>N/A</t>
        </is>
      </c>
      <c r="F35" s="459" t="n"/>
      <c r="G35" s="499" t="n"/>
      <c r="H35" s="499" t="n"/>
      <c r="I35" s="499" t="n"/>
      <c r="J35" s="499" t="n"/>
      <c r="K35" s="499" t="n"/>
      <c r="L35" s="499" t="n"/>
      <c r="M35" s="499" t="n"/>
      <c r="N35" s="499" t="n"/>
      <c r="O35" s="499" t="n"/>
      <c r="P35" s="499" t="n"/>
      <c r="Q35" s="499" t="n"/>
      <c r="R35" s="499" t="n"/>
      <c r="S35" s="499" t="n"/>
      <c r="T35" s="499" t="n"/>
    </row>
    <row r="36" ht="15" customHeight="1">
      <c r="A36" s="369" t="n"/>
      <c r="B36" s="448" t="inlineStr">
        <is>
          <t>Compliance calculation methodology I</t>
        </is>
      </c>
      <c r="C36" s="448" t="inlineStr">
        <is>
          <t>Indicates whether the instrument applies to individual regulated assets or an aggregate of assets (e.g., their total production, operation, or sales).</t>
        </is>
      </c>
      <c r="D36" s="449" t="inlineStr">
        <is>
          <t>Free</t>
        </is>
      </c>
      <c r="E36" s="449" t="inlineStr">
        <is>
          <t>N/A</t>
        </is>
      </c>
      <c r="F36" s="459" t="n"/>
      <c r="G36" s="499" t="n"/>
      <c r="H36" s="499" t="n"/>
      <c r="I36" s="499" t="n"/>
      <c r="J36" s="499" t="n"/>
      <c r="K36" s="499" t="n"/>
      <c r="L36" s="499" t="n"/>
      <c r="M36" s="499" t="n"/>
      <c r="N36" s="499" t="n"/>
      <c r="O36" s="499" t="n"/>
      <c r="P36" s="499" t="n"/>
      <c r="Q36" s="499" t="n"/>
      <c r="R36" s="499" t="n"/>
      <c r="S36" s="499" t="n"/>
      <c r="T36" s="499" t="n"/>
    </row>
    <row r="37" ht="15" customHeight="1">
      <c r="A37" s="361" t="n"/>
      <c r="B37" s="448" t="inlineStr">
        <is>
          <t>Compliance calculation methodology II</t>
        </is>
      </c>
      <c r="C37" s="448" t="inlineStr">
        <is>
          <t>Describes the methodology or rules used to evaluate compliance with the instrument’s requirements.</t>
        </is>
      </c>
      <c r="D37" s="449" t="inlineStr">
        <is>
          <t>Free</t>
        </is>
      </c>
      <c r="E37" s="449" t="inlineStr">
        <is>
          <t>N/A</t>
        </is>
      </c>
      <c r="F37" s="459" t="n"/>
      <c r="G37" s="499" t="n"/>
      <c r="H37" s="499" t="n"/>
      <c r="I37" s="499" t="n"/>
      <c r="J37" s="499" t="n"/>
      <c r="K37" s="499" t="n"/>
      <c r="L37" s="499" t="n"/>
      <c r="M37" s="499" t="n"/>
      <c r="N37" s="499" t="n"/>
      <c r="O37" s="499" t="n"/>
      <c r="P37" s="499" t="n"/>
      <c r="Q37" s="499" t="n"/>
      <c r="R37" s="499" t="n"/>
      <c r="S37" s="499" t="n"/>
      <c r="T37" s="499" t="n"/>
    </row>
    <row r="38" ht="15" customHeight="1">
      <c r="A38" s="642" t="inlineStr">
        <is>
          <t xml:space="preserve">References to legislation   </t>
        </is>
      </c>
      <c r="B38" s="448" t="inlineStr">
        <is>
          <t>Legal statute</t>
        </is>
      </c>
      <c r="C38" s="448" t="inlineStr">
        <is>
          <t>Name of relevant legal document(s) and chapter(s) and/or article(s) that established or modified the instrument (if revised)</t>
        </is>
      </c>
      <c r="D38" s="449" t="inlineStr">
        <is>
          <t>Free</t>
        </is>
      </c>
      <c r="E38" s="449" t="inlineStr">
        <is>
          <t>N/A</t>
        </is>
      </c>
      <c r="F38" s="459" t="n"/>
      <c r="G38" s="499" t="n"/>
      <c r="H38" s="499" t="n"/>
      <c r="I38" s="499" t="n"/>
      <c r="J38" s="499" t="n"/>
      <c r="K38" s="499" t="n"/>
      <c r="L38" s="499" t="n"/>
      <c r="M38" s="499" t="n"/>
      <c r="N38" s="499" t="n"/>
      <c r="O38" s="499" t="n"/>
      <c r="P38" s="499" t="n"/>
      <c r="Q38" s="499" t="n"/>
      <c r="R38" s="499" t="n"/>
      <c r="S38" s="499" t="n"/>
      <c r="T38" s="499" t="n"/>
    </row>
    <row r="39" ht="15" customHeight="1">
      <c r="A39" s="369" t="n"/>
      <c r="B39" s="448" t="inlineStr">
        <is>
          <t>Legal document</t>
        </is>
      </c>
      <c r="C39" s="448" t="inlineStr">
        <is>
          <t>Weblink to the relevant legal document that established or modified the instrument (if revised)</t>
        </is>
      </c>
      <c r="D39" s="449" t="inlineStr">
        <is>
          <t>Free</t>
        </is>
      </c>
      <c r="E39" s="449" t="inlineStr">
        <is>
          <t>N/A</t>
        </is>
      </c>
      <c r="F39" s="459" t="n"/>
      <c r="G39" s="499" t="n"/>
      <c r="H39" s="499" t="n"/>
      <c r="I39" s="499" t="n"/>
      <c r="J39" s="499" t="n"/>
      <c r="K39" s="499" t="n"/>
      <c r="L39" s="499" t="n"/>
      <c r="M39" s="499" t="n"/>
      <c r="N39" s="499" t="n"/>
      <c r="O39" s="499" t="n"/>
      <c r="P39" s="499" t="n"/>
      <c r="Q39" s="499" t="n"/>
      <c r="R39" s="499" t="n"/>
      <c r="S39" s="499" t="n"/>
      <c r="T39" s="499" t="n"/>
    </row>
    <row r="40" ht="15" customHeight="1">
      <c r="A40" s="361" t="n"/>
      <c r="B40" s="448" t="inlineStr">
        <is>
          <t>Other relevant websites</t>
        </is>
      </c>
      <c r="C40" s="448" t="inlineStr">
        <is>
          <t>Weblinks to other relevant websites</t>
        </is>
      </c>
      <c r="D40" s="449" t="inlineStr">
        <is>
          <t>Free</t>
        </is>
      </c>
      <c r="E40" s="449" t="inlineStr">
        <is>
          <t>N/A</t>
        </is>
      </c>
      <c r="F40" s="459" t="n"/>
      <c r="G40" s="499" t="n"/>
      <c r="H40" s="499" t="n"/>
      <c r="I40" s="499" t="n"/>
      <c r="J40" s="499" t="n"/>
      <c r="K40" s="499" t="n"/>
      <c r="L40" s="499" t="n"/>
      <c r="M40" s="499" t="n"/>
      <c r="N40" s="499" t="n"/>
      <c r="O40" s="499" t="n"/>
      <c r="P40" s="499" t="n"/>
      <c r="Q40" s="499" t="n"/>
      <c r="R40" s="499" t="n"/>
      <c r="S40" s="499" t="n"/>
      <c r="T40" s="499" t="n"/>
    </row>
    <row r="41" ht="15" customHeight="1">
      <c r="A41" s="642" t="inlineStr">
        <is>
          <t xml:space="preserve">GHG emission base  </t>
        </is>
      </c>
      <c r="B41" s="448" t="inlineStr">
        <is>
          <t>GHG emission coverage (absolute)</t>
        </is>
      </c>
      <c r="C41" s="448" t="inlineStr">
        <is>
          <t>Quantification of the instrument's emission base, in absolute terms</t>
        </is>
      </c>
      <c r="D41" s="449" t="inlineStr">
        <is>
          <t>Numerical</t>
        </is>
      </c>
      <c r="E41" s="449" t="inlineStr">
        <is>
          <t>in KtCO2eq</t>
        </is>
      </c>
      <c r="F41" s="500" t="n"/>
      <c r="G41" s="501" t="n"/>
      <c r="H41" s="501" t="n"/>
      <c r="I41" s="502" t="n"/>
      <c r="J41" s="499" t="n"/>
      <c r="K41" s="499" t="n"/>
      <c r="L41" s="499" t="n"/>
      <c r="M41" s="499" t="n"/>
      <c r="N41" s="499" t="n"/>
      <c r="O41" s="499" t="n"/>
      <c r="P41" s="499" t="n"/>
      <c r="Q41" s="499" t="n"/>
      <c r="R41" s="499" t="n"/>
      <c r="S41" s="499" t="n"/>
      <c r="T41" s="499" t="n"/>
    </row>
    <row r="42" ht="15" customHeight="1">
      <c r="A42" s="361" t="n"/>
      <c r="B42" s="448" t="inlineStr">
        <is>
          <t>GHG emission base (% domestic emissions)</t>
        </is>
      </c>
      <c r="C42" s="448" t="inlineStr">
        <is>
          <t>Quantification of the instrument's emission base, relative to total domestic emissions</t>
        </is>
      </c>
      <c r="D42" s="449" t="inlineStr">
        <is>
          <t>Numerical</t>
        </is>
      </c>
      <c r="E42" s="449" t="inlineStr">
        <is>
          <t>in % [over domestic emissions]</t>
        </is>
      </c>
      <c r="F42" s="500" t="n"/>
      <c r="G42" s="501" t="n"/>
      <c r="H42" s="501" t="n"/>
      <c r="I42" s="502" t="n"/>
      <c r="J42" s="499" t="n"/>
      <c r="K42" s="499" t="n"/>
      <c r="L42" s="499" t="n"/>
      <c r="M42" s="499" t="n"/>
      <c r="N42" s="499" t="n"/>
      <c r="O42" s="499" t="n"/>
      <c r="P42" s="499" t="n"/>
      <c r="Q42" s="499" t="n"/>
      <c r="R42" s="499" t="n"/>
      <c r="S42" s="499" t="n"/>
      <c r="T42" s="499" t="n"/>
    </row>
    <row r="43" ht="15" customHeight="1">
      <c r="A43" s="642" t="inlineStr">
        <is>
          <t xml:space="preserve">Classifications &amp; Indicators  </t>
        </is>
      </c>
      <c r="B43" s="448" t="inlineStr">
        <is>
          <t>Economic sector</t>
        </is>
      </c>
      <c r="C43" s="448" t="inlineStr">
        <is>
          <t>Classification based on the regulated agent. If the regulated agent is a firm, the sector will be allocated according to the International Standard Industrial Classification of All Economic Activities (ISIC)</t>
        </is>
      </c>
      <c r="D43" s="449" t="inlineStr">
        <is>
          <t>Categorial</t>
        </is>
      </c>
      <c r="E43" s="449" t="inlineStr">
        <is>
          <t>2-digit ISIC classification</t>
        </is>
      </c>
      <c r="F43" s="459" t="n"/>
      <c r="G43" s="499" t="n"/>
      <c r="H43" s="499" t="n"/>
      <c r="I43" s="499" t="n"/>
      <c r="J43" s="499" t="n"/>
      <c r="K43" s="499" t="n"/>
      <c r="L43" s="499" t="n"/>
      <c r="M43" s="499" t="n"/>
      <c r="N43" s="499" t="n"/>
      <c r="O43" s="499" t="n"/>
      <c r="P43" s="499" t="n"/>
      <c r="Q43" s="499" t="n"/>
      <c r="R43" s="499" t="n"/>
      <c r="S43" s="499" t="n"/>
      <c r="T43" s="499" t="n"/>
    </row>
    <row r="44" ht="15" customHeight="1">
      <c r="A44" s="369" t="n"/>
      <c r="B44" s="448" t="inlineStr">
        <is>
          <t>GHGs affected</t>
        </is>
      </c>
      <c r="C44" s="448" t="inlineStr">
        <is>
          <t>GHGs that are regulated (where directly regulated); otherwise GHG that are likely to be affected by the instrument.</t>
        </is>
      </c>
      <c r="D44" s="449" t="inlineStr">
        <is>
          <t>Categorial</t>
        </is>
      </c>
      <c r="E44" s="449" t="inlineStr">
        <is>
          <t>CO2; CH4; N2O; SF6; HFCs; PFCs; NF3</t>
        </is>
      </c>
      <c r="F44" s="459" t="n"/>
      <c r="G44" s="499" t="n"/>
      <c r="H44" s="499" t="n"/>
      <c r="I44" s="499" t="n"/>
      <c r="J44" s="499" t="n"/>
      <c r="K44" s="499" t="n"/>
      <c r="L44" s="499" t="n"/>
      <c r="M44" s="499" t="n"/>
      <c r="N44" s="499" t="n"/>
      <c r="O44" s="499" t="n"/>
      <c r="P44" s="499" t="n"/>
      <c r="Q44" s="499" t="n"/>
      <c r="R44" s="499" t="n"/>
      <c r="S44" s="499" t="n"/>
      <c r="T44" s="499" t="n"/>
    </row>
    <row r="45" ht="15" customHeight="1">
      <c r="A45" s="369" t="n"/>
      <c r="B45" s="448" t="inlineStr">
        <is>
          <t>Mitigation effect</t>
        </is>
      </c>
      <c r="C45" s="448" t="inlineStr">
        <is>
          <t>Describes whether effect on GHG emissions/sinks is likely to be positive, negative, or unknown</t>
        </is>
      </c>
      <c r="D45" s="449" t="inlineStr">
        <is>
          <t>Categorial</t>
        </is>
      </c>
      <c r="E45" s="449" t="inlineStr">
        <is>
          <t>positive, negative, neutral, unknown</t>
        </is>
      </c>
      <c r="F45" s="459" t="n"/>
      <c r="G45" s="499" t="n"/>
      <c r="H45" s="499" t="n"/>
      <c r="I45" s="499" t="n"/>
      <c r="J45" s="499" t="n"/>
      <c r="K45" s="499" t="n"/>
      <c r="L45" s="499" t="n"/>
      <c r="M45" s="499" t="n"/>
      <c r="N45" s="499" t="n"/>
      <c r="O45" s="499" t="n"/>
      <c r="P45" s="499" t="n"/>
      <c r="Q45" s="499" t="n"/>
      <c r="R45" s="499" t="n"/>
      <c r="S45" s="499" t="n"/>
      <c r="T45" s="499" t="n"/>
    </row>
    <row r="46" ht="15" customHeight="1">
      <c r="A46" s="361" t="n"/>
      <c r="B46" s="448" t="inlineStr">
        <is>
          <t>Mitigation co-benefits</t>
        </is>
      </c>
      <c r="C46" s="448" t="inlineStr">
        <is>
          <t>Additional, non-mitigation positive outcomes or advantages that result from the implementation of climate change mitigating measures, identified by the IFCMA Secretariat.</t>
        </is>
      </c>
      <c r="D46" s="449" t="inlineStr">
        <is>
          <t>Categorial</t>
        </is>
      </c>
      <c r="E46" s="449" t="inlineStr">
        <is>
          <t>Energy conservation; Technological innovation; Energy security; Pollution control; Ecological protection; Resource conservation; Circular economy; Renewable energy development; Public health; Climate change adaptation; Employment and poverty reduction; Industrial development; Biodiversity conservation; Desertification control; Green consumption; Food security</t>
        </is>
      </c>
      <c r="F46" s="459" t="n"/>
      <c r="G46" s="499" t="n"/>
      <c r="H46" s="499" t="n"/>
      <c r="I46" s="499" t="n"/>
      <c r="J46" s="499" t="n"/>
      <c r="K46" s="499" t="n"/>
      <c r="L46" s="499" t="n"/>
      <c r="M46" s="499" t="n"/>
      <c r="N46" s="499" t="n"/>
      <c r="O46" s="499" t="n"/>
      <c r="P46" s="499" t="n"/>
      <c r="Q46" s="499" t="n"/>
      <c r="R46" s="499" t="n"/>
      <c r="S46" s="499" t="n"/>
      <c r="T46" s="499" t="n"/>
    </row>
    <row r="47" ht="15" customHeight="1">
      <c r="A47" s="446" t="inlineStr">
        <is>
          <t>Instrument type-specific attributes</t>
        </is>
      </c>
      <c r="B47" s="339" t="n"/>
      <c r="C47" s="339" t="n"/>
      <c r="D47" s="339" t="n"/>
      <c r="E47" s="340" t="n"/>
      <c r="F47" s="459" t="n"/>
      <c r="G47" s="499" t="n"/>
      <c r="H47" s="499" t="n"/>
      <c r="I47" s="499" t="n"/>
      <c r="J47" s="499" t="n"/>
      <c r="K47" s="499" t="n"/>
      <c r="L47" s="499" t="n"/>
      <c r="M47" s="499" t="n"/>
      <c r="N47" s="499" t="n"/>
      <c r="O47" s="499" t="n"/>
      <c r="P47" s="499" t="n"/>
      <c r="Q47" s="499" t="n"/>
      <c r="R47" s="499" t="n"/>
      <c r="S47" s="499" t="n"/>
      <c r="T47" s="499" t="n"/>
    </row>
    <row r="48" ht="15" customHeight="1">
      <c r="A48" s="642" t="inlineStr">
        <is>
          <t>Taxes</t>
        </is>
      </c>
      <c r="B48" s="643" t="inlineStr">
        <is>
          <t>Annual revenue</t>
        </is>
      </c>
      <c r="C48" s="643" t="inlineStr">
        <is>
          <t>Tax revenue of the recorded tax</t>
        </is>
      </c>
      <c r="D48" s="643" t="inlineStr">
        <is>
          <t>Numerical</t>
        </is>
      </c>
      <c r="E48" s="643" t="inlineStr">
        <is>
          <t>in millions of domestic currency, USD or otherwise applicable unit</t>
        </is>
      </c>
      <c r="F48" s="644" t="n"/>
      <c r="G48" s="645" t="n"/>
      <c r="H48" s="645" t="n"/>
      <c r="I48" s="645" t="n"/>
      <c r="J48" s="645" t="n"/>
      <c r="K48" s="645" t="n"/>
      <c r="L48" s="645" t="n"/>
      <c r="M48" s="645" t="n"/>
      <c r="N48" s="645" t="n"/>
      <c r="O48" s="645" t="n"/>
      <c r="P48" s="645" t="n"/>
      <c r="Q48" s="645" t="n"/>
      <c r="R48" s="645" t="n"/>
      <c r="S48" s="645" t="n"/>
      <c r="T48" s="645" t="n"/>
    </row>
    <row r="49" ht="15" customHeight="1">
      <c r="A49" s="369" t="n"/>
      <c r="B49" s="449" t="inlineStr">
        <is>
          <t>Earmarked revenue*</t>
        </is>
      </c>
      <c r="C49" s="449" t="inlineStr">
        <is>
          <t>The policy financed by the revenue of the recorded tax (recorded even if not otherwise part of this database)</t>
        </is>
      </c>
      <c r="D49" s="449" t="inlineStr">
        <is>
          <t>Free or binary</t>
        </is>
      </c>
      <c r="E49" s="449" t="inlineStr">
        <is>
          <t>ID of the financed policy instrument or “Earmarked” if financed policy is not included in the database</t>
        </is>
      </c>
      <c r="F49" s="459" t="n"/>
      <c r="G49" s="499" t="n"/>
      <c r="H49" s="499" t="n"/>
      <c r="I49" s="499" t="n"/>
      <c r="J49" s="499" t="n"/>
      <c r="K49" s="499" t="n"/>
      <c r="L49" s="499" t="n"/>
      <c r="M49" s="499" t="n"/>
      <c r="N49" s="499" t="n"/>
      <c r="O49" s="499" t="n"/>
      <c r="P49" s="499" t="n"/>
      <c r="Q49" s="499" t="n"/>
      <c r="R49" s="499" t="n"/>
      <c r="S49" s="499" t="n"/>
      <c r="T49" s="499" t="n"/>
    </row>
    <row r="50" ht="15" customHeight="1">
      <c r="A50" s="361" t="n"/>
      <c r="B50" s="449" t="inlineStr">
        <is>
          <t>Annual revenue forgone</t>
        </is>
      </c>
      <c r="C50" s="449" t="inlineStr">
        <is>
          <t>If tax incentive, estimated loss in tax revenue due to the recorded tax incentive (recorded for the year the instrument is recorded)</t>
        </is>
      </c>
      <c r="D50" s="449" t="inlineStr">
        <is>
          <t>Numerical</t>
        </is>
      </c>
      <c r="E50" s="449" t="inlineStr">
        <is>
          <t>in millions of domestic currency, USD or otherwise applicable unit</t>
        </is>
      </c>
      <c r="F50" s="459" t="n"/>
      <c r="G50" s="499" t="n"/>
      <c r="H50" s="499" t="n"/>
      <c r="I50" s="499" t="n"/>
      <c r="J50" s="499" t="n"/>
      <c r="K50" s="499" t="n"/>
      <c r="L50" s="499" t="n"/>
      <c r="M50" s="499" t="n"/>
      <c r="N50" s="499" t="n"/>
      <c r="O50" s="499" t="n"/>
      <c r="P50" s="499" t="n"/>
      <c r="Q50" s="499" t="n"/>
      <c r="R50" s="499" t="n"/>
      <c r="S50" s="499" t="n"/>
      <c r="T50" s="499" t="n"/>
    </row>
    <row r="51" ht="15" customHeight="1">
      <c r="A51" s="450" t="inlineStr">
        <is>
          <t>Subsidies</t>
        </is>
      </c>
      <c r="B51" s="449" t="inlineStr">
        <is>
          <t>Annual expenditure</t>
        </is>
      </c>
      <c r="C51" s="449" t="inlineStr">
        <is>
          <t>The financial allocation or budget earmarked in the year preceding the data collecting</t>
        </is>
      </c>
      <c r="D51" s="449" t="inlineStr">
        <is>
          <t>Numerical</t>
        </is>
      </c>
      <c r="E51" s="449" t="inlineStr">
        <is>
          <t>in millions of domestic currency, USD or otherwise applicable unit</t>
        </is>
      </c>
      <c r="F51" s="459" t="n"/>
      <c r="G51" s="499" t="n"/>
      <c r="H51" s="499" t="n"/>
      <c r="I51" s="499" t="n"/>
      <c r="J51" s="499" t="n"/>
      <c r="K51" s="499" t="n"/>
      <c r="L51" s="499" t="n"/>
      <c r="M51" s="499" t="n"/>
      <c r="N51" s="499" t="n"/>
      <c r="O51" s="499" t="n"/>
      <c r="P51" s="499" t="n"/>
      <c r="Q51" s="499" t="n"/>
      <c r="R51" s="499" t="n"/>
      <c r="S51" s="499" t="n"/>
      <c r="T51" s="499" t="n"/>
    </row>
    <row r="52" ht="15" customHeight="1">
      <c r="A52" s="369" t="n"/>
      <c r="B52" s="449" t="inlineStr">
        <is>
          <t>Limit</t>
        </is>
      </c>
      <c r="C52" s="449" t="inlineStr">
        <is>
          <t>The overall financial allocation, budget earmarked over the entire duration of the instrument, the amount of assets subsidised (capacity limit), the time horizon of the subsidyor other limits on totals for the subsidy</t>
        </is>
      </c>
      <c r="D52" s="449" t="inlineStr">
        <is>
          <t>Numerical</t>
        </is>
      </c>
      <c r="E52" s="449" t="inlineStr">
        <is>
          <t>in domestic currency, USD or otherwise applicable unit</t>
        </is>
      </c>
      <c r="F52" s="459" t="n"/>
      <c r="G52" s="499" t="n"/>
      <c r="H52" s="499" t="n"/>
      <c r="I52" s="499" t="n"/>
      <c r="J52" s="499" t="n"/>
      <c r="K52" s="499" t="n"/>
      <c r="L52" s="499" t="n"/>
      <c r="M52" s="499" t="n"/>
      <c r="N52" s="499" t="n"/>
      <c r="O52" s="499" t="n"/>
      <c r="P52" s="499" t="n"/>
      <c r="Q52" s="499" t="n"/>
      <c r="R52" s="499" t="n"/>
      <c r="S52" s="499" t="n"/>
      <c r="T52" s="499" t="n"/>
    </row>
    <row r="53" ht="15" customHeight="1">
      <c r="A53" s="369" t="n"/>
      <c r="B53" s="449" t="inlineStr">
        <is>
          <t>Distribution mechanism</t>
        </is>
      </c>
      <c r="C53" s="449" t="inlineStr">
        <is>
          <t>The mechanism by which the subsidy is awarded</t>
        </is>
      </c>
      <c r="D53" s="449" t="inlineStr">
        <is>
          <t>Categorial</t>
        </is>
      </c>
      <c r="E53" s="449" t="inlineStr">
        <is>
          <t>from list, e.g. auction type, by default, lottery, etc.</t>
        </is>
      </c>
      <c r="F53" s="459" t="n"/>
      <c r="G53" s="499" t="n"/>
      <c r="H53" s="499" t="n"/>
      <c r="I53" s="499" t="n"/>
      <c r="J53" s="499" t="n"/>
      <c r="K53" s="499" t="n"/>
      <c r="L53" s="499" t="n"/>
      <c r="M53" s="499" t="n"/>
      <c r="N53" s="499" t="n"/>
      <c r="O53" s="499" t="n"/>
      <c r="P53" s="499" t="n"/>
      <c r="Q53" s="499" t="n"/>
      <c r="R53" s="499" t="n"/>
      <c r="S53" s="499" t="n"/>
      <c r="T53" s="499" t="n"/>
    </row>
    <row r="54" ht="15" customHeight="1">
      <c r="A54" s="369" t="n"/>
      <c r="B54" s="449" t="inlineStr">
        <is>
          <t>Enforcement mechanism</t>
        </is>
      </c>
      <c r="C54" s="449" t="inlineStr">
        <is>
          <t>If a performance is expected, how is non-compliance punished</t>
        </is>
      </c>
      <c r="D54" s="449" t="inlineStr">
        <is>
          <t>Categorial, free for details</t>
        </is>
      </c>
      <c r="E54" s="449" t="inlineStr">
        <is>
          <t>administrative action (e.g. warning, permit withdrawal); legal action (e.g. prosecution); monetary fines</t>
        </is>
      </c>
      <c r="F54" s="459" t="n"/>
      <c r="G54" s="499" t="n"/>
      <c r="H54" s="499" t="n"/>
      <c r="I54" s="499" t="n"/>
      <c r="J54" s="499" t="n"/>
      <c r="K54" s="499" t="n"/>
      <c r="L54" s="499" t="n"/>
      <c r="M54" s="499" t="n"/>
      <c r="N54" s="499" t="n"/>
      <c r="O54" s="499" t="n"/>
      <c r="P54" s="499" t="n"/>
      <c r="Q54" s="499" t="n"/>
      <c r="R54" s="499" t="n"/>
      <c r="S54" s="499" t="n"/>
      <c r="T54" s="499" t="n"/>
    </row>
    <row r="55" ht="15" customHeight="1">
      <c r="A55" s="369" t="n"/>
      <c r="B55" s="449" t="inlineStr">
        <is>
          <t>Subsidy floor or ceiling</t>
        </is>
      </c>
      <c r="C55" s="449" t="inlineStr">
        <is>
          <t>The minimum or maximum limits set for subsidies per year (for the year the instrument is recorded), indicating the lower and upper bounds within which subsidy amounts must fall.</t>
        </is>
      </c>
      <c r="D55" s="449" t="inlineStr">
        <is>
          <t>Numerical</t>
        </is>
      </c>
      <c r="E55" s="449" t="inlineStr">
        <is>
          <t>Value in domestic currency</t>
        </is>
      </c>
      <c r="F55" s="459" t="n"/>
      <c r="G55" s="499" t="n"/>
      <c r="H55" s="499" t="n"/>
      <c r="I55" s="499" t="n"/>
      <c r="J55" s="499" t="n"/>
      <c r="K55" s="499" t="n"/>
      <c r="L55" s="499" t="n"/>
      <c r="M55" s="499" t="n"/>
      <c r="N55" s="499" t="n"/>
      <c r="O55" s="499" t="n"/>
      <c r="P55" s="499" t="n"/>
      <c r="Q55" s="499" t="n"/>
      <c r="R55" s="499" t="n"/>
      <c r="S55" s="499" t="n"/>
      <c r="T55" s="499" t="n"/>
    </row>
    <row r="56" ht="15" customHeight="1">
      <c r="A56" s="369" t="n"/>
      <c r="B56" s="449" t="inlineStr">
        <is>
          <t>Support Duration</t>
        </is>
      </c>
      <c r="C56" s="449" t="inlineStr">
        <is>
          <t>The time range during which the support is provided (contract length, annual payments, etc)</t>
        </is>
      </c>
      <c r="D56" s="449" t="inlineStr">
        <is>
          <t>Free</t>
        </is>
      </c>
      <c r="E56" s="449" t="inlineStr">
        <is>
          <t>Expressed in years, or months</t>
        </is>
      </c>
      <c r="F56" s="459" t="n"/>
      <c r="G56" s="499" t="n"/>
      <c r="H56" s="499" t="n"/>
      <c r="I56" s="499" t="n"/>
      <c r="J56" s="499" t="n"/>
      <c r="K56" s="499" t="n"/>
      <c r="L56" s="499" t="n"/>
      <c r="M56" s="499" t="n"/>
      <c r="N56" s="499" t="n"/>
      <c r="O56" s="499" t="n"/>
      <c r="P56" s="499" t="n"/>
      <c r="Q56" s="499" t="n"/>
      <c r="R56" s="499" t="n"/>
      <c r="S56" s="499" t="n"/>
      <c r="T56" s="499" t="n"/>
    </row>
    <row r="57" ht="15" customHeight="1">
      <c r="A57" s="361" t="n"/>
      <c r="B57" s="449" t="inlineStr">
        <is>
          <t>Subsidies: Monitoring mechanism</t>
        </is>
      </c>
      <c r="C57" s="449" t="inlineStr">
        <is>
          <t>Any monitoring scheme</t>
        </is>
      </c>
      <c r="D57" s="449" t="inlineStr">
        <is>
          <t>Categorial, free for details</t>
        </is>
      </c>
      <c r="E57" s="449" t="n"/>
      <c r="F57" s="459" t="n"/>
      <c r="G57" s="499" t="n"/>
      <c r="H57" s="499" t="n"/>
      <c r="I57" s="499" t="n"/>
      <c r="J57" s="499" t="n"/>
      <c r="K57" s="499" t="n"/>
      <c r="L57" s="499" t="n"/>
      <c r="M57" s="499" t="n"/>
      <c r="N57" s="499" t="n"/>
      <c r="O57" s="499" t="n"/>
      <c r="P57" s="499" t="n"/>
      <c r="Q57" s="499" t="n"/>
      <c r="R57" s="499" t="n"/>
      <c r="S57" s="499" t="n"/>
      <c r="T57" s="499" t="n"/>
    </row>
    <row r="58" ht="15" customHeight="1">
      <c r="A58" s="642" t="inlineStr">
        <is>
          <t>Trading scheme</t>
        </is>
      </c>
      <c r="B58" s="449" t="inlineStr">
        <is>
          <t>Type</t>
        </is>
      </c>
      <c r="C58" s="449" t="inlineStr">
        <is>
          <t>The trading system in place, i.e., trading of permits or credits</t>
        </is>
      </c>
      <c r="D58" s="449" t="inlineStr">
        <is>
          <t>Categorial</t>
        </is>
      </c>
      <c r="E58" s="449" t="inlineStr">
        <is>
          <t>from list, e.g. permits, credits, etc</t>
        </is>
      </c>
      <c r="F58" s="459" t="n"/>
      <c r="G58" s="499" t="n"/>
      <c r="H58" s="499" t="n"/>
      <c r="I58" s="499" t="n"/>
      <c r="J58" s="499" t="n"/>
      <c r="K58" s="499" t="n"/>
      <c r="L58" s="499" t="n"/>
      <c r="M58" s="499" t="n"/>
      <c r="N58" s="499" t="n"/>
      <c r="O58" s="499" t="n"/>
      <c r="P58" s="499" t="n"/>
      <c r="Q58" s="499" t="n"/>
      <c r="R58" s="499" t="n"/>
      <c r="S58" s="499" t="n"/>
      <c r="T58" s="499" t="n"/>
    </row>
    <row r="59" ht="15" customHeight="1">
      <c r="A59" s="369" t="n"/>
      <c r="B59" s="449" t="inlineStr">
        <is>
          <t>Cap</t>
        </is>
      </c>
      <c r="C59" s="449" t="inlineStr">
        <is>
          <t>The upper limit or cap imposed on the total greenhouse gas emissions allowed within a specific period under a GHG cap-and-trade or emissions trading system; if this cell is filled, it is a permit, otherwise a credit (relevant for UNFCCC reporting)</t>
        </is>
      </c>
      <c r="D59" s="449" t="inlineStr">
        <is>
          <t>Free</t>
        </is>
      </c>
      <c r="E59" s="449" t="inlineStr">
        <is>
          <t>CO2eq for ETS, but could be others if ever we cover other trading systems (nitrogen trading in agriculture)</t>
        </is>
      </c>
      <c r="F59" s="459" t="n"/>
      <c r="G59" s="499" t="n"/>
      <c r="H59" s="499" t="n"/>
      <c r="I59" s="499" t="n"/>
      <c r="J59" s="499" t="n"/>
      <c r="K59" s="499" t="n"/>
      <c r="L59" s="499" t="n"/>
      <c r="M59" s="499" t="n"/>
      <c r="N59" s="499" t="n"/>
      <c r="O59" s="499" t="n"/>
      <c r="P59" s="499" t="n"/>
      <c r="Q59" s="499" t="n"/>
      <c r="R59" s="499" t="n"/>
      <c r="S59" s="499" t="n"/>
      <c r="T59" s="499" t="n"/>
    </row>
    <row r="60" ht="15" customHeight="1">
      <c r="A60" s="369" t="n"/>
      <c r="B60" s="449" t="inlineStr">
        <is>
          <t>Allowance mechanism</t>
        </is>
      </c>
      <c r="C60" s="449" t="inlineStr">
        <is>
          <t>The system or method used to distribute or allocate emission allowances within the trading system, specifying how entities receive their allowances, as well as the allowance size and potentially other aspects</t>
        </is>
      </c>
      <c r="D60" s="449" t="inlineStr">
        <is>
          <t>Free</t>
        </is>
      </c>
      <c r="E60" s="449" t="inlineStr">
        <is>
          <t>free allowance; auctioning; mixture of the two</t>
        </is>
      </c>
      <c r="F60" s="459" t="n"/>
      <c r="G60" s="499" t="n"/>
      <c r="H60" s="499" t="n"/>
      <c r="I60" s="499" t="n"/>
      <c r="J60" s="499" t="n"/>
      <c r="K60" s="499" t="n"/>
      <c r="L60" s="499" t="n"/>
      <c r="M60" s="499" t="n"/>
      <c r="N60" s="499" t="n"/>
      <c r="O60" s="499" t="n"/>
      <c r="P60" s="499" t="n"/>
      <c r="Q60" s="499" t="n"/>
      <c r="R60" s="499" t="n"/>
      <c r="S60" s="499" t="n"/>
      <c r="T60" s="499" t="n"/>
    </row>
    <row r="61" ht="15" customHeight="1">
      <c r="A61" s="369" t="n"/>
      <c r="B61" s="449" t="inlineStr">
        <is>
          <t>Free allowance</t>
        </is>
      </c>
      <c r="C61" s="449" t="inlineStr">
        <is>
          <t>Share of free allowance</t>
        </is>
      </c>
      <c r="D61" s="449" t="inlineStr">
        <is>
          <t>Numerial</t>
        </is>
      </c>
      <c r="E61" s="449" t="inlineStr">
        <is>
          <t>In percentages</t>
        </is>
      </c>
      <c r="F61" s="459" t="n"/>
      <c r="G61" s="499" t="n"/>
      <c r="H61" s="499" t="n"/>
      <c r="I61" s="499" t="n"/>
      <c r="J61" s="499" t="n"/>
      <c r="K61" s="499" t="n"/>
      <c r="L61" s="499" t="n"/>
      <c r="M61" s="499" t="n"/>
      <c r="N61" s="499" t="n"/>
      <c r="O61" s="499" t="n"/>
      <c r="P61" s="499" t="n"/>
      <c r="Q61" s="499" t="n"/>
      <c r="R61" s="499" t="n"/>
      <c r="S61" s="499" t="n"/>
      <c r="T61" s="499" t="n"/>
    </row>
    <row r="62" ht="15" customHeight="1">
      <c r="A62" s="369" t="n"/>
      <c r="B62" s="449" t="inlineStr">
        <is>
          <t>Volume</t>
        </is>
      </c>
      <c r="C62" s="449" t="inlineStr">
        <is>
          <t>Traded volume in collection year-1</t>
        </is>
      </c>
      <c r="D62" s="449" t="inlineStr">
        <is>
          <t>Numerical</t>
        </is>
      </c>
      <c r="E62" s="449" t="inlineStr">
        <is>
          <t>N/A</t>
        </is>
      </c>
      <c r="F62" s="459" t="n"/>
      <c r="G62" s="499" t="n"/>
      <c r="H62" s="499" t="n"/>
      <c r="I62" s="499" t="n"/>
      <c r="J62" s="499" t="n"/>
      <c r="K62" s="499" t="n"/>
      <c r="L62" s="499" t="n"/>
      <c r="M62" s="499" t="n"/>
      <c r="N62" s="499" t="n"/>
      <c r="O62" s="499" t="n"/>
      <c r="P62" s="499" t="n"/>
      <c r="Q62" s="499" t="n"/>
      <c r="R62" s="499" t="n"/>
      <c r="S62" s="499" t="n"/>
      <c r="T62" s="499" t="n"/>
    </row>
    <row r="63" ht="15" customHeight="1">
      <c r="A63" s="369" t="n"/>
      <c r="B63" s="449" t="inlineStr">
        <is>
          <t>Linkages</t>
        </is>
      </c>
      <c r="C63" s="449" t="inlineStr">
        <is>
          <t>Linkages with other ETS</t>
        </is>
      </c>
      <c r="D63" s="449" t="inlineStr">
        <is>
          <t>Free</t>
        </is>
      </c>
      <c r="E63" s="449" t="inlineStr">
        <is>
          <t>Enter the instrument IDs of relevant instruments (N/A if no link)</t>
        </is>
      </c>
      <c r="F63" s="459" t="n"/>
      <c r="G63" s="499" t="n"/>
      <c r="H63" s="499" t="n"/>
      <c r="I63" s="499" t="n"/>
      <c r="J63" s="499" t="n"/>
      <c r="K63" s="499" t="n"/>
      <c r="L63" s="499" t="n"/>
      <c r="M63" s="499" t="n"/>
      <c r="N63" s="499" t="n"/>
      <c r="O63" s="499" t="n"/>
      <c r="P63" s="499" t="n"/>
      <c r="Q63" s="499" t="n"/>
      <c r="R63" s="499" t="n"/>
      <c r="S63" s="499" t="n"/>
      <c r="T63" s="499" t="n"/>
    </row>
    <row r="64" ht="15" customHeight="1">
      <c r="A64" s="369" t="n"/>
      <c r="B64" s="449" t="inlineStr">
        <is>
          <t>Market stabilisation mechanism</t>
        </is>
      </c>
      <c r="C64" s="449" t="inlineStr">
        <is>
          <t>The existence of any mechanism or provision within the trading system designed to stabilize the market, prevent extreme price fluctuations, or address imbalances in supply and demand. E.g., secondary markets/ offsets and credits</t>
        </is>
      </c>
      <c r="D64" s="449" t="inlineStr">
        <is>
          <t>Dichotomous, free for details</t>
        </is>
      </c>
      <c r="E64" s="449" t="inlineStr">
        <is>
          <t>yes/no</t>
        </is>
      </c>
      <c r="F64" s="459" t="n"/>
      <c r="G64" s="499" t="n"/>
      <c r="H64" s="499" t="n"/>
      <c r="I64" s="499" t="n"/>
      <c r="J64" s="499" t="n"/>
      <c r="K64" s="499" t="n"/>
      <c r="L64" s="499" t="n"/>
      <c r="M64" s="499" t="n"/>
      <c r="N64" s="499" t="n"/>
      <c r="O64" s="499" t="n"/>
      <c r="P64" s="499" t="n"/>
      <c r="Q64" s="499" t="n"/>
      <c r="R64" s="499" t="n"/>
      <c r="S64" s="499" t="n"/>
      <c r="T64" s="499" t="n"/>
    </row>
    <row r="65" ht="15" customHeight="1">
      <c r="A65" s="369" t="n"/>
      <c r="B65" s="449" t="inlineStr">
        <is>
          <t>Revenue (annual)</t>
        </is>
      </c>
      <c r="C65" s="449" t="inlineStr">
        <is>
          <t>The yearly revenue generated from the trading system, including any fees, fines, or other financial flows associated with emissions trading. (for the system, rather than for the government)</t>
        </is>
      </c>
      <c r="D65" s="449" t="inlineStr">
        <is>
          <t>Free</t>
        </is>
      </c>
      <c r="E65" s="449" t="inlineStr">
        <is>
          <t>In domestic currency (collection year -1)</t>
        </is>
      </c>
      <c r="F65" s="459" t="n"/>
      <c r="G65" s="499" t="n"/>
      <c r="H65" s="499" t="n"/>
      <c r="I65" s="499" t="n"/>
      <c r="J65" s="499" t="n"/>
      <c r="K65" s="499" t="n"/>
      <c r="L65" s="499" t="n"/>
      <c r="M65" s="499" t="n"/>
      <c r="N65" s="499" t="n"/>
      <c r="O65" s="499" t="n"/>
      <c r="P65" s="499" t="n"/>
      <c r="Q65" s="499" t="n"/>
      <c r="R65" s="499" t="n"/>
      <c r="S65" s="499" t="n"/>
      <c r="T65" s="499" t="n"/>
    </row>
    <row r="66" ht="15" customHeight="1">
      <c r="A66" s="369" t="n"/>
      <c r="B66" s="449" t="inlineStr">
        <is>
          <t>Offset use allowed</t>
        </is>
      </c>
      <c r="C66" s="449" t="inlineStr">
        <is>
          <t>Rules of which offsets are allowed or reference to such rules; "No" if no offsets allowed</t>
        </is>
      </c>
      <c r="D66" s="449" t="inlineStr">
        <is>
          <t>Free</t>
        </is>
      </c>
      <c r="E66" s="449" t="inlineStr">
        <is>
          <t>No if none; otherwise description of the applicable rules</t>
        </is>
      </c>
      <c r="F66" s="459" t="n"/>
      <c r="G66" s="499" t="n"/>
      <c r="H66" s="499" t="n"/>
      <c r="I66" s="499" t="n"/>
      <c r="J66" s="499" t="n"/>
      <c r="K66" s="499" t="n"/>
      <c r="L66" s="499" t="n"/>
      <c r="M66" s="499" t="n"/>
      <c r="N66" s="499" t="n"/>
      <c r="O66" s="499" t="n"/>
      <c r="P66" s="499" t="n"/>
      <c r="Q66" s="499" t="n"/>
      <c r="R66" s="499" t="n"/>
      <c r="S66" s="499" t="n"/>
      <c r="T66" s="499" t="n"/>
    </row>
    <row r="67" ht="15" customHeight="1">
      <c r="A67" s="361" t="n"/>
      <c r="B67" s="449" t="inlineStr">
        <is>
          <t>Penalties for non-compliance per unit</t>
        </is>
      </c>
      <c r="C67" s="449" t="inlineStr">
        <is>
          <t>The consequences or fines imposed on entities that fail to comply with the regulations and requirements of the emissions trading system</t>
        </is>
      </c>
      <c r="D67" s="449" t="inlineStr">
        <is>
          <t>Catgorial, free for details</t>
        </is>
      </c>
      <c r="E67" s="449" t="inlineStr">
        <is>
          <t>administrative action (e.g. warning, permit withdrawal); legal action (e.g. prosecution); monetary fines</t>
        </is>
      </c>
      <c r="F67" s="459" t="n"/>
      <c r="G67" s="499" t="n"/>
      <c r="H67" s="499" t="n"/>
      <c r="I67" s="499" t="n"/>
      <c r="J67" s="499" t="n"/>
      <c r="K67" s="499" t="n"/>
      <c r="L67" s="499" t="n"/>
      <c r="M67" s="499" t="n"/>
      <c r="N67" s="499" t="n"/>
      <c r="O67" s="499" t="n"/>
      <c r="P67" s="499" t="n"/>
      <c r="Q67" s="499" t="n"/>
      <c r="R67" s="499" t="n"/>
      <c r="S67" s="499" t="n"/>
      <c r="T67" s="499" t="n"/>
    </row>
    <row r="68" ht="15" customHeight="1">
      <c r="A68" s="642" t="inlineStr">
        <is>
          <t>Regulatory instruments</t>
        </is>
      </c>
      <c r="B68" s="448" t="inlineStr">
        <is>
          <t>Compliance monitoring</t>
        </is>
      </c>
      <c r="C68" s="448" t="inlineStr">
        <is>
          <t>Captures whether methods, processes, or systems are in place to monitor and ensure compliance with the regulatory aspects of the climate change mitigation policy</t>
        </is>
      </c>
      <c r="D68" s="448" t="inlineStr">
        <is>
          <t>Categorial (single choice), free for details</t>
        </is>
      </c>
      <c r="E68" s="448" t="inlineStr">
        <is>
          <t>No compliance monitoring; Self-monitoring and reporting; Inspections or audits conducted by government authorities or third parties; Other</t>
        </is>
      </c>
      <c r="F68" s="459" t="n"/>
      <c r="G68" s="499" t="n"/>
      <c r="H68" s="499" t="n"/>
      <c r="I68" s="499" t="n"/>
      <c r="J68" s="499" t="n"/>
      <c r="K68" s="499" t="n"/>
      <c r="L68" s="499" t="n"/>
      <c r="M68" s="499" t="n"/>
      <c r="N68" s="499" t="n"/>
      <c r="O68" s="499" t="n"/>
      <c r="P68" s="499" t="n"/>
      <c r="Q68" s="499" t="n"/>
      <c r="R68" s="499" t="n"/>
      <c r="S68" s="499" t="n"/>
      <c r="T68" s="499" t="n"/>
    </row>
    <row r="69" ht="15" customHeight="1">
      <c r="A69" s="369" t="n"/>
      <c r="B69" s="448" t="inlineStr">
        <is>
          <t>Compliance monitoring details</t>
        </is>
      </c>
      <c r="C69" s="448" t="inlineStr">
        <is>
          <t>Captures details on the compliance method (i.e. details on Self-monitoring and reporting; Inspections or audits conducted by government authorities or third parties; Other)</t>
        </is>
      </c>
      <c r="D69" s="448" t="inlineStr">
        <is>
          <t>Free</t>
        </is>
      </c>
      <c r="E69" s="448" t="inlineStr">
        <is>
          <t>N/A</t>
        </is>
      </c>
      <c r="F69" s="459" t="n"/>
      <c r="G69" s="499" t="n"/>
      <c r="H69" s="499" t="n"/>
      <c r="I69" s="499" t="n"/>
      <c r="J69" s="499" t="n"/>
      <c r="K69" s="499" t="n"/>
      <c r="L69" s="499" t="n"/>
      <c r="M69" s="499" t="n"/>
      <c r="N69" s="499" t="n"/>
      <c r="O69" s="499" t="n"/>
      <c r="P69" s="499" t="n"/>
      <c r="Q69" s="499" t="n"/>
      <c r="R69" s="499" t="n"/>
      <c r="S69" s="499" t="n"/>
      <c r="T69" s="499" t="n"/>
    </row>
    <row r="70" ht="15" customHeight="1">
      <c r="A70" s="369" t="n"/>
      <c r="B70" s="448" t="inlineStr">
        <is>
          <t>Compliance enforcement</t>
        </is>
      </c>
      <c r="C70" s="448" t="inlineStr">
        <is>
          <t>The consequences imposed on agents that do not adhere to the regulatory requirements of the climate change mitigation policy</t>
        </is>
      </c>
      <c r="D70" s="448" t="inlineStr">
        <is>
          <t>Categorial (multiple choice), free for details</t>
        </is>
      </c>
      <c r="E70" s="448" t="inlineStr">
        <is>
          <t>No compliance enforcement; Monetary penalties; Prohibitions; Compliance order; Other</t>
        </is>
      </c>
      <c r="F70" s="459" t="n"/>
      <c r="G70" s="499" t="n"/>
      <c r="H70" s="499" t="n"/>
      <c r="I70" s="499" t="n"/>
      <c r="J70" s="499" t="n"/>
      <c r="K70" s="499" t="n"/>
      <c r="L70" s="499" t="n"/>
      <c r="M70" s="499" t="n"/>
      <c r="N70" s="499" t="n"/>
      <c r="O70" s="499" t="n"/>
      <c r="P70" s="499" t="n"/>
      <c r="Q70" s="499" t="n"/>
      <c r="R70" s="499" t="n"/>
      <c r="S70" s="499" t="n"/>
      <c r="T70" s="499" t="n"/>
    </row>
    <row r="71" ht="15" customHeight="1">
      <c r="A71" s="369" t="n"/>
      <c r="B71" s="448" t="inlineStr">
        <is>
          <t>Compliance enforcement details</t>
        </is>
      </c>
      <c r="C71" s="448" t="inlineStr">
        <is>
          <t>Captures details on the enforcement method and process (i.e. detao;s on Monetary penalties; Prohibitions; Compliance order; Other)</t>
        </is>
      </c>
      <c r="D71" s="448" t="inlineStr">
        <is>
          <t>Free</t>
        </is>
      </c>
      <c r="E71" s="448" t="inlineStr">
        <is>
          <t>N/A</t>
        </is>
      </c>
      <c r="F71" s="459" t="n"/>
      <c r="G71" s="499" t="n"/>
      <c r="H71" s="499" t="n"/>
      <c r="I71" s="499" t="n"/>
      <c r="J71" s="499" t="n"/>
      <c r="K71" s="499" t="n"/>
      <c r="L71" s="499" t="n"/>
      <c r="M71" s="499" t="n"/>
      <c r="N71" s="499" t="n"/>
      <c r="O71" s="499" t="n"/>
      <c r="P71" s="499" t="n"/>
      <c r="Q71" s="499" t="n"/>
      <c r="R71" s="499" t="n"/>
      <c r="S71" s="499" t="n"/>
      <c r="T71" s="499" t="n"/>
    </row>
    <row r="72" ht="15" customHeight="1">
      <c r="A72" s="369" t="n"/>
      <c r="B72" s="448" t="inlineStr">
        <is>
          <t>Compliance promotion</t>
        </is>
      </c>
      <c r="C72" s="448" t="inlineStr">
        <is>
          <t>Initiatives or activities aimed at encouraging and facilitating compliance with the regulatory measures of the climate change mitigation policy</t>
        </is>
      </c>
      <c r="D72" s="448" t="inlineStr">
        <is>
          <t>Categorial (multiple choice), free for details</t>
        </is>
      </c>
      <c r="E72" s="448" t="inlineStr">
        <is>
          <t>No compliance promotion; Regulatory incentives (e.g. weights, banking, pooling, trading); Information and direct assistance; Financial support; Other incentives or support</t>
        </is>
      </c>
      <c r="F72" s="459" t="n"/>
      <c r="G72" s="499" t="n"/>
      <c r="H72" s="499" t="n"/>
      <c r="I72" s="499" t="n"/>
      <c r="J72" s="499" t="n"/>
      <c r="K72" s="499" t="n"/>
      <c r="L72" s="499" t="n"/>
      <c r="M72" s="499" t="n"/>
      <c r="N72" s="499" t="n"/>
      <c r="O72" s="499" t="n"/>
      <c r="P72" s="499" t="n"/>
      <c r="Q72" s="499" t="n"/>
      <c r="R72" s="499" t="n"/>
      <c r="S72" s="499" t="n"/>
      <c r="T72" s="499" t="n"/>
    </row>
    <row r="73" ht="15" customHeight="1">
      <c r="A73" s="361" t="n"/>
      <c r="B73" s="448" t="inlineStr">
        <is>
          <t>Compliance promotion details</t>
        </is>
      </c>
      <c r="C73" s="448" t="inlineStr">
        <is>
          <t>Captures details on compliance promotion methods and processes (e.g. details on regulatory incentives such as weights, banking, pooling, trading, or other; information/direct assistance; financial support; other compliance promotion processes)</t>
        </is>
      </c>
      <c r="D73" s="448" t="inlineStr">
        <is>
          <t>Free</t>
        </is>
      </c>
      <c r="E73" s="448" t="inlineStr">
        <is>
          <t>N/A</t>
        </is>
      </c>
      <c r="F73" s="459" t="n"/>
      <c r="G73" s="499" t="n"/>
      <c r="H73" s="499" t="n"/>
      <c r="I73" s="499" t="n"/>
      <c r="J73" s="499" t="n"/>
      <c r="K73" s="499" t="n"/>
      <c r="L73" s="499" t="n"/>
      <c r="M73" s="499" t="n"/>
      <c r="N73" s="499" t="n"/>
      <c r="O73" s="499" t="n"/>
      <c r="P73" s="499" t="n"/>
      <c r="Q73" s="499" t="n"/>
      <c r="R73" s="499" t="n"/>
      <c r="S73" s="499" t="n"/>
      <c r="T73" s="499" t="n"/>
    </row>
    <row r="74" ht="15" customHeight="1">
      <c r="A74" s="642" t="inlineStr">
        <is>
          <t>Government investment and consumption</t>
        </is>
      </c>
      <c r="B74" s="448" t="inlineStr">
        <is>
          <t>Public investment: Co-financing</t>
        </is>
      </c>
      <c r="C74" s="448" t="inlineStr">
        <is>
          <t>Indicates whether the government is financing the project/technology completely or is co-financing it</t>
        </is>
      </c>
      <c r="D74" s="448" t="inlineStr">
        <is>
          <t>Categorial (single choice)</t>
        </is>
      </c>
      <c r="E74" s="448" t="inlineStr">
        <is>
          <t>Yes; No</t>
        </is>
      </c>
      <c r="F74" s="459" t="n"/>
      <c r="G74" s="499" t="n"/>
      <c r="H74" s="499" t="n"/>
      <c r="I74" s="499" t="n"/>
      <c r="J74" s="499" t="n"/>
      <c r="K74" s="499" t="n"/>
      <c r="L74" s="499" t="n"/>
      <c r="M74" s="499" t="n"/>
      <c r="N74" s="499" t="n"/>
      <c r="O74" s="499" t="n"/>
      <c r="P74" s="499" t="n"/>
      <c r="Q74" s="499" t="n"/>
      <c r="R74" s="499" t="n"/>
      <c r="S74" s="499" t="n"/>
      <c r="T74" s="499" t="n"/>
    </row>
    <row r="75" ht="15" customHeight="1">
      <c r="A75" s="369" t="n"/>
      <c r="B75" s="448" t="inlineStr">
        <is>
          <t>Public investment: Selection process</t>
        </is>
      </c>
      <c r="C75" s="448" t="inlineStr">
        <is>
          <t>Details regarding how the project or investment is chosen as an investment target. If there's a structured selection process, it indicates the criteria for selection</t>
        </is>
      </c>
      <c r="D75" s="448" t="inlineStr">
        <is>
          <t>Categorial (single choice), free
for details</t>
        </is>
      </c>
      <c r="E75" s="448" t="inlineStr">
        <is>
          <t>Yes, No</t>
        </is>
      </c>
      <c r="F75" s="459" t="n"/>
      <c r="G75" s="499" t="n"/>
      <c r="H75" s="499" t="n"/>
      <c r="I75" s="499" t="n"/>
      <c r="J75" s="499" t="n"/>
      <c r="K75" s="499" t="n"/>
      <c r="L75" s="499" t="n"/>
      <c r="M75" s="499" t="n"/>
      <c r="N75" s="499" t="n"/>
      <c r="O75" s="499" t="n"/>
      <c r="P75" s="499" t="n"/>
      <c r="Q75" s="499" t="n"/>
      <c r="R75" s="499" t="n"/>
      <c r="S75" s="499" t="n"/>
      <c r="T75" s="499" t="n"/>
    </row>
    <row r="76" ht="15" customHeight="1">
      <c r="A76" s="369" t="n"/>
      <c r="B76" s="448" t="inlineStr">
        <is>
          <t>Public procurement: Tender process</t>
        </is>
      </c>
      <c r="C76" s="448" t="inlineStr">
        <is>
          <t>Indicates the type of tender/ purchase process</t>
        </is>
      </c>
      <c r="D76" s="448" t="inlineStr">
        <is>
          <t>Categorial (single choice), free
for details</t>
        </is>
      </c>
      <c r="E76" s="448" t="inlineStr">
        <is>
          <t>Open tender; Direct purchase; Negotiated purchase; Accelerated public tender</t>
        </is>
      </c>
      <c r="F76" s="459" t="n"/>
      <c r="G76" s="499" t="n"/>
      <c r="H76" s="499" t="n"/>
      <c r="I76" s="499" t="n"/>
      <c r="J76" s="499" t="n"/>
      <c r="K76" s="499" t="n"/>
      <c r="L76" s="499" t="n"/>
      <c r="M76" s="499" t="n"/>
      <c r="N76" s="499" t="n"/>
      <c r="O76" s="499" t="n"/>
      <c r="P76" s="499" t="n"/>
      <c r="Q76" s="499" t="n"/>
      <c r="R76" s="499" t="n"/>
      <c r="S76" s="499" t="n"/>
      <c r="T76" s="499" t="n"/>
    </row>
    <row r="77" ht="15" customHeight="1">
      <c r="A77" s="369" t="n"/>
      <c r="B77" s="448" t="inlineStr">
        <is>
          <t>Public procurement: Award criteria tender process</t>
        </is>
      </c>
      <c r="C77" s="448" t="inlineStr">
        <is>
          <t>Indicates if there is a premium given to bidders that comply with specific requirements in the tender process</t>
        </is>
      </c>
      <c r="D77" s="448" t="inlineStr">
        <is>
          <t>Free</t>
        </is>
      </c>
      <c r="E77" s="448" t="inlineStr">
        <is>
          <t>N/A</t>
        </is>
      </c>
      <c r="F77" s="459" t="n"/>
      <c r="G77" s="499" t="n"/>
      <c r="H77" s="499" t="n"/>
      <c r="I77" s="499" t="n"/>
      <c r="J77" s="499" t="n"/>
      <c r="K77" s="499" t="n"/>
      <c r="L77" s="499" t="n"/>
      <c r="M77" s="499" t="n"/>
      <c r="N77" s="499" t="n"/>
      <c r="O77" s="499" t="n"/>
      <c r="P77" s="499" t="n"/>
      <c r="Q77" s="499" t="n"/>
      <c r="R77" s="499" t="n"/>
      <c r="S77" s="499" t="n"/>
      <c r="T77" s="499" t="n"/>
    </row>
    <row r="78" ht="15" customHeight="1">
      <c r="A78" s="369" t="n"/>
      <c r="B78" s="448" t="inlineStr">
        <is>
          <t>Public procurement: Compliance monitoring</t>
        </is>
      </c>
      <c r="C78" s="448" t="inlineStr">
        <is>
          <t>The methods, processes, or systems in place to monitor and ensure compliance with the regulatory aspects of the climate change mitigation policy</t>
        </is>
      </c>
      <c r="D78" s="448" t="inlineStr">
        <is>
          <t>Categorial (single choice), free
for details</t>
        </is>
      </c>
      <c r="E78" s="448" t="inlineStr">
        <is>
          <t>No compliance monitoring; Self-monitoring and reporting; Inspections or audits conducted by government authorities or third parties; Other</t>
        </is>
      </c>
      <c r="F78" s="459" t="n"/>
      <c r="G78" s="499" t="n"/>
      <c r="H78" s="499" t="n"/>
      <c r="I78" s="499" t="n"/>
      <c r="J78" s="499" t="n"/>
      <c r="K78" s="499" t="n"/>
      <c r="L78" s="499" t="n"/>
      <c r="M78" s="499" t="n"/>
      <c r="N78" s="499" t="n"/>
      <c r="O78" s="499" t="n"/>
      <c r="P78" s="499" t="n"/>
      <c r="Q78" s="499" t="n"/>
      <c r="R78" s="499" t="n"/>
      <c r="S78" s="499" t="n"/>
      <c r="T78" s="499" t="n"/>
    </row>
    <row r="79" ht="15" customHeight="1">
      <c r="A79" s="369" t="n"/>
      <c r="B79" s="448" t="inlineStr">
        <is>
          <t>Public procurement: Compliance enforcement</t>
        </is>
      </c>
      <c r="C79" s="448" t="inlineStr">
        <is>
          <t>The consequences imposed on agents that do not adhere to the regulatory requirements of the climate change mitigation policy</t>
        </is>
      </c>
      <c r="D79" s="448" t="inlineStr">
        <is>
          <t>Categorial (multiple choice), free
for details</t>
        </is>
      </c>
      <c r="E79" s="448" t="inlineStr">
        <is>
          <t>No compliance enforcement; Monetary penalties; Prohibitions; Compliance order; Other</t>
        </is>
      </c>
      <c r="F79" s="459" t="n"/>
      <c r="G79" s="499" t="n"/>
      <c r="H79" s="499" t="n"/>
      <c r="I79" s="499" t="n"/>
      <c r="J79" s="499" t="n"/>
      <c r="K79" s="499" t="n"/>
      <c r="L79" s="499" t="n"/>
      <c r="M79" s="499" t="n"/>
      <c r="N79" s="499" t="n"/>
      <c r="O79" s="499" t="n"/>
      <c r="P79" s="499" t="n"/>
      <c r="Q79" s="499" t="n"/>
      <c r="R79" s="499" t="n"/>
      <c r="S79" s="499" t="n"/>
      <c r="T79" s="499" t="n"/>
    </row>
    <row r="80" ht="15" customHeight="1">
      <c r="A80" s="369" t="n"/>
      <c r="B80" s="448" t="inlineStr">
        <is>
          <t>Public procurement: Life-cycle costing</t>
        </is>
      </c>
      <c r="C80"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0" s="448" t="inlineStr">
        <is>
          <t>Categorial (single choice)</t>
        </is>
      </c>
      <c r="E80" s="448" t="inlineStr">
        <is>
          <t>Yes; No</t>
        </is>
      </c>
      <c r="F80" s="459" t="n"/>
      <c r="G80" s="499" t="n"/>
      <c r="H80" s="499" t="n"/>
      <c r="I80" s="499" t="n"/>
      <c r="J80" s="499" t="n"/>
      <c r="K80" s="499" t="n"/>
      <c r="L80" s="499" t="n"/>
      <c r="M80" s="499" t="n"/>
      <c r="N80" s="499" t="n"/>
      <c r="O80" s="499" t="n"/>
      <c r="P80" s="499" t="n"/>
      <c r="Q80" s="499" t="n"/>
      <c r="R80" s="499" t="n"/>
      <c r="S80" s="499" t="n"/>
      <c r="T80" s="499" t="n"/>
    </row>
    <row r="81" ht="15" customHeight="1">
      <c r="A81" s="361" t="n"/>
      <c r="B81" s="449" t="inlineStr">
        <is>
          <t>Public investment/procurement: Annual expenditure</t>
        </is>
      </c>
      <c r="C81" s="449" t="inlineStr">
        <is>
          <t>The financial allocation or budget earmarked in the year preceding the data collecting</t>
        </is>
      </c>
      <c r="D81" s="449" t="inlineStr">
        <is>
          <t>Numerical</t>
        </is>
      </c>
      <c r="E81" s="449" t="inlineStr">
        <is>
          <t>in millions of domestic currency, USD or otherwise applicable unit</t>
        </is>
      </c>
      <c r="F81" s="459" t="n"/>
      <c r="G81" s="499" t="n"/>
      <c r="H81" s="499" t="n"/>
      <c r="I81" s="499" t="n"/>
      <c r="J81" s="499" t="n"/>
      <c r="K81" s="499" t="n"/>
      <c r="L81" s="499" t="n"/>
      <c r="M81" s="499" t="n"/>
      <c r="N81" s="499" t="n"/>
      <c r="O81" s="499" t="n"/>
      <c r="P81" s="499" t="n"/>
      <c r="Q81" s="499" t="n"/>
      <c r="R81" s="499" t="n"/>
      <c r="S81" s="499" t="n"/>
      <c r="T81" s="499" t="n"/>
    </row>
    <row r="82" ht="15" customHeight="1">
      <c r="A82" s="642" t="inlineStr">
        <is>
          <t>Information instruments</t>
        </is>
      </c>
      <c r="B82" s="448" t="inlineStr">
        <is>
          <t>Instrument linkage</t>
        </is>
      </c>
      <c r="C82" s="448" t="inlineStr">
        <is>
          <t>Captures whether the information instrument is directly linked to other instruments</t>
        </is>
      </c>
      <c r="D82" s="448" t="inlineStr">
        <is>
          <t>Free</t>
        </is>
      </c>
      <c r="E82" s="448" t="inlineStr">
        <is>
          <t>N/A</t>
        </is>
      </c>
      <c r="F82" s="459" t="n"/>
      <c r="G82" s="499" t="n"/>
      <c r="H82" s="499" t="n"/>
      <c r="I82" s="499" t="n"/>
      <c r="J82" s="499" t="n"/>
      <c r="K82" s="499" t="n"/>
      <c r="L82" s="499" t="n"/>
      <c r="M82" s="499" t="n"/>
      <c r="N82" s="499" t="n"/>
      <c r="O82" s="499" t="n"/>
      <c r="P82" s="499" t="n"/>
      <c r="Q82" s="499" t="n"/>
      <c r="R82" s="499" t="n"/>
      <c r="S82" s="499" t="n"/>
      <c r="T82" s="499" t="n"/>
    </row>
    <row r="83" ht="15" customHeight="1">
      <c r="A83" s="369" t="n"/>
      <c r="B83" s="448" t="inlineStr">
        <is>
          <t>Responsibility information capturing</t>
        </is>
      </c>
      <c r="C83" s="448" t="inlineStr">
        <is>
          <t>Details on who is responsible for capturing the required information.</t>
        </is>
      </c>
      <c r="D83" s="448" t="inlineStr">
        <is>
          <t>Categorial (single choice)</t>
        </is>
      </c>
      <c r="E83" s="448" t="inlineStr">
        <is>
          <t>Government authorities (inspections or audits); Third parties (inspections or audits); The regulated agents (self-reporting)</t>
        </is>
      </c>
      <c r="F83" s="459" t="n"/>
      <c r="G83" s="499" t="n"/>
      <c r="H83" s="499" t="n"/>
      <c r="I83" s="499" t="n"/>
      <c r="J83" s="499" t="n"/>
      <c r="K83" s="499" t="n"/>
      <c r="L83" s="499" t="n"/>
      <c r="M83" s="499" t="n"/>
      <c r="N83" s="499" t="n"/>
      <c r="O83" s="499" t="n"/>
      <c r="P83" s="499" t="n"/>
      <c r="Q83" s="499" t="n"/>
      <c r="R83" s="499" t="n"/>
      <c r="S83" s="499" t="n"/>
      <c r="T83" s="499" t="n"/>
    </row>
    <row r="84" ht="15" customHeight="1">
      <c r="A84" s="369" t="n"/>
      <c r="B84" s="448" t="inlineStr">
        <is>
          <t>Information transmission</t>
        </is>
      </c>
      <c r="C84" s="448" t="inlineStr">
        <is>
          <t>Indicates how the information is transmitted to the government.</t>
        </is>
      </c>
      <c r="D84" s="448" t="inlineStr">
        <is>
          <t>Free</t>
        </is>
      </c>
      <c r="E84" s="448" t="inlineStr">
        <is>
          <t>N/A</t>
        </is>
      </c>
      <c r="F84" s="459" t="n"/>
      <c r="G84" s="499" t="n"/>
      <c r="H84" s="499" t="n"/>
      <c r="I84" s="499" t="n"/>
      <c r="J84" s="499" t="n"/>
      <c r="K84" s="499" t="n"/>
      <c r="L84" s="499" t="n"/>
      <c r="M84" s="499" t="n"/>
      <c r="N84" s="499" t="n"/>
      <c r="O84" s="499" t="n"/>
      <c r="P84" s="499" t="n"/>
      <c r="Q84" s="499" t="n"/>
      <c r="R84" s="499" t="n"/>
      <c r="S84" s="499" t="n"/>
      <c r="T84" s="499" t="n"/>
    </row>
    <row r="85" ht="15" customHeight="1">
      <c r="A85" s="369" t="n"/>
      <c r="B85" s="448" t="inlineStr">
        <is>
          <t>Frequency of information provision</t>
        </is>
      </c>
      <c r="C85" s="448" t="inlineStr">
        <is>
          <t>Indicates how often the information has to be provided.</t>
        </is>
      </c>
      <c r="D85" s="448" t="inlineStr">
        <is>
          <t>Categorial (single choice), free for details</t>
        </is>
      </c>
      <c r="E85" s="448" t="inlineStr">
        <is>
          <t>In real-time; Quarterly; Annually; Other, details:__</t>
        </is>
      </c>
      <c r="F85" s="459" t="n"/>
      <c r="G85" s="499" t="n"/>
      <c r="H85" s="499" t="n"/>
      <c r="I85" s="499" t="n"/>
      <c r="J85" s="499" t="n"/>
      <c r="K85" s="499" t="n"/>
      <c r="L85" s="499" t="n"/>
      <c r="M85" s="499" t="n"/>
      <c r="N85" s="499" t="n"/>
      <c r="O85" s="499" t="n"/>
      <c r="P85" s="499" t="n"/>
      <c r="Q85" s="499" t="n"/>
      <c r="R85" s="499" t="n"/>
      <c r="S85" s="499" t="n"/>
      <c r="T85" s="499" t="n"/>
    </row>
    <row r="86" ht="15" customHeight="1">
      <c r="A86" s="369" t="n"/>
      <c r="B86" s="448" t="inlineStr">
        <is>
          <t>Public availability of information</t>
        </is>
      </c>
      <c r="C86" s="448" t="inlineStr">
        <is>
          <t>Details about whether the information is publicly available and, if so, where it can be accessed.</t>
        </is>
      </c>
      <c r="D86" s="448" t="inlineStr">
        <is>
          <t>Free</t>
        </is>
      </c>
      <c r="E86" s="448" t="inlineStr">
        <is>
          <t>N/A</t>
        </is>
      </c>
      <c r="F86" s="459" t="n"/>
      <c r="G86" s="499" t="n"/>
      <c r="H86" s="499" t="n"/>
      <c r="I86" s="499" t="n"/>
      <c r="J86" s="499" t="n"/>
      <c r="K86" s="499" t="n"/>
      <c r="L86" s="499" t="n"/>
      <c r="M86" s="499" t="n"/>
      <c r="N86" s="499" t="n"/>
      <c r="O86" s="499" t="n"/>
      <c r="P86" s="499" t="n"/>
      <c r="Q86" s="499" t="n"/>
      <c r="R86" s="499" t="n"/>
      <c r="S86" s="499" t="n"/>
      <c r="T86" s="499" t="n"/>
    </row>
    <row r="87" ht="15" customHeight="1">
      <c r="A87" s="369" t="n"/>
      <c r="B87" s="448" t="inlineStr">
        <is>
          <t>For labels: Type</t>
        </is>
      </c>
      <c r="C87" s="448" t="inlineStr">
        <is>
          <t>Indicates how labels are assigned and designed.</t>
        </is>
      </c>
      <c r="D87" s="448" t="inlineStr">
        <is>
          <t>Categorial</t>
        </is>
      </c>
      <c r="E87" s="448" t="inlineStr">
        <is>
          <t>Binary (based on a single threshold value); Categorial; Continuously</t>
        </is>
      </c>
      <c r="F87" s="459" t="n"/>
      <c r="G87" s="499" t="n"/>
      <c r="H87" s="499" t="n"/>
      <c r="I87" s="499" t="n"/>
      <c r="J87" s="499" t="n"/>
      <c r="K87" s="499" t="n"/>
      <c r="L87" s="499" t="n"/>
      <c r="M87" s="499" t="n"/>
      <c r="N87" s="499" t="n"/>
      <c r="O87" s="499" t="n"/>
      <c r="P87" s="499" t="n"/>
      <c r="Q87" s="499" t="n"/>
      <c r="R87" s="499" t="n"/>
      <c r="S87" s="499" t="n"/>
      <c r="T87" s="499" t="n"/>
    </row>
    <row r="88" ht="15" customHeight="1">
      <c r="A88" s="369" t="n"/>
      <c r="B88" s="448" t="inlineStr">
        <is>
          <t>Compliance monitoring</t>
        </is>
      </c>
      <c r="C88" s="448" t="inlineStr">
        <is>
          <t>The methods, processes, or systems in place to monitor and ensure compliance with the regulatory aspects of the climate change mitigation policy.</t>
        </is>
      </c>
      <c r="D88" s="448" t="inlineStr">
        <is>
          <t>Categorial (single choice), free for details</t>
        </is>
      </c>
      <c r="E88" s="448" t="inlineStr">
        <is>
          <t>No compliance monitoring Random; Targeted, according to a criteria:__; Regular temporal intervals:__; Irregular temporal intervals; Inspections/audits with prior notice; Inspections/audits without prior notice</t>
        </is>
      </c>
      <c r="F88" s="459" t="n"/>
      <c r="G88" s="499" t="n"/>
      <c r="H88" s="499" t="n"/>
      <c r="I88" s="499" t="n"/>
      <c r="J88" s="499" t="n"/>
      <c r="K88" s="499" t="n"/>
      <c r="L88" s="499" t="n"/>
      <c r="M88" s="499" t="n"/>
      <c r="N88" s="499" t="n"/>
      <c r="O88" s="499" t="n"/>
      <c r="P88" s="499" t="n"/>
      <c r="Q88" s="499" t="n"/>
      <c r="R88" s="499" t="n"/>
      <c r="S88" s="499" t="n"/>
      <c r="T88" s="499" t="n"/>
    </row>
    <row r="89" ht="15" customHeight="1">
      <c r="A89" s="369" t="n"/>
      <c r="B89" s="448" t="inlineStr">
        <is>
          <t>Compliance enforcement</t>
        </is>
      </c>
      <c r="C89" s="448" t="inlineStr">
        <is>
          <t>The consequences imposed on agents that do not adhere to the regulatory requirements of the climate change mitigation policy.</t>
        </is>
      </c>
      <c r="D89" s="448" t="inlineStr">
        <is>
          <t>Categorial (multiple choice), free for details</t>
        </is>
      </c>
      <c r="E89" s="448" t="inlineStr">
        <is>
          <t>No compliance enforcement; Monetary penalties; Prohibitions; Compliance order; Other</t>
        </is>
      </c>
      <c r="F89" s="459" t="n"/>
      <c r="G89" s="499" t="n"/>
      <c r="H89" s="499" t="n"/>
      <c r="I89" s="499" t="n"/>
      <c r="J89" s="499" t="n"/>
      <c r="K89" s="499" t="n"/>
      <c r="L89" s="499" t="n"/>
      <c r="M89" s="499" t="n"/>
      <c r="N89" s="499" t="n"/>
      <c r="O89" s="499" t="n"/>
      <c r="P89" s="499" t="n"/>
      <c r="Q89" s="499" t="n"/>
      <c r="R89" s="499" t="n"/>
      <c r="S89" s="499" t="n"/>
      <c r="T89" s="499" t="n"/>
    </row>
    <row r="90" ht="15" customHeight="1">
      <c r="A90" s="369" t="n"/>
      <c r="B90" s="448" t="inlineStr">
        <is>
          <t>Compliance promotion</t>
        </is>
      </c>
      <c r="C90" s="448" t="inlineStr">
        <is>
          <t>Initiatives or activities aimed at encouraging and facilitating compliance with the regulatory measures of the climate change mitigation policy.</t>
        </is>
      </c>
      <c r="D90" s="448" t="inlineStr">
        <is>
          <t>Categorial (multiple choice), free for details</t>
        </is>
      </c>
      <c r="E90" s="448" t="inlineStr">
        <is>
          <t>No compliance promotion; Information and direct assistance; Financial support; Other incentives or support</t>
        </is>
      </c>
      <c r="F90" s="459" t="n"/>
      <c r="G90" s="499" t="n"/>
      <c r="H90" s="499" t="n"/>
      <c r="I90" s="499" t="n"/>
      <c r="J90" s="499" t="n"/>
      <c r="K90" s="499" t="n"/>
      <c r="L90" s="499" t="n"/>
      <c r="M90" s="499" t="n"/>
      <c r="N90" s="499" t="n"/>
      <c r="O90" s="499" t="n"/>
      <c r="P90" s="499" t="n"/>
      <c r="Q90" s="499" t="n"/>
      <c r="R90" s="499" t="n"/>
      <c r="S90" s="499" t="n"/>
      <c r="T90" s="499" t="n"/>
    </row>
    <row r="91" ht="15" customHeight="1">
      <c r="A91" s="361" t="n"/>
      <c r="B91" s="448" t="inlineStr">
        <is>
          <t>Details on capacity building, training/education, information campaigns and award schemes</t>
        </is>
      </c>
      <c r="C91" s="448" t="inlineStr">
        <is>
          <t>Indicates details on the frequency, the target group and the annual budget allocated</t>
        </is>
      </c>
      <c r="D91" s="448" t="inlineStr">
        <is>
          <t>Free</t>
        </is>
      </c>
      <c r="E91" s="448" t="inlineStr">
        <is>
          <t>N/A</t>
        </is>
      </c>
      <c r="F91" s="459" t="n"/>
      <c r="G91" s="499" t="n"/>
      <c r="H91" s="499" t="n"/>
      <c r="I91" s="499" t="n"/>
      <c r="J91" s="499" t="n"/>
      <c r="K91" s="499" t="n"/>
      <c r="L91" s="499" t="n"/>
      <c r="M91" s="499" t="n"/>
      <c r="N91" s="499" t="n"/>
      <c r="O91" s="499" t="n"/>
      <c r="P91" s="499" t="n"/>
      <c r="Q91" s="499" t="n"/>
      <c r="R91" s="499" t="n"/>
      <c r="S91" s="499" t="n"/>
      <c r="T91" s="499" t="n"/>
    </row>
    <row r="92" ht="15" customHeight="1">
      <c r="A92" s="642" t="inlineStr">
        <is>
          <t>Voluntary approaches</t>
        </is>
      </c>
      <c r="B92" s="449" t="inlineStr">
        <is>
          <t>Incentives for Participation</t>
        </is>
      </c>
      <c r="C92" s="449" t="inlineStr">
        <is>
          <t>The rewards, benefits, or positive inducements offered to encourage voluntary participation in climate change mitigation activities or programs</t>
        </is>
      </c>
      <c r="D92" s="449" t="inlineStr">
        <is>
          <t>Categorial (single choice)</t>
        </is>
      </c>
      <c r="E92" s="449" t="inlineStr">
        <is>
          <t>Financial; Regulatory; Reputational; None</t>
        </is>
      </c>
      <c r="F92" s="459" t="n"/>
      <c r="G92" s="499" t="n"/>
      <c r="H92" s="499" t="n"/>
      <c r="I92" s="499" t="n"/>
      <c r="J92" s="499" t="n"/>
      <c r="K92" s="499" t="n"/>
      <c r="L92" s="499" t="n"/>
      <c r="M92" s="499" t="n"/>
      <c r="N92" s="499" t="n"/>
      <c r="O92" s="499" t="n"/>
      <c r="P92" s="499" t="n"/>
      <c r="Q92" s="499" t="n"/>
      <c r="R92" s="499" t="n"/>
      <c r="S92" s="499" t="n"/>
      <c r="T92" s="499" t="n"/>
    </row>
    <row r="93" ht="15" customHeight="1">
      <c r="A93" s="369" t="n"/>
      <c r="B93" s="449" t="inlineStr">
        <is>
          <t>Monitoring</t>
        </is>
      </c>
      <c r="C93" s="449" t="inlineStr">
        <is>
          <t>The processes and systems in place to track and assess voluntary actions or initiatives related to climate change mitigation.</t>
        </is>
      </c>
      <c r="D93" s="449" t="inlineStr">
        <is>
          <t>Dichotomous, free for details</t>
        </is>
      </c>
      <c r="E93" s="449" t="inlineStr">
        <is>
          <t>Yes/no, free for detail</t>
        </is>
      </c>
      <c r="F93" s="459" t="n"/>
      <c r="G93" s="499" t="n"/>
      <c r="H93" s="499" t="n"/>
      <c r="I93" s="499" t="n"/>
      <c r="J93" s="499" t="n"/>
      <c r="K93" s="499" t="n"/>
      <c r="L93" s="499" t="n"/>
      <c r="M93" s="499" t="n"/>
      <c r="N93" s="499" t="n"/>
      <c r="O93" s="499" t="n"/>
      <c r="P93" s="499" t="n"/>
      <c r="Q93" s="499" t="n"/>
      <c r="R93" s="499" t="n"/>
      <c r="S93" s="499" t="n"/>
      <c r="T93" s="499" t="n"/>
    </row>
    <row r="94">
      <c r="A94" s="361" t="n"/>
      <c r="B94" s="449" t="inlineStr">
        <is>
          <t>Sanctions for non-compliance</t>
        </is>
      </c>
      <c r="C94" s="449" t="inlineStr">
        <is>
          <t>The consequences or penalties imposed on agents or individuals who fail to fulfill their voluntary commitments or obligations related to climate change mitigation.</t>
        </is>
      </c>
      <c r="D94" s="449" t="inlineStr">
        <is>
          <t>Dichotomous, free for details</t>
        </is>
      </c>
      <c r="E94" s="449" t="inlineStr">
        <is>
          <t>Yes/no, free for detail</t>
        </is>
      </c>
      <c r="F94" s="459" t="n"/>
      <c r="G94" s="499" t="n"/>
      <c r="H94" s="499" t="n"/>
      <c r="I94" s="499" t="n"/>
      <c r="J94" s="499" t="n"/>
      <c r="K94" s="499" t="n"/>
      <c r="L94" s="499" t="n"/>
      <c r="M94" s="499" t="n"/>
      <c r="N94" s="499" t="n"/>
      <c r="O94" s="499" t="n"/>
      <c r="P94" s="499" t="n"/>
      <c r="Q94" s="499" t="n"/>
      <c r="R94" s="499" t="n"/>
      <c r="S94" s="499" t="n"/>
      <c r="T94" s="499" t="n"/>
    </row>
    <row r="95" ht="15" customHeight="1"/>
  </sheetData>
  <mergeCells count="15">
    <mergeCell ref="A4:A7"/>
    <mergeCell ref="A23:A37"/>
    <mergeCell ref="A48:A50"/>
    <mergeCell ref="A74:A81"/>
    <mergeCell ref="A2:E2"/>
    <mergeCell ref="A43:A46"/>
    <mergeCell ref="A51:A57"/>
    <mergeCell ref="A92:A94"/>
    <mergeCell ref="A82:A91"/>
    <mergeCell ref="A47:E47"/>
    <mergeCell ref="A41:A42"/>
    <mergeCell ref="A38:A40"/>
    <mergeCell ref="A68:A73"/>
    <mergeCell ref="A8:A22"/>
    <mergeCell ref="A58:A6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646" t="inlineStr">
        <is>
          <t>English name</t>
        </is>
      </c>
      <c r="B1" s="646" t="inlineStr">
        <is>
          <t>Domestic instrument name</t>
        </is>
      </c>
      <c r="C1" s="646" t="inlineStr">
        <is>
          <t>Status</t>
        </is>
      </c>
      <c r="D1" s="646" t="inlineStr">
        <is>
          <t>Start year</t>
        </is>
      </c>
      <c r="E1" s="646" t="inlineStr">
        <is>
          <t>End year</t>
        </is>
      </c>
      <c r="F1" s="646" t="inlineStr">
        <is>
          <t>Instrument category</t>
        </is>
      </c>
      <c r="G1" s="646" t="inlineStr">
        <is>
          <t>Instrument group</t>
        </is>
      </c>
      <c r="H1" s="646" t="inlineStr">
        <is>
          <t>Emission sector</t>
        </is>
      </c>
      <c r="I1" s="646" t="inlineStr">
        <is>
          <t>Sub-sector</t>
        </is>
      </c>
      <c r="J1" s="646" t="inlineStr">
        <is>
          <t>Legal document</t>
        </is>
      </c>
      <c r="K1" s="646" t="inlineStr">
        <is>
          <t>Weblinks</t>
        </is>
      </c>
      <c r="L1" s="610" t="n"/>
      <c r="M1" s="610" t="n"/>
      <c r="N1" s="610" t="n"/>
      <c r="O1" s="610" t="n"/>
      <c r="P1" s="610" t="n"/>
      <c r="Q1" s="610" t="n"/>
      <c r="R1" s="610" t="n"/>
    </row>
    <row r="2">
      <c r="A2" s="647" t="inlineStr">
        <is>
          <t>Electric vehicle purchase subsidy</t>
        </is>
      </c>
      <c r="B2" s="647" t="inlineStr">
        <is>
          <t>新能源汽车推广应用补贴</t>
        </is>
      </c>
      <c r="C2" s="647" t="inlineStr">
        <is>
          <t>Ended</t>
        </is>
      </c>
      <c r="D2" s="648" t="n">
        <v>2009</v>
      </c>
      <c r="E2" s="648" t="n">
        <v>2022</v>
      </c>
      <c r="F2" s="647" t="inlineStr">
        <is>
          <t>Economic</t>
        </is>
      </c>
      <c r="G2" s="647" t="inlineStr">
        <is>
          <t>Subsidy</t>
        </is>
      </c>
      <c r="H2" s="647" t="inlineStr">
        <is>
          <t>Transport</t>
        </is>
      </c>
      <c r="I2" s="647" t="inlineStr">
        <is>
          <t>Vehicle</t>
        </is>
      </c>
      <c r="J2" s="499" t="inlineStr">
        <is>
          <t>http://www.mof.gov.cn/gkml/caizhengwengao/2009niancaizhengbuwengao/caizhengwengao2009dierqi/200904/t20090413_132178.htm</t>
        </is>
      </c>
      <c r="K2" s="499" t="inlineStr">
        <is>
          <t>https://www.gov.cn/zhengce/zhengceku/2021-12/31/content_5665857.htm</t>
        </is>
      </c>
      <c r="L2" s="499" t="n"/>
      <c r="M2" s="499" t="n"/>
      <c r="N2" s="499" t="n"/>
      <c r="O2" s="499" t="n"/>
      <c r="P2" s="499" t="n"/>
      <c r="Q2" s="499" t="n"/>
      <c r="R2" s="499" t="n"/>
    </row>
    <row r="3">
      <c r="A3" s="647" t="inlineStr">
        <is>
          <t>Subsidy for the Construction of Electric Vehicle Charging Infrastructure</t>
        </is>
      </c>
      <c r="B3" s="647" t="inlineStr">
        <is>
          <t>电动汽车充电基础设施建设奖补</t>
        </is>
      </c>
      <c r="C3" s="647" t="inlineStr">
        <is>
          <t>Ended</t>
        </is>
      </c>
      <c r="D3" s="648" t="n">
        <v>2015</v>
      </c>
      <c r="E3" s="648" t="n">
        <v>2020</v>
      </c>
      <c r="F3" s="647" t="inlineStr">
        <is>
          <t>Economic</t>
        </is>
      </c>
      <c r="G3" s="647" t="inlineStr">
        <is>
          <t>Subsidy</t>
        </is>
      </c>
      <c r="H3" s="647" t="inlineStr">
        <is>
          <t>Transport</t>
        </is>
      </c>
      <c r="I3" s="647" t="inlineStr">
        <is>
          <t>Vehicle</t>
        </is>
      </c>
      <c r="J3" s="499" t="inlineStr">
        <is>
          <t>http://www.mof.gov.cn/gp/xxgkml/jjjss/201601/t20160120_2512185.htm</t>
        </is>
      </c>
      <c r="K3" s="499" t="inlineStr">
        <is>
          <t>https://www.gov.cn/zhengce/content/2015-10/09/content_10214.htm</t>
        </is>
      </c>
      <c r="L3" s="499" t="n"/>
      <c r="M3" s="499" t="n"/>
      <c r="N3" s="499" t="n"/>
      <c r="O3" s="499" t="n"/>
      <c r="P3" s="499" t="n"/>
      <c r="Q3" s="499" t="n"/>
      <c r="R3" s="499" t="n"/>
    </row>
    <row r="4">
      <c r="A4" s="499" t="inlineStr">
        <is>
          <t>Renewable electricity feed-in tariff</t>
        </is>
      </c>
      <c r="B4" s="499" t="inlineStr">
        <is>
          <t>可再生能源上网电价补贴</t>
        </is>
      </c>
      <c r="C4" s="499" t="inlineStr">
        <is>
          <t>Ended</t>
        </is>
      </c>
      <c r="D4" s="648" t="n">
        <v>2006</v>
      </c>
      <c r="E4" s="649" t="inlineStr">
        <is>
          <t>2021</t>
        </is>
      </c>
      <c r="F4" s="647" t="inlineStr">
        <is>
          <t>Economic</t>
        </is>
      </c>
      <c r="G4" s="647" t="inlineStr">
        <is>
          <t>Subsidy</t>
        </is>
      </c>
      <c r="H4" s="647" t="inlineStr">
        <is>
          <t>Energy</t>
        </is>
      </c>
      <c r="I4" s="499" t="inlineStr">
        <is>
          <t>Solar power; wind power</t>
        </is>
      </c>
      <c r="J4" s="499" t="inlineStr">
        <is>
          <t>https://www.ndrc.gov.cn/xxgk/zcfb/tz/200601/t20060120_965897.html</t>
        </is>
      </c>
      <c r="K4" s="499" t="inlineStr">
        <is>
          <t>https://zfxxgk.ndrc.gov.cn/web/iteminfo.jsp?id=19761</t>
        </is>
      </c>
      <c r="L4" s="499" t="n"/>
      <c r="M4" s="499" t="n"/>
      <c r="N4" s="499" t="n"/>
      <c r="O4" s="499" t="n"/>
      <c r="P4" s="499" t="n"/>
      <c r="Q4" s="499" t="n"/>
      <c r="R4" s="499" t="n"/>
    </row>
    <row r="5">
      <c r="A5" s="650" t="inlineStr">
        <is>
          <t>Value-added tax incentive</t>
        </is>
      </c>
      <c r="B5" s="650" t="inlineStr">
        <is>
          <t>风力发电增值税优惠</t>
        </is>
      </c>
      <c r="C5" s="499" t="inlineStr">
        <is>
          <t>Ended</t>
        </is>
      </c>
      <c r="D5" s="649" t="inlineStr">
        <is>
          <t>2015</t>
        </is>
      </c>
      <c r="E5" s="651" t="inlineStr">
        <is>
          <t>2025</t>
        </is>
      </c>
      <c r="F5" s="647" t="inlineStr">
        <is>
          <t>Economic</t>
        </is>
      </c>
      <c r="G5" s="647" t="inlineStr">
        <is>
          <t>Tax</t>
        </is>
      </c>
      <c r="H5" s="647" t="inlineStr">
        <is>
          <t>Energy</t>
        </is>
      </c>
      <c r="I5" s="499" t="inlineStr">
        <is>
          <t>Wind power</t>
        </is>
      </c>
      <c r="J5" s="499" t="inlineStr">
        <is>
          <t>http://www.mof.gov.cn/gkml/caizhengwengao/wg2015/wg201508/201601/t20160107_1645704.htm</t>
        </is>
      </c>
      <c r="K5" s="499" t="inlineStr">
        <is>
          <t>https://shanghai.chinatax.gov.cn/zcfw/zcfgk/zzs/201507/t417892.html</t>
        </is>
      </c>
      <c r="L5" s="499" t="n"/>
      <c r="M5" s="499" t="n"/>
      <c r="N5" s="499" t="n"/>
      <c r="O5" s="499" t="n"/>
      <c r="P5" s="499" t="n"/>
      <c r="Q5" s="499" t="n"/>
      <c r="R5" s="499" t="n"/>
    </row>
    <row r="6">
      <c r="A6" s="650" t="inlineStr">
        <is>
          <t>Value-added tax incentive</t>
        </is>
      </c>
      <c r="B6" s="650" t="inlineStr">
        <is>
          <t>核电增值税优惠</t>
        </is>
      </c>
      <c r="C6" s="499" t="inlineStr">
        <is>
          <t>Ended</t>
        </is>
      </c>
      <c r="D6" s="649" t="inlineStr">
        <is>
          <t>2008</t>
        </is>
      </c>
      <c r="E6" s="651" t="inlineStr">
        <is>
          <t>2025</t>
        </is>
      </c>
      <c r="F6" s="647" t="inlineStr">
        <is>
          <t>Economic</t>
        </is>
      </c>
      <c r="G6" s="647" t="inlineStr">
        <is>
          <t>Tax</t>
        </is>
      </c>
      <c r="H6" s="647" t="inlineStr">
        <is>
          <t>Energy</t>
        </is>
      </c>
      <c r="I6" s="499" t="inlineStr">
        <is>
          <t>Nuclear power</t>
        </is>
      </c>
      <c r="J6" s="499" t="inlineStr">
        <is>
          <t>http://www.mof.gov.cn/zhengwuxinxi/caizhengxinwen/200805/t20080519_29110.htm</t>
        </is>
      </c>
      <c r="K6" s="499" t="inlineStr">
        <is>
          <t>https://guizhou.chinatax.gov.cn/wjjb/zcfgk/szfl/ygsf/202203/t20220310_72917823.html</t>
        </is>
      </c>
      <c r="L6" s="499" t="n"/>
      <c r="M6" s="499" t="n"/>
      <c r="N6" s="499" t="n"/>
      <c r="O6" s="499" t="n"/>
      <c r="P6" s="499" t="n"/>
      <c r="Q6" s="499" t="n"/>
      <c r="R6" s="499" t="n"/>
    </row>
    <row r="7">
      <c r="A7" s="499" t="inlineStr">
        <is>
          <t>Vehicle purchase subsidy (fuel cell vehicle)</t>
        </is>
      </c>
      <c r="B7" s="499" t="inlineStr">
        <is>
          <t>燃料电池汽车示范应用奖补</t>
        </is>
      </c>
      <c r="C7" s="652" t="inlineStr">
        <is>
          <t>Ended</t>
        </is>
      </c>
      <c r="D7" s="648" t="n">
        <v>2021</v>
      </c>
      <c r="E7" s="649" t="inlineStr">
        <is>
          <t>2025</t>
        </is>
      </c>
      <c r="F7" s="502" t="inlineStr">
        <is>
          <t>Economic</t>
        </is>
      </c>
      <c r="G7" s="499" t="inlineStr">
        <is>
          <t>Subsidy</t>
        </is>
      </c>
      <c r="H7" s="499" t="inlineStr">
        <is>
          <t>Transport</t>
        </is>
      </c>
      <c r="I7" s="499" t="inlineStr">
        <is>
          <t>Vehicle</t>
        </is>
      </c>
      <c r="J7" s="499" t="inlineStr">
        <is>
          <t>https://www.gov.cn/zhengce/zhengceku/2020-09/21/content_5545221.htm</t>
        </is>
      </c>
      <c r="K7" s="499" t="inlineStr">
        <is>
          <t>http://jjs.mof.gov.cn/zhengcefagui/202009/t20200918_3591168.htm</t>
        </is>
      </c>
      <c r="L7" s="499" t="n"/>
      <c r="M7" s="499" t="n"/>
      <c r="N7" s="499" t="n"/>
      <c r="O7" s="499" t="n"/>
      <c r="P7" s="499" t="n"/>
      <c r="Q7" s="499" t="n"/>
      <c r="R7" s="499" t="n"/>
    </row>
    <row r="8">
      <c r="A8" s="499" t="inlineStr">
        <is>
          <t>Central bank targeted relending for the clean and efficient use of coal</t>
        </is>
      </c>
      <c r="B8" s="499" t="inlineStr">
        <is>
          <t>支持煤炭清洁高效利用专项再贷款</t>
        </is>
      </c>
      <c r="C8" s="652" t="inlineStr">
        <is>
          <t>Ended</t>
        </is>
      </c>
      <c r="D8" s="649" t="inlineStr">
        <is>
          <t>2021</t>
        </is>
      </c>
      <c r="E8" s="651" t="inlineStr">
        <is>
          <t>2023</t>
        </is>
      </c>
      <c r="F8" s="502" t="inlineStr">
        <is>
          <t>Economic</t>
        </is>
      </c>
      <c r="G8" s="499" t="inlineStr">
        <is>
          <t>Subsidy</t>
        </is>
      </c>
      <c r="H8" s="499" t="inlineStr">
        <is>
          <t>Energy</t>
        </is>
      </c>
      <c r="I8" s="499" t="inlineStr">
        <is>
          <t>Coal</t>
        </is>
      </c>
      <c r="J8" s="499" t="inlineStr">
        <is>
          <t>https://kj.jdz.gov.cn/zwzx/ztzl/kjjr/zc/t1036092.shtml</t>
        </is>
      </c>
      <c r="K8" s="499" t="inlineStr">
        <is>
          <t>https://www.gov.cn/zhengce/2021-11/18/content_5651619.htm</t>
        </is>
      </c>
      <c r="L8" s="499" t="n"/>
      <c r="M8" s="499" t="n"/>
      <c r="N8" s="499" t="n"/>
      <c r="O8" s="499" t="n"/>
      <c r="P8" s="499" t="n"/>
      <c r="Q8" s="499" t="n"/>
      <c r="R8" s="499" t="n"/>
    </row>
    <row r="9">
      <c r="A9" s="464" t="inlineStr">
        <is>
          <t>VAT incentive for energy performance contracting projects</t>
        </is>
      </c>
      <c r="B9" s="464" t="inlineStr">
        <is>
          <t>合同能源管理项目增值税优惠</t>
        </is>
      </c>
      <c r="C9" s="464" t="inlineStr">
        <is>
          <t>Ended</t>
        </is>
      </c>
      <c r="D9" s="653" t="inlineStr">
        <is>
          <t>2011</t>
        </is>
      </c>
      <c r="E9" s="653" t="inlineStr">
        <is>
          <t>2025</t>
        </is>
      </c>
      <c r="F9" s="464" t="inlineStr">
        <is>
          <t>Economic</t>
        </is>
      </c>
      <c r="G9" s="464" t="inlineStr">
        <is>
          <t>Tax</t>
        </is>
      </c>
      <c r="H9" s="464" t="inlineStr">
        <is>
          <t>Energy; Buildings; Industry</t>
        </is>
      </c>
      <c r="I9" s="464" t="inlineStr">
        <is>
          <t>Industrial energy efficiency; Building energy efficiency</t>
        </is>
      </c>
      <c r="J9" s="464" t="inlineStr">
        <is>
          <t>https://szs.mof.gov.cn/zhengcefabu/201102/t20110216_453005.htm</t>
        </is>
      </c>
      <c r="K9" s="464" t="inlineStr">
        <is>
          <t>https://www.gov.cn/zhengce/content/2010-04/06/content_1628.htm</t>
        </is>
      </c>
      <c r="L9" s="464" t="n"/>
      <c r="M9" s="464" t="n"/>
      <c r="N9" s="464" t="n"/>
      <c r="O9" s="464" t="n"/>
      <c r="P9" s="464" t="n"/>
      <c r="Q9" s="464" t="n"/>
      <c r="R9" s="46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2026-09-28T07:58:49Z</dcterms:modified>
  <cp:lastModifiedBy>Danqing</cp:lastModifiedBy>
</cp:coreProperties>
</file>