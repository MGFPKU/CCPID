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72">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xf numFmtId="0" fontId="63" fillId="0" borderId="0" pivotButton="0" quotePrefix="0" xfId="0"/>
    <xf numFmtId="0" fontId="103"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3" fillId="36" borderId="0" applyAlignment="1" pivotButton="0" quotePrefix="0" xfId="0">
      <alignment horizontal="center" vertical="center"/>
    </xf>
    <xf numFmtId="0" fontId="63" fillId="0" borderId="0" applyAlignment="1" pivotButton="0" quotePrefix="0" xfId="0">
      <alignment vertical="top" wrapText="1"/>
    </xf>
    <xf numFmtId="0" fontId="103"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3"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3" fillId="0" borderId="3" applyAlignment="1" pivotButton="0" quotePrefix="0" xfId="0">
      <alignment horizontal="center"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0" fontId="63" fillId="0" borderId="29" applyAlignment="1" pivotButton="0" quotePrefix="0" xfId="0">
      <alignment vertical="center"/>
    </xf>
    <xf numFmtId="0" fontId="63" fillId="0" borderId="3" applyAlignment="1" pivotButton="0" quotePrefix="0" xfId="0">
      <alignment vertical="center"/>
    </xf>
    <xf numFmtId="0" fontId="63" fillId="0" borderId="1" applyAlignment="1" pivotButton="0" quotePrefix="0" xfId="0">
      <alignment vertical="center"/>
    </xf>
    <xf numFmtId="0" fontId="103" fillId="36"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截至2026年9月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430"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31" t="inlineStr">
        <is>
          <t>类别</t>
        </is>
      </c>
      <c r="B1" s="431" t="inlineStr">
        <is>
          <t>运行机制</t>
        </is>
      </c>
      <c r="C1" s="431" t="inlineStr">
        <is>
          <t>组别</t>
        </is>
      </c>
      <c r="D1" s="431"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432" t="inlineStr">
        <is>
          <t>概览统计</t>
        </is>
      </c>
      <c r="B1" s="89" t="n"/>
      <c r="C1" s="95" t="n"/>
      <c r="D1" s="95" t="n"/>
      <c r="E1" s="95" t="n"/>
      <c r="F1" s="95" t="n"/>
      <c r="G1" s="95" t="n"/>
      <c r="H1" s="95" t="n"/>
      <c r="I1" s="95" t="n"/>
      <c r="J1" s="95" t="n"/>
      <c r="K1" s="95" t="n"/>
      <c r="L1" s="95" t="n"/>
      <c r="M1" s="95" t="n"/>
    </row>
    <row r="2">
      <c r="A2" s="89" t="n"/>
      <c r="B2" s="89" t="n"/>
      <c r="C2" s="95" t="n"/>
      <c r="D2" s="95" t="n"/>
      <c r="E2" s="95" t="n"/>
      <c r="F2" s="95" t="n"/>
      <c r="G2" s="95" t="n"/>
      <c r="H2" s="95" t="n"/>
      <c r="I2" s="95" t="n"/>
      <c r="J2" s="95" t="n"/>
      <c r="K2" s="95" t="n"/>
      <c r="L2" s="95" t="n"/>
      <c r="M2" s="95" t="n"/>
    </row>
    <row r="3" ht="16.5" customHeight="1">
      <c r="A3" s="432" t="inlineStr">
        <is>
          <t>数据集范围</t>
        </is>
      </c>
      <c r="B3" s="89" t="n"/>
      <c r="C3" s="95" t="n"/>
      <c r="D3" s="95" t="n"/>
      <c r="E3" s="95" t="n"/>
      <c r="F3" s="95" t="n"/>
      <c r="G3" s="95" t="n"/>
      <c r="H3" s="95" t="n"/>
      <c r="I3" s="95" t="n"/>
      <c r="J3" s="95" t="n"/>
      <c r="K3" s="95" t="n"/>
      <c r="L3" s="95" t="n"/>
      <c r="M3" s="95" t="n"/>
    </row>
    <row r="4" ht="15" customHeight="1">
      <c r="A4" s="88" t="inlineStr">
        <is>
          <t>路径数量：</t>
        </is>
      </c>
      <c r="B4" s="89">
        <f>COUNTA('路径汇总'!C:C)-1</f>
        <v/>
      </c>
      <c r="C4" s="95" t="n"/>
      <c r="D4" s="95" t="n"/>
      <c r="E4" s="95" t="n"/>
      <c r="F4" s="95" t="n"/>
      <c r="G4" s="95" t="n"/>
      <c r="H4" s="95" t="n"/>
      <c r="I4" s="95" t="n"/>
      <c r="J4" s="95" t="n"/>
      <c r="K4" s="95" t="n"/>
      <c r="L4" s="95" t="n"/>
      <c r="M4" s="95" t="n"/>
    </row>
    <row r="5" ht="15" customHeight="1">
      <c r="A5" s="88" t="inlineStr">
        <is>
          <t>工具数量：</t>
        </is>
      </c>
      <c r="B5" s="89">
        <f>COUNTA('工具总览'!A:A)-1</f>
        <v/>
      </c>
      <c r="C5" s="95" t="n"/>
      <c r="D5" s="95" t="n"/>
      <c r="E5" s="95" t="n"/>
      <c r="F5" s="95" t="n"/>
      <c r="G5" s="95" t="n"/>
      <c r="H5" s="95" t="n"/>
      <c r="I5" s="95" t="n"/>
      <c r="J5" s="95" t="n"/>
      <c r="K5" s="95" t="n"/>
      <c r="L5" s="95" t="n"/>
      <c r="M5" s="95" t="n"/>
    </row>
    <row r="6" ht="15" customHeight="1">
      <c r="A6" s="88" t="inlineStr">
        <is>
          <t>覆盖部门：</t>
        </is>
      </c>
      <c r="B6" s="89" t="inlineStr">
        <is>
          <t>能源；交通；建筑；工业；农业、林业和其他土地利用；废弃物</t>
        </is>
      </c>
      <c r="C6" s="95" t="n"/>
      <c r="D6" s="95" t="n"/>
      <c r="E6" s="95" t="n"/>
      <c r="F6" s="95" t="n"/>
      <c r="G6" s="95" t="n"/>
      <c r="H6" s="95" t="n"/>
      <c r="I6" s="95" t="n"/>
      <c r="J6" s="95" t="n"/>
      <c r="K6" s="95" t="n"/>
      <c r="L6" s="95" t="n"/>
      <c r="M6" s="95" t="n"/>
    </row>
    <row r="7" ht="15" customHeight="1">
      <c r="A7" s="95" t="n"/>
      <c r="B7" s="95" t="n"/>
      <c r="C7" s="95" t="n"/>
      <c r="D7" s="95" t="n"/>
      <c r="E7" s="95" t="n"/>
      <c r="F7" s="95" t="n"/>
      <c r="G7" s="95" t="n"/>
      <c r="H7" s="95" t="n"/>
      <c r="I7" s="95" t="n"/>
      <c r="J7" s="95" t="n"/>
      <c r="K7" s="95" t="n"/>
      <c r="L7" s="95" t="n"/>
      <c r="M7" s="95" t="n"/>
    </row>
    <row r="8">
      <c r="A8" s="95" t="n"/>
      <c r="B8" s="95" t="n"/>
      <c r="C8" s="95" t="n"/>
      <c r="D8" s="95" t="n"/>
      <c r="E8" s="95" t="n"/>
      <c r="F8" s="95" t="n"/>
      <c r="G8" s="95" t="n"/>
      <c r="H8" s="95" t="n"/>
      <c r="I8" s="95" t="n"/>
      <c r="J8" s="95" t="n"/>
      <c r="K8" s="95" t="n"/>
      <c r="L8" s="95" t="n"/>
      <c r="M8" s="95" t="n"/>
    </row>
    <row r="9" ht="16.9" customHeight="1">
      <c r="A9" s="101" t="inlineStr">
        <is>
          <t>类别</t>
        </is>
      </c>
      <c r="B9" s="101" t="inlineStr">
        <is>
          <t>组别</t>
        </is>
      </c>
      <c r="C9" s="101" t="inlineStr">
        <is>
          <t>路径数量</t>
        </is>
      </c>
      <c r="D9" s="101" t="inlineStr">
        <is>
          <t>工具数量</t>
        </is>
      </c>
      <c r="E9" s="95" t="n"/>
      <c r="F9" s="95" t="n"/>
      <c r="G9" s="101" t="inlineStr">
        <is>
          <t>类别</t>
        </is>
      </c>
      <c r="H9" s="101" t="inlineStr">
        <is>
          <t>路径数量</t>
        </is>
      </c>
      <c r="I9" s="101" t="inlineStr">
        <is>
          <t>工具数量</t>
        </is>
      </c>
      <c r="J9" s="95" t="n"/>
      <c r="K9" s="95" t="n"/>
      <c r="L9" s="95" t="n"/>
      <c r="M9" s="95" t="n"/>
    </row>
    <row r="10" ht="16.5" customHeight="1">
      <c r="A10" s="91" t="inlineStr">
        <is>
          <t>经济工具</t>
        </is>
      </c>
      <c r="B10" s="432" t="inlineStr">
        <is>
          <t>交易机制</t>
        </is>
      </c>
      <c r="C10" s="432">
        <f>COUNTIF(路径汇总!B:B, "交易机制")</f>
        <v/>
      </c>
      <c r="D10" s="432">
        <f>COUNTIF(工具总览!J:J, "交易机制")</f>
        <v/>
      </c>
      <c r="E10" s="95" t="n"/>
      <c r="F10" s="95" t="n"/>
      <c r="G10" s="432" t="inlineStr">
        <is>
          <t>经济工具</t>
        </is>
      </c>
      <c r="H10" s="95">
        <f>COUNTIF(路径汇总!A:A, "经济工具")</f>
        <v/>
      </c>
      <c r="I10" s="95">
        <f>COUNTIF(工具总览!I:I, "经济工具")</f>
        <v/>
      </c>
      <c r="J10" s="95" t="n"/>
      <c r="K10" s="95" t="n"/>
      <c r="L10" s="95" t="n"/>
      <c r="M10" s="95" t="n"/>
    </row>
    <row r="11">
      <c r="B11" s="432" t="inlineStr">
        <is>
          <t>补贴</t>
        </is>
      </c>
      <c r="C11" s="432">
        <f>COUNTIF(路径汇总!B:B, "补贴")</f>
        <v/>
      </c>
      <c r="D11" s="432">
        <f>COUNTIF(工具总览!J:J, "补贴")</f>
        <v/>
      </c>
      <c r="E11" s="95" t="n"/>
      <c r="F11" s="95" t="n"/>
      <c r="G11" s="432" t="inlineStr">
        <is>
          <t>规制工具</t>
        </is>
      </c>
      <c r="H11" s="95">
        <f>COUNTIF(路径汇总!A:A, "规制工具")</f>
        <v/>
      </c>
      <c r="I11" s="95">
        <f>COUNTIF(工具总览!I:I, "规制工具")</f>
        <v/>
      </c>
      <c r="J11" s="95" t="n"/>
      <c r="K11" s="95" t="n"/>
      <c r="L11" s="95" t="n"/>
      <c r="M11" s="95" t="n"/>
    </row>
    <row r="12">
      <c r="B12" s="432" t="inlineStr">
        <is>
          <t>税收</t>
        </is>
      </c>
      <c r="C12" s="432">
        <f>COUNTIF(路径汇总!B:B, "税收")</f>
        <v/>
      </c>
      <c r="D12" s="432">
        <f>COUNTIF(工具总览!J:J, "税收")</f>
        <v/>
      </c>
      <c r="E12" s="95" t="n"/>
      <c r="F12" s="95" t="n"/>
      <c r="G12" s="432" t="inlineStr">
        <is>
          <t>政府投资与消费</t>
        </is>
      </c>
      <c r="H12" s="95">
        <f>COUNTIF(路径汇总!A:A, "政府投资与消费")</f>
        <v/>
      </c>
      <c r="I12" s="95">
        <f>COUNTIF(工具总览!I:I, "政府投资与消费")</f>
        <v/>
      </c>
      <c r="J12" s="95" t="n"/>
      <c r="K12" s="95" t="n"/>
      <c r="L12" s="95" t="n"/>
      <c r="M12" s="95" t="n"/>
    </row>
    <row r="13">
      <c r="B13" s="432" t="inlineStr">
        <is>
          <t>行政定价</t>
        </is>
      </c>
      <c r="C13" s="432">
        <f>COUNTIF(路径汇总!B:B, "行政定价")</f>
        <v/>
      </c>
      <c r="D13" s="432">
        <f>COUNTIF(工具总览!J:J, "行政定价")</f>
        <v/>
      </c>
      <c r="E13" s="95" t="n"/>
      <c r="F13" s="95" t="n"/>
      <c r="G13" s="432" t="inlineStr">
        <is>
          <t>信息工具</t>
        </is>
      </c>
      <c r="H13" s="95">
        <f>COUNTIF(路径汇总!A:A, "信息工具")</f>
        <v/>
      </c>
      <c r="I13" s="95">
        <f>COUNTIF(工具总览!I:I, "信息工具")</f>
        <v/>
      </c>
      <c r="J13" s="95" t="n"/>
      <c r="K13" s="95" t="n"/>
      <c r="L13" s="95" t="n"/>
      <c r="M13" s="95" t="n"/>
    </row>
    <row r="14">
      <c r="A14" s="93" t="inlineStr">
        <is>
          <t>规制工具</t>
        </is>
      </c>
      <c r="B14" s="432" t="inlineStr">
        <is>
          <t>技术标准</t>
        </is>
      </c>
      <c r="C14" s="432">
        <f>COUNTIF(路径汇总!B:B, "技术标准")</f>
        <v/>
      </c>
      <c r="D14" s="432">
        <f>COUNTIF(工具总览!J:J, "技术标准")</f>
        <v/>
      </c>
      <c r="E14" s="95" t="n"/>
      <c r="F14" s="95" t="n"/>
      <c r="G14" s="432" t="inlineStr">
        <is>
          <t>自愿措施</t>
        </is>
      </c>
      <c r="H14" s="95">
        <f>COUNTIF(路径汇总!A:A, "自愿措施")</f>
        <v/>
      </c>
      <c r="I14" s="95">
        <f>COUNTIF(工具总览!I:I, "自愿措施")</f>
        <v/>
      </c>
      <c r="J14" s="95" t="n"/>
      <c r="K14" s="95" t="n"/>
      <c r="L14" s="95" t="n"/>
      <c r="M14" s="95" t="n"/>
    </row>
    <row r="15">
      <c r="B15" s="432" t="inlineStr">
        <is>
          <t>绩效标准</t>
        </is>
      </c>
      <c r="C15" s="432">
        <f>COUNTIF(路径汇总!B:B, "绩效标准")</f>
        <v/>
      </c>
      <c r="D15" s="432">
        <f>COUNTIF(工具总览!J:J, "绩效标准")</f>
        <v/>
      </c>
      <c r="E15" s="95" t="n"/>
      <c r="F15" s="95" t="n"/>
      <c r="G15" s="95" t="n"/>
      <c r="H15" s="95" t="n"/>
      <c r="I15" s="95" t="n"/>
      <c r="J15" s="95" t="n"/>
      <c r="K15" s="95" t="n"/>
      <c r="L15" s="95" t="n"/>
      <c r="M15" s="95" t="n"/>
    </row>
    <row r="16">
      <c r="B16" s="432" t="inlineStr">
        <is>
          <t>框架性规制</t>
        </is>
      </c>
      <c r="C16" s="432">
        <f>COUNTIF(路径汇总!B:B, "框架性规制")</f>
        <v/>
      </c>
      <c r="D16" s="432">
        <f>COUNTIF(工具总览!J:J, "框架性规制")</f>
        <v/>
      </c>
      <c r="E16" s="95" t="n"/>
      <c r="F16" s="95" t="n"/>
      <c r="G16" s="95" t="n"/>
      <c r="H16" s="95" t="n"/>
      <c r="I16" s="95" t="n"/>
      <c r="J16" s="95" t="n"/>
      <c r="K16" s="95" t="n"/>
      <c r="L16" s="95" t="n"/>
      <c r="M16" s="95" t="n"/>
    </row>
    <row r="17" ht="16.9" customHeight="1">
      <c r="A17" s="93" t="inlineStr">
        <is>
          <t>政府投资与消费</t>
        </is>
      </c>
      <c r="B17" s="432" t="inlineStr">
        <is>
          <t>公共采购</t>
        </is>
      </c>
      <c r="C17" s="432">
        <f>COUNTIF(路径汇总!B:B, "公共采购")</f>
        <v/>
      </c>
      <c r="D17" s="432">
        <f>COUNTIF(工具总览!J:J, "公共采购")</f>
        <v/>
      </c>
      <c r="E17" s="95" t="n"/>
      <c r="F17" s="95" t="n"/>
      <c r="G17" s="101" t="inlineStr">
        <is>
          <t>排放部门</t>
        </is>
      </c>
      <c r="H17" s="101" t="inlineStr">
        <is>
          <t>路径数量</t>
        </is>
      </c>
      <c r="I17" s="101" t="inlineStr">
        <is>
          <t>工具数量</t>
        </is>
      </c>
      <c r="J17" s="95" t="n"/>
      <c r="K17" s="95" t="n"/>
      <c r="L17" s="95" t="n"/>
      <c r="M17" s="95" t="n"/>
    </row>
    <row r="18" ht="16.5" customHeight="1">
      <c r="B18" s="432" t="inlineStr">
        <is>
          <t>公共投资</t>
        </is>
      </c>
      <c r="C18" s="432">
        <f>COUNTIF(路径汇总!B:B, "公共投资")</f>
        <v/>
      </c>
      <c r="D18" s="432">
        <f>COUNTIF(工具总览!J:J, "公共投资")</f>
        <v/>
      </c>
      <c r="E18" s="95" t="n"/>
      <c r="F18" s="95" t="n"/>
      <c r="G18" s="432" t="inlineStr">
        <is>
          <t>能源</t>
        </is>
      </c>
      <c r="H18" s="95">
        <f>SUMPRODUCT((ISNUMBER(SEARCH("能源",路径汇总!F:F)))*1)</f>
        <v/>
      </c>
      <c r="I18" s="95">
        <f>COUNTIF(工具总览!K:K, "*能源*")</f>
        <v/>
      </c>
      <c r="J18" s="95" t="n"/>
      <c r="K18" s="95" t="n"/>
      <c r="L18" s="95" t="n"/>
      <c r="M18" s="95" t="n"/>
    </row>
    <row r="19">
      <c r="B19" s="432" t="inlineStr">
        <is>
          <t>公共评估规则</t>
        </is>
      </c>
      <c r="C19" s="432">
        <f>COUNTIF(路径汇总!B:B, "公共评估规则")</f>
        <v/>
      </c>
      <c r="D19" s="432">
        <f>COUNTIF(工具总览!J:J, "公共评估规则")</f>
        <v/>
      </c>
      <c r="E19" s="95" t="n"/>
      <c r="F19" s="95" t="n"/>
      <c r="G19" s="432" t="inlineStr">
        <is>
          <t>工业</t>
        </is>
      </c>
      <c r="H19" s="95">
        <f>SUMPRODUCT((ISNUMBER(SEARCH("工业",路径汇总!F:F)))*1)</f>
        <v/>
      </c>
      <c r="I19" s="95">
        <f>COUNTIF(工具总览!K:K, "*工业*")</f>
        <v/>
      </c>
      <c r="J19" s="95" t="n"/>
      <c r="K19" s="95" t="n"/>
      <c r="L19" s="95" t="n"/>
      <c r="M19" s="95" t="n"/>
    </row>
    <row r="20">
      <c r="A20" s="93" t="inlineStr">
        <is>
          <t>信息工具</t>
        </is>
      </c>
      <c r="B20" s="432" t="inlineStr">
        <is>
          <t>标签</t>
        </is>
      </c>
      <c r="C20" s="432">
        <f>COUNTIF(路径汇总!B:B, "比较性能效标签")</f>
        <v/>
      </c>
      <c r="D20" s="432">
        <f>COUNTIF(工具总览!J:J, "比较性能效标签")</f>
        <v/>
      </c>
      <c r="E20" s="95" t="n"/>
      <c r="F20" s="95" t="n"/>
      <c r="G20" s="432" t="inlineStr">
        <is>
          <t>建筑</t>
        </is>
      </c>
      <c r="H20" s="95">
        <f>SUMPRODUCT((ISNUMBER(SEARCH("建筑",路径汇总!F:F)))*1)</f>
        <v/>
      </c>
      <c r="I20" s="95">
        <f>COUNTIF(工具总览!K:K, "*建筑*")</f>
        <v/>
      </c>
      <c r="J20" s="95" t="n"/>
      <c r="K20" s="95" t="n"/>
      <c r="L20" s="95" t="n"/>
      <c r="M20" s="95" t="n"/>
    </row>
    <row r="21">
      <c r="B21" s="432" t="inlineStr">
        <is>
          <t>报告要求</t>
        </is>
      </c>
      <c r="C21" s="432">
        <f>COUNTIF(路径汇总!B:B, "报告与披露要求")</f>
        <v/>
      </c>
      <c r="D21" s="432">
        <f>COUNTIF(工具总览!J:J, "报告与披露要求")</f>
        <v/>
      </c>
      <c r="E21" s="95" t="n"/>
      <c r="F21" s="95" t="n"/>
      <c r="G21" s="432" t="inlineStr">
        <is>
          <t>交通</t>
        </is>
      </c>
      <c r="H21" s="95">
        <f>SUMPRODUCT((ISNUMBER(SEARCH("交通",路径汇总!F:F)))*1)</f>
        <v/>
      </c>
      <c r="I21" s="95">
        <f>COUNTIF(工具总览!K:K, "*交通*")</f>
        <v/>
      </c>
      <c r="J21" s="95" t="n"/>
      <c r="K21" s="95" t="n"/>
      <c r="L21" s="95" t="n"/>
      <c r="M21" s="95" t="n"/>
    </row>
    <row r="22">
      <c r="B22" s="432" t="inlineStr">
        <is>
          <t>能力建设与公众意识</t>
        </is>
      </c>
      <c r="C22" s="432">
        <f>COUNTIF(路径汇总!B:B, "能力建设与公众意识")</f>
        <v/>
      </c>
      <c r="D22" s="432">
        <f>COUNTIF(工具总览!J:J, "能力建设与公众意识")</f>
        <v/>
      </c>
      <c r="E22" s="95" t="n"/>
      <c r="F22" s="95" t="n"/>
      <c r="G22" s="432" t="inlineStr">
        <is>
          <t>农业、林业和其他土地利用</t>
        </is>
      </c>
      <c r="H22" s="95">
        <f>SUMPRODUCT((ISNUMBER(SEARCH("农业、林业和其他土地利用",路径汇总!F:F)))*1)</f>
        <v/>
      </c>
      <c r="I22" s="95">
        <f>COUNTIF(工具总览!K:K, "*农业、林业和其他土地利用*")</f>
        <v/>
      </c>
      <c r="J22" s="95" t="n"/>
      <c r="K22" s="95" t="n"/>
      <c r="L22" s="95" t="n"/>
      <c r="M22" s="95" t="n"/>
    </row>
    <row r="23">
      <c r="A23" s="93" t="inlineStr">
        <is>
          <t>自愿措施</t>
        </is>
      </c>
      <c r="B23" s="432" t="inlineStr">
        <is>
          <t>自愿信息工具</t>
        </is>
      </c>
      <c r="C23" s="432">
        <f>COUNTIF(路径汇总!B:B, "自愿性信息工具")</f>
        <v/>
      </c>
      <c r="D23" s="432">
        <f>COUNTIF(工具总览!J:J, "自愿性信息工具")</f>
        <v/>
      </c>
      <c r="E23" s="95" t="n"/>
      <c r="F23" s="95" t="n"/>
      <c r="G23" s="432" t="inlineStr">
        <is>
          <t>废弃物</t>
        </is>
      </c>
      <c r="H23" s="95">
        <f>SUMPRODUCT((ISNUMBER(SEARCH("废弃物",路径汇总!F:F)))*1)</f>
        <v/>
      </c>
      <c r="I23" s="95">
        <f>COUNTIF(工具总览!K:K, "*废弃物*")</f>
        <v/>
      </c>
      <c r="J23" s="95" t="n"/>
      <c r="K23" s="95" t="n"/>
      <c r="L23" s="95" t="n"/>
      <c r="M23" s="95" t="n"/>
    </row>
    <row r="24">
      <c r="B24" s="432" t="inlineStr">
        <is>
          <t>自愿性目标</t>
        </is>
      </c>
      <c r="C24" s="432">
        <f>COUNTIF(路径汇总!B:B, "自愿性目标")</f>
        <v/>
      </c>
      <c r="D24" s="432">
        <f>COUNTIF(工具总览!J:J, "自愿性目标")</f>
        <v/>
      </c>
      <c r="E24" s="95" t="n"/>
      <c r="F24" s="95" t="n"/>
      <c r="G24" s="432" t="inlineStr">
        <is>
          <t>跨部门</t>
        </is>
      </c>
      <c r="H24" s="95">
        <f>SUMPRODUCT((ISNUMBER(SEARCH("跨部门",路径汇总!F:F)))*1)</f>
        <v/>
      </c>
      <c r="I24" s="95">
        <f>COUNTIF(工具总览!K:K, "*跨部门*")</f>
        <v/>
      </c>
      <c r="J24" s="95" t="n"/>
      <c r="K24" s="95" t="n"/>
      <c r="L24" s="95" t="n"/>
      <c r="M24" s="95" t="n"/>
    </row>
    <row r="25">
      <c r="B25" s="432" t="inlineStr">
        <is>
          <t>自愿交易机制</t>
        </is>
      </c>
      <c r="C25" s="432">
        <f>COUNTIF(路径汇总!B:B, "自愿交易体系")</f>
        <v/>
      </c>
      <c r="D25" s="432">
        <f>COUNTIF(工具总览!J:J, "自愿交易体系")</f>
        <v/>
      </c>
      <c r="E25" s="95" t="n"/>
      <c r="F25" s="95" t="n"/>
      <c r="G25" s="432" t="n"/>
      <c r="H25" s="95" t="n"/>
      <c r="I25" s="95" t="n"/>
      <c r="J25" s="95" t="n"/>
      <c r="K25" s="95" t="n"/>
      <c r="L25" s="95" t="n"/>
      <c r="M25" s="95" t="n"/>
    </row>
    <row r="26">
      <c r="A26" s="95" t="n"/>
      <c r="B26" s="95" t="n"/>
      <c r="C26" s="95" t="n"/>
      <c r="D26" s="95" t="n"/>
      <c r="E26" s="95" t="n"/>
      <c r="F26" s="95" t="n"/>
      <c r="G26" s="95" t="n"/>
      <c r="H26" s="95" t="n"/>
      <c r="I26" s="95" t="n"/>
      <c r="J26" s="95" t="n"/>
      <c r="K26" s="95" t="n"/>
      <c r="L26" s="95" t="n"/>
      <c r="M26" s="95" t="n"/>
    </row>
    <row r="27">
      <c r="A27" s="430" t="inlineStr">
        <is>
          <t>注："类别"和"组别"的数字之和等于路径/工具的总数，因为每个路径/工具仅属于一个类别/组别。其他表中的数字之和大于路径/工具总数，因为部分路径/工具属于多个分类。</t>
        </is>
      </c>
      <c r="B27" s="95" t="n"/>
      <c r="C27" s="95" t="n"/>
      <c r="D27" s="95" t="n"/>
      <c r="E27" s="95" t="n"/>
      <c r="F27" s="95" t="n"/>
      <c r="G27" s="95" t="n"/>
      <c r="H27" s="95" t="n"/>
      <c r="I27" s="95" t="n"/>
      <c r="J27" s="95" t="n"/>
      <c r="K27" s="95" t="n"/>
      <c r="L27" s="95" t="n"/>
      <c r="M27" s="95" t="n"/>
    </row>
    <row r="28" ht="16.9" customHeight="1">
      <c r="A28" s="95" t="n"/>
      <c r="B28" s="95" t="n"/>
      <c r="C28" s="95" t="n"/>
      <c r="D28" s="95" t="n"/>
      <c r="E28" s="95" t="n"/>
      <c r="F28" s="95" t="n"/>
      <c r="G28" s="101" t="inlineStr">
        <is>
          <t>减缓相关性</t>
        </is>
      </c>
      <c r="H28" s="101" t="inlineStr">
        <is>
          <t>路径数量</t>
        </is>
      </c>
      <c r="I28" s="101" t="inlineStr">
        <is>
          <t>工具数量</t>
        </is>
      </c>
      <c r="J28" s="95" t="n"/>
      <c r="K28" s="95" t="n"/>
      <c r="L28" s="95" t="n"/>
      <c r="M28" s="95" t="n"/>
    </row>
    <row r="29" ht="16.5" customHeight="1">
      <c r="A29" s="95" t="n"/>
      <c r="B29" s="95" t="n"/>
      <c r="C29" s="95" t="n"/>
      <c r="D29" s="95" t="n"/>
      <c r="E29" s="95" t="n"/>
      <c r="F29" s="95" t="n"/>
      <c r="G29" s="432" t="inlineStr">
        <is>
          <t>直接</t>
        </is>
      </c>
      <c r="H29" s="95">
        <f>SUMPRODUCT((ISNUMBER(SEARCH("直接",路径汇总!G:G)))*1)</f>
        <v/>
      </c>
      <c r="I29" s="95">
        <f>COUNTIF(工具总览!H:H, "直接")</f>
        <v/>
      </c>
      <c r="J29" s="95" t="n"/>
      <c r="K29" s="95" t="n"/>
      <c r="L29" s="95" t="n"/>
      <c r="M29" s="95" t="n"/>
    </row>
    <row r="30">
      <c r="A30" s="95" t="n"/>
      <c r="B30" s="95" t="n"/>
      <c r="C30" s="95" t="n"/>
      <c r="D30" s="95" t="n"/>
      <c r="E30" s="95" t="n"/>
      <c r="F30" s="95" t="n"/>
      <c r="G30" s="432" t="inlineStr">
        <is>
          <t>间接</t>
        </is>
      </c>
      <c r="H30" s="95">
        <f>SUMPRODUCT((ISNUMBER(SEARCH("间接",路径汇总!G:G)))*1)</f>
        <v/>
      </c>
      <c r="I30" s="95">
        <f>COUNTIF(工具总览!H:H, "间接")</f>
        <v/>
      </c>
      <c r="J30" s="95" t="n"/>
      <c r="K30" s="95" t="n"/>
      <c r="L30" s="95" t="n"/>
      <c r="M30" s="95" t="n"/>
    </row>
    <row r="31">
      <c r="A31" s="95" t="n"/>
      <c r="B31" s="95" t="n"/>
      <c r="C31" s="95" t="n"/>
      <c r="D31" s="95" t="n"/>
      <c r="E31" s="95" t="n"/>
      <c r="F31" s="95" t="n"/>
      <c r="G31" s="432" t="n"/>
      <c r="H31" s="95" t="n"/>
      <c r="I31" s="95" t="n"/>
      <c r="J31" s="95" t="n"/>
      <c r="K31" s="95" t="n"/>
      <c r="L31" s="95" t="n"/>
      <c r="M31" s="95" t="n"/>
    </row>
    <row r="32">
      <c r="A32" s="95" t="n"/>
      <c r="B32" s="95" t="n"/>
      <c r="C32" s="95" t="n"/>
      <c r="D32" s="95" t="n"/>
      <c r="E32" s="95" t="n"/>
      <c r="F32" s="95" t="n"/>
      <c r="G32" s="95" t="n"/>
      <c r="H32" s="95" t="n"/>
      <c r="I32" s="95" t="n"/>
      <c r="J32" s="95" t="n"/>
      <c r="K32" s="95" t="n"/>
      <c r="L32" s="95" t="n"/>
      <c r="M32" s="95" t="n"/>
    </row>
    <row r="33" ht="16.5" customHeight="1">
      <c r="A33" s="95" t="n"/>
      <c r="B33" s="95" t="n"/>
      <c r="C33" s="95" t="n"/>
      <c r="D33" s="95" t="n"/>
      <c r="E33" s="95" t="n"/>
      <c r="F33" s="95" t="n"/>
      <c r="G33" s="95" t="n"/>
      <c r="H33" s="101" t="inlineStr">
        <is>
          <t>经济工具</t>
        </is>
      </c>
      <c r="I33" s="101" t="inlineStr">
        <is>
          <t>规制工具</t>
        </is>
      </c>
      <c r="J33" s="101" t="inlineStr">
        <is>
          <t>政府投资与消费</t>
        </is>
      </c>
      <c r="K33" s="101" t="inlineStr">
        <is>
          <t>信息工具</t>
        </is>
      </c>
      <c r="L33" s="101" t="inlineStr">
        <is>
          <t>自愿措施</t>
        </is>
      </c>
      <c r="M33" s="101" t="inlineStr">
        <is>
          <t>路径数量总计</t>
        </is>
      </c>
    </row>
    <row r="34" ht="16.9" customHeight="1">
      <c r="A34" s="95" t="n"/>
      <c r="B34" s="95" t="n"/>
      <c r="C34" s="95" t="n"/>
      <c r="D34" s="95" t="n"/>
      <c r="E34" s="95" t="n"/>
      <c r="F34" s="95" t="n"/>
      <c r="G34" s="433" t="inlineStr">
        <is>
          <t>能源</t>
        </is>
      </c>
      <c r="H34" s="95">
        <f>COUNTIFS(路径汇总!F:F, "*能源*", 路径汇总!A:A, "经济工具")</f>
        <v/>
      </c>
      <c r="I34" s="95">
        <f>COUNTIFS(路径汇总!F:F, "*能源*", 路径汇总!A:A, "规制工具")</f>
        <v/>
      </c>
      <c r="J34" s="95">
        <f>COUNTIFS(路径汇总!F:F, "*能源*", 路径汇总!A:A, "政府投资与消费")</f>
        <v/>
      </c>
      <c r="K34" s="95">
        <f>COUNTIFS(路径汇总!F:F, "*能源*", 路径汇总!A:A, "信息工具")</f>
        <v/>
      </c>
      <c r="L34" s="95">
        <f>COUNTIFS(路径汇总!F:F, "*能源*", 路径汇总!A:A, "自愿措施")</f>
        <v/>
      </c>
      <c r="M34" s="95">
        <f>SUM(H34:L34)</f>
        <v/>
      </c>
    </row>
    <row r="35" ht="16.5" customHeight="1">
      <c r="A35" s="95" t="n"/>
      <c r="B35" s="95" t="n"/>
      <c r="C35" s="95" t="n"/>
      <c r="D35" s="95" t="n"/>
      <c r="E35" s="95" t="n"/>
      <c r="F35" s="95" t="n"/>
      <c r="G35" s="433" t="inlineStr">
        <is>
          <t>工业</t>
        </is>
      </c>
      <c r="H35" s="95">
        <f>COUNTIFS(路径汇总!F:F, "*工业*", 路径汇总!A:A, "经济工具")</f>
        <v/>
      </c>
      <c r="I35" s="95">
        <f>COUNTIFS(路径汇总!F:F, "*工业*", 路径汇总!A:A, "规制工具")</f>
        <v/>
      </c>
      <c r="J35" s="95">
        <f>COUNTIFS(路径汇总!F:F, "*工业*", 路径汇总!A:A, "政府投资与消费")</f>
        <v/>
      </c>
      <c r="K35" s="95">
        <f>COUNTIFS(路径汇总!F:F, "*工业*", 路径汇总!A:A, "信息工具")</f>
        <v/>
      </c>
      <c r="L35" s="95">
        <f>COUNTIFS(路径汇总!F:F, "*工业*", 路径汇总!A:A, "自愿措施")</f>
        <v/>
      </c>
      <c r="M35" s="95">
        <f>SUM(H35:L35)</f>
        <v/>
      </c>
    </row>
    <row r="36">
      <c r="A36" s="95" t="n"/>
      <c r="B36" s="95" t="n"/>
      <c r="C36" s="95" t="n"/>
      <c r="D36" s="95" t="n"/>
      <c r="E36" s="95" t="n"/>
      <c r="F36" s="95" t="n"/>
      <c r="G36" s="433" t="inlineStr">
        <is>
          <t>建筑</t>
        </is>
      </c>
      <c r="H36" s="95">
        <f>COUNTIFS(路径汇总!F:F, "*建筑*", 路径汇总!A:A, "经济工具")</f>
        <v/>
      </c>
      <c r="I36" s="95">
        <f>COUNTIFS(路径汇总!F:F, "*建筑*", 路径汇总!A:A, "规制工具")</f>
        <v/>
      </c>
      <c r="J36" s="95">
        <f>COUNTIFS(路径汇总!F:F, "*建筑*", 路径汇总!A:A, "政府投资与消费")</f>
        <v/>
      </c>
      <c r="K36" s="95">
        <f>COUNTIFS(路径汇总!F:F, "*建筑*", 路径汇总!A:A, "信息工具")</f>
        <v/>
      </c>
      <c r="L36" s="95">
        <f>COUNTIFS(路径汇总!F:F, "*建筑*", 路径汇总!A:A, "自愿措施")</f>
        <v/>
      </c>
      <c r="M36" s="95">
        <f>SUM(H36:L36)</f>
        <v/>
      </c>
    </row>
    <row r="37">
      <c r="A37" s="95" t="n"/>
      <c r="B37" s="95" t="n"/>
      <c r="C37" s="95" t="n"/>
      <c r="D37" s="95" t="n"/>
      <c r="E37" s="95" t="n"/>
      <c r="F37" s="95" t="n"/>
      <c r="G37" s="433" t="inlineStr">
        <is>
          <t>交通</t>
        </is>
      </c>
      <c r="H37" s="95">
        <f>COUNTIFS(路径汇总!F:F, "*交通*", 路径汇总!A:A, "经济工具")</f>
        <v/>
      </c>
      <c r="I37" s="95">
        <f>COUNTIFS(路径汇总!F:F, "*交通*", 路径汇总!A:A, "规制工具")</f>
        <v/>
      </c>
      <c r="J37" s="95">
        <f>COUNTIFS(路径汇总!F:F, "*交通*", 路径汇总!A:A, "政府投资与消费")</f>
        <v/>
      </c>
      <c r="K37" s="95">
        <f>COUNTIFS(路径汇总!F:F, "*交通*", 路径汇总!A:A, "信息工具")</f>
        <v/>
      </c>
      <c r="L37" s="95">
        <f>COUNTIFS(路径汇总!F:F, "*交通*", 路径汇总!A:A, "自愿措施")</f>
        <v/>
      </c>
      <c r="M37" s="95">
        <f>SUM(H37:L37)</f>
        <v/>
      </c>
    </row>
    <row r="38">
      <c r="A38" s="95" t="n"/>
      <c r="B38" s="95" t="n"/>
      <c r="C38" s="95" t="n"/>
      <c r="D38" s="95" t="n"/>
      <c r="E38" s="95" t="n"/>
      <c r="F38" s="95" t="n"/>
      <c r="G38" s="433" t="inlineStr">
        <is>
          <t>农业、林业和其他土地利用</t>
        </is>
      </c>
      <c r="H38" s="95">
        <f>COUNTIFS(路径汇总!F:F, "*农业、林业和其他土地利用*", 路径汇总!A:A, "经济工具")</f>
        <v/>
      </c>
      <c r="I38" s="95">
        <f>COUNTIFS(路径汇总!F:F, "*农业、林业和其他土地利用*", 路径汇总!A:A, "规制工具")</f>
        <v/>
      </c>
      <c r="J38" s="95">
        <f>COUNTIFS(路径汇总!F:F, "*农业、林业和其他土地利用*", 路径汇总!A:A, "政府投资与消费")</f>
        <v/>
      </c>
      <c r="K38" s="95">
        <f>COUNTIFS(路径汇总!F:F, "*农业、林业和其他土地利用*", 路径汇总!A:A, "信息工具")</f>
        <v/>
      </c>
      <c r="L38" s="95">
        <f>COUNTIFS(路径汇总!F:F, "*农业、林业和其他土地利用*", 路径汇总!A:A, "自愿措施")</f>
        <v/>
      </c>
      <c r="M38" s="95">
        <f>SUM(H38:L38)</f>
        <v/>
      </c>
    </row>
    <row r="39" ht="16.9" customHeight="1">
      <c r="A39" s="95" t="n"/>
      <c r="B39" s="95" t="n"/>
      <c r="C39" s="95" t="n"/>
      <c r="D39" s="95" t="n"/>
      <c r="E39" s="95" t="n"/>
      <c r="F39" s="95" t="n"/>
      <c r="G39" s="433" t="inlineStr">
        <is>
          <t>废弃物</t>
        </is>
      </c>
      <c r="H39" s="95">
        <f>COUNTIFS(路径汇总!F:F, "*废弃物*", 路径汇总!A:A, "经济工具")</f>
        <v/>
      </c>
      <c r="I39" s="95">
        <f>COUNTIFS(路径汇总!F:F, "*废弃物*", 路径汇总!A:A, "规制工具")</f>
        <v/>
      </c>
      <c r="J39" s="95">
        <f>COUNTIFS(路径汇总!F:F, "*废弃物*", 路径汇总!A:A, "政府投资与消费")</f>
        <v/>
      </c>
      <c r="K39" s="95">
        <f>COUNTIFS(路径汇总!F:F, "*废弃物*", 路径汇总!A:A, "信息工具")</f>
        <v/>
      </c>
      <c r="L39" s="95">
        <f>COUNTIFS(路径汇总!F:F, "*废弃物*", 路径汇总!A:A, "自愿措施")</f>
        <v/>
      </c>
      <c r="M39" s="95">
        <f>SUM(H39:L39)</f>
        <v/>
      </c>
    </row>
    <row r="40" ht="16.5" customHeight="1">
      <c r="A40" s="95" t="n"/>
      <c r="B40" s="95" t="n"/>
      <c r="C40" s="95" t="n"/>
      <c r="D40" s="95" t="n"/>
      <c r="E40" s="95" t="n"/>
      <c r="F40" s="95" t="n"/>
      <c r="G40" s="433" t="inlineStr">
        <is>
          <t>跨部门</t>
        </is>
      </c>
      <c r="H40" s="95">
        <f>COUNTIFS(路径汇总!F:F, "*跨部门*", 路径汇总!A:A, "经济工具")</f>
        <v/>
      </c>
      <c r="I40" s="95">
        <f>COUNTIFS(路径汇总!F:F, "*跨部门*", 路径汇总!A:A, "规制工具")</f>
        <v/>
      </c>
      <c r="J40" s="95">
        <f>COUNTIFS(路径汇总!F:F, "*跨部门*", 路径汇总!A:A, "政府投资与消费")</f>
        <v/>
      </c>
      <c r="K40" s="95">
        <f>COUNTIFS(路径汇总!F:F, "*跨部门*", 路径汇总!A:A, "信息工具")</f>
        <v/>
      </c>
      <c r="L40" s="95">
        <f>COUNTIFS(路径汇总!F:F, "*跨部门*", 路径汇总!A:A, "自愿措施")</f>
        <v/>
      </c>
      <c r="M40" s="95">
        <f>SUM(H40:L40)</f>
        <v/>
      </c>
    </row>
    <row r="41" ht="16.5" customHeight="1">
      <c r="A41" s="95" t="n"/>
      <c r="B41" s="95" t="n"/>
      <c r="C41" s="95" t="n"/>
      <c r="D41" s="95" t="n"/>
      <c r="E41" s="95" t="n"/>
      <c r="F41" s="95" t="n"/>
      <c r="G41" s="430" t="n"/>
      <c r="H41" s="430" t="n"/>
      <c r="I41" s="430" t="n"/>
      <c r="J41" s="430" t="n"/>
      <c r="K41" s="430" t="n"/>
      <c r="L41" s="430" t="n"/>
      <c r="M41" s="430" t="n"/>
    </row>
    <row r="42" ht="16.5" customHeight="1">
      <c r="A42" s="95" t="n"/>
      <c r="B42" s="95" t="n"/>
      <c r="C42" s="95" t="n"/>
      <c r="D42" s="95" t="n"/>
      <c r="E42" s="95" t="n"/>
      <c r="F42" s="95" t="n"/>
      <c r="G42" s="430" t="n"/>
      <c r="H42" s="430" t="n"/>
      <c r="I42" s="430" t="n"/>
      <c r="J42" s="430" t="n"/>
      <c r="K42" s="430" t="n"/>
      <c r="L42" s="430" t="n"/>
      <c r="M42" s="430" t="n"/>
    </row>
    <row r="43" ht="16.5" customHeight="1">
      <c r="A43" s="95" t="n"/>
      <c r="B43" s="95" t="n"/>
      <c r="C43" s="95" t="n"/>
      <c r="D43" s="95" t="n"/>
      <c r="E43" s="95" t="n"/>
      <c r="F43" s="95" t="n"/>
      <c r="G43" s="430" t="n"/>
      <c r="H43" s="430" t="n"/>
      <c r="I43" s="430" t="n"/>
      <c r="J43" s="430" t="n"/>
      <c r="K43" s="430" t="n"/>
      <c r="L43" s="430" t="n"/>
      <c r="M43" s="430" t="n"/>
    </row>
    <row r="44" ht="16.5" customHeight="1">
      <c r="A44" s="95" t="n"/>
      <c r="B44" s="95" t="n"/>
      <c r="C44" s="95" t="n"/>
      <c r="D44" s="95" t="n"/>
      <c r="E44" s="95" t="n"/>
      <c r="F44" s="95" t="n"/>
      <c r="G44" s="430" t="n"/>
      <c r="H44" s="430" t="n"/>
      <c r="I44" s="430" t="n"/>
      <c r="J44" s="430" t="n"/>
      <c r="K44" s="430" t="n"/>
      <c r="L44" s="430" t="n"/>
      <c r="M44" s="430" t="n"/>
    </row>
    <row r="45" ht="16.5" customHeight="1">
      <c r="A45" s="95" t="n"/>
      <c r="B45" s="95" t="n"/>
      <c r="C45" s="95" t="n"/>
      <c r="D45" s="95" t="n"/>
      <c r="E45" s="95" t="n"/>
      <c r="F45" s="95" t="n"/>
      <c r="G45" s="430" t="n"/>
      <c r="H45" s="430" t="n"/>
      <c r="I45" s="430" t="n"/>
      <c r="J45" s="430" t="n"/>
      <c r="K45" s="430" t="n"/>
      <c r="L45" s="430" t="n"/>
      <c r="M45" s="430" t="n"/>
    </row>
    <row r="46" ht="16.5" customHeight="1">
      <c r="A46" s="95" t="n"/>
      <c r="B46" s="95" t="n"/>
      <c r="C46" s="95" t="n"/>
      <c r="D46" s="95" t="n"/>
      <c r="E46" s="95" t="n"/>
      <c r="F46" s="95" t="n"/>
      <c r="G46" s="430" t="n"/>
      <c r="H46" s="430" t="n"/>
      <c r="I46" s="430" t="n"/>
      <c r="J46" s="430" t="n"/>
      <c r="K46" s="430" t="n"/>
      <c r="L46" s="430" t="n"/>
      <c r="M46" s="430" t="n"/>
    </row>
    <row r="47" ht="16.5" customHeight="1">
      <c r="A47" s="95" t="n"/>
      <c r="B47" s="95" t="n"/>
      <c r="C47" s="95" t="n"/>
      <c r="D47" s="95" t="n"/>
      <c r="E47" s="95" t="n"/>
      <c r="F47" s="95" t="n"/>
      <c r="G47" s="101" t="n"/>
      <c r="H47" s="95" t="n"/>
      <c r="I47" s="95" t="n"/>
      <c r="J47" s="95" t="n"/>
      <c r="K47" s="95" t="n"/>
      <c r="L47" s="95" t="n"/>
      <c r="M47" s="9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434" t="inlineStr">
        <is>
          <t>类别</t>
        </is>
      </c>
      <c r="B1" s="434" t="inlineStr">
        <is>
          <t>组别</t>
        </is>
      </c>
      <c r="C1" s="434" t="inlineStr">
        <is>
          <t>路径</t>
        </is>
      </c>
      <c r="D1" s="434" t="inlineStr">
        <is>
          <t>缩写</t>
        </is>
      </c>
      <c r="E1" s="434" t="inlineStr">
        <is>
          <t>定义</t>
        </is>
      </c>
      <c r="F1" s="434" t="inlineStr">
        <is>
          <t>排放部门</t>
        </is>
      </c>
      <c r="G1" s="434" t="inlineStr">
        <is>
          <t>减缓相关性</t>
        </is>
      </c>
      <c r="H1" s="434" t="inlineStr">
        <is>
          <t>工具数量</t>
        </is>
      </c>
    </row>
    <row r="2" ht="85.5" customHeight="1">
      <c r="A2" s="435" t="inlineStr">
        <is>
          <t>经济工具</t>
        </is>
      </c>
      <c r="B2" s="435" t="inlineStr">
        <is>
          <t>交易机制</t>
        </is>
      </c>
      <c r="C2" s="435" t="inlineStr">
        <is>
          <t>排放交易体系（ETS）</t>
        </is>
      </c>
      <c r="D2" s="435" t="inlineStr">
        <is>
          <t>ETS</t>
        </is>
      </c>
      <c r="E2" s="435"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435" t="inlineStr">
        <is>
          <t>能源；工业</t>
        </is>
      </c>
      <c r="G2" s="435" t="inlineStr">
        <is>
          <t>直接</t>
        </is>
      </c>
      <c r="H2" s="435" t="n">
        <v>5</v>
      </c>
    </row>
    <row r="3" ht="99.75" customHeight="1">
      <c r="A3" s="435" t="inlineStr">
        <is>
          <t>经济工具</t>
        </is>
      </c>
      <c r="B3" s="435" t="inlineStr">
        <is>
          <t>交易机制</t>
        </is>
      </c>
      <c r="C3" s="435" t="inlineStr">
        <is>
          <t>可交易绩效标准</t>
        </is>
      </c>
      <c r="D3" s="435" t="inlineStr">
        <is>
          <t>TPS</t>
        </is>
      </c>
      <c r="E3" s="435"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435" t="inlineStr">
        <is>
          <t>交通</t>
        </is>
      </c>
      <c r="G3" s="435" t="inlineStr">
        <is>
          <t>直接</t>
        </is>
      </c>
      <c r="H3" s="435" t="n">
        <v>3</v>
      </c>
    </row>
    <row r="4" ht="99.75" customHeight="1">
      <c r="A4" s="435" t="inlineStr">
        <is>
          <t>经济工具</t>
        </is>
      </c>
      <c r="B4" s="435" t="inlineStr">
        <is>
          <t>交易机制</t>
        </is>
      </c>
      <c r="C4" s="435" t="inlineStr">
        <is>
          <t>可交易可再生能源证书/配额/RPS</t>
        </is>
      </c>
      <c r="D4" s="435" t="inlineStr">
        <is>
          <t>REC</t>
        </is>
      </c>
      <c r="E4" s="435"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435" t="inlineStr">
        <is>
          <t>能源</t>
        </is>
      </c>
      <c r="G4" s="435" t="inlineStr">
        <is>
          <t>直接</t>
        </is>
      </c>
      <c r="H4" s="435" t="n">
        <v>3</v>
      </c>
    </row>
    <row r="5" ht="42.75" customHeight="1">
      <c r="A5" s="435" t="inlineStr">
        <is>
          <t>经济工具</t>
        </is>
      </c>
      <c r="B5" s="435" t="inlineStr">
        <is>
          <t>补贴</t>
        </is>
      </c>
      <c r="C5" s="435" t="inlineStr">
        <is>
          <t>优惠贷款、贷款担保和信用支持</t>
        </is>
      </c>
      <c r="D5" s="435" t="inlineStr">
        <is>
          <t>CLG</t>
        </is>
      </c>
      <c r="E5" s="435" t="inlineStr">
        <is>
          <t>包括政府或公共机构通过降低融资成本、改善信贷可得性或缓释贷款与担保品风险来支持与气候相关资产或活动的金融支持机制，包括优惠贷款、贷款担保、合格担保品待遇和其他信用支持机制。</t>
        </is>
      </c>
      <c r="F5" s="435" t="inlineStr">
        <is>
          <t>跨部门</t>
        </is>
      </c>
      <c r="G5" s="435" t="inlineStr">
        <is>
          <t>间接；直接</t>
        </is>
      </c>
      <c r="H5" s="435" t="n">
        <v>4</v>
      </c>
    </row>
    <row r="6" ht="42.75" customHeight="1">
      <c r="A6" s="435" t="inlineStr">
        <is>
          <t>经济工具</t>
        </is>
      </c>
      <c r="B6" s="435" t="inlineStr">
        <is>
          <t>补贴</t>
        </is>
      </c>
      <c r="C6" s="435" t="inlineStr">
        <is>
          <t>可再生电力差价合约（CfD）</t>
        </is>
      </c>
      <c r="D6" s="435" t="inlineStr">
        <is>
          <t>ECD</t>
        </is>
      </c>
      <c r="E6" s="435"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435" t="inlineStr">
        <is>
          <t>能源</t>
        </is>
      </c>
      <c r="G6" s="435" t="inlineStr">
        <is>
          <t>直接</t>
        </is>
      </c>
      <c r="H6" s="435" t="n">
        <v>1</v>
      </c>
    </row>
    <row r="7" ht="28.5" customHeight="1">
      <c r="A7" s="435" t="inlineStr">
        <is>
          <t>经济工具</t>
        </is>
      </c>
      <c r="B7" s="435" t="inlineStr">
        <is>
          <t>补贴</t>
        </is>
      </c>
      <c r="C7" s="435" t="inlineStr">
        <is>
          <t>低碳车辆购置补贴</t>
        </is>
      </c>
      <c r="D7" s="435" t="inlineStr">
        <is>
          <t>VPS</t>
        </is>
      </c>
      <c r="E7" s="435" t="inlineStr">
        <is>
          <t>包括任何支持采用低碳车辆的补贴，例如电动汽车、天然气汽车或高燃效车辆；支持形式可包括购买、改装、租赁此类车辆，以及车辆报废更新计划。</t>
        </is>
      </c>
      <c r="F7" s="435" t="inlineStr">
        <is>
          <t>交通</t>
        </is>
      </c>
      <c r="G7" s="435" t="inlineStr">
        <is>
          <t>直接</t>
        </is>
      </c>
      <c r="H7" s="435" t="n">
        <v>4</v>
      </c>
    </row>
    <row r="8" ht="71.25" customHeight="1">
      <c r="A8" s="435" t="inlineStr">
        <is>
          <t>经济工具</t>
        </is>
      </c>
      <c r="B8" s="435" t="inlineStr">
        <is>
          <t>补贴</t>
        </is>
      </c>
      <c r="C8" s="435" t="inlineStr">
        <is>
          <t>生态系统服务付费</t>
        </is>
      </c>
      <c r="D8" s="435" t="inlineStr">
        <is>
          <t>ESP</t>
        </is>
      </c>
      <c r="E8" s="435"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435" t="inlineStr">
        <is>
          <t>农业、林业和其他土地利用</t>
        </is>
      </c>
      <c r="G8" s="435" t="inlineStr">
        <is>
          <t>间接</t>
        </is>
      </c>
      <c r="H8" s="435" t="n">
        <v>7</v>
      </c>
    </row>
    <row r="9" ht="57" customHeight="1">
      <c r="A9" s="435" t="inlineStr">
        <is>
          <t>经济工具</t>
        </is>
      </c>
      <c r="B9" s="435" t="inlineStr">
        <is>
          <t>补贴</t>
        </is>
      </c>
      <c r="C9" s="435" t="inlineStr">
        <is>
          <t>以旧换新补贴</t>
        </is>
      </c>
      <c r="D9" s="435" t="inlineStr">
        <is>
          <t>TIS</t>
        </is>
      </c>
      <c r="E9" s="435"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435" t="inlineStr">
        <is>
          <t>交通；农业、林业和其他土地利用；建筑</t>
        </is>
      </c>
      <c r="G9" s="435" t="inlineStr">
        <is>
          <t>直接；间接</t>
        </is>
      </c>
      <c r="H9" s="435" t="n">
        <v>3</v>
      </c>
    </row>
    <row r="10" ht="57" customHeight="1">
      <c r="A10" s="435" t="inlineStr">
        <is>
          <t>经济工具</t>
        </is>
      </c>
      <c r="B10" s="435" t="inlineStr">
        <is>
          <t>补贴</t>
        </is>
      </c>
      <c r="C10" s="435" t="inlineStr">
        <is>
          <t>清洁取暖补贴</t>
        </is>
      </c>
      <c r="D10" s="435" t="inlineStr">
        <is>
          <t>CHS</t>
        </is>
      </c>
      <c r="E10" s="435"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435" t="inlineStr">
        <is>
          <t>建筑</t>
        </is>
      </c>
      <c r="G10" s="435" t="inlineStr">
        <is>
          <t>直接</t>
        </is>
      </c>
      <c r="H10" s="435" t="n">
        <v>1</v>
      </c>
    </row>
    <row r="11" ht="57" customHeight="1">
      <c r="A11" s="435" t="inlineStr">
        <is>
          <t>经济工具</t>
        </is>
      </c>
      <c r="B11" s="435" t="inlineStr">
        <is>
          <t>补贴</t>
        </is>
      </c>
      <c r="C11" s="435" t="inlineStr">
        <is>
          <t>回收处理奖补</t>
        </is>
      </c>
      <c r="D11" s="435" t="inlineStr">
        <is>
          <t>RTS</t>
        </is>
      </c>
      <c r="E11" s="435"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435" t="inlineStr">
        <is>
          <t>废弃物</t>
        </is>
      </c>
      <c r="G11" s="435" t="inlineStr">
        <is>
          <t>间接</t>
        </is>
      </c>
      <c r="H11" s="435" t="n">
        <v>1</v>
      </c>
    </row>
    <row r="12" ht="71.25" customHeight="1">
      <c r="A12" s="435" t="inlineStr">
        <is>
          <t>经济工具</t>
        </is>
      </c>
      <c r="B12" s="435" t="inlineStr">
        <is>
          <t>补贴</t>
        </is>
      </c>
      <c r="C12" s="435" t="inlineStr">
        <is>
          <t>低排放机械购置补贴</t>
        </is>
      </c>
      <c r="D12" s="435" t="inlineStr">
        <is>
          <t>MPS</t>
        </is>
      </c>
      <c r="E12" s="435"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435" t="inlineStr">
        <is>
          <t>农业、林业和其他土地利用</t>
        </is>
      </c>
      <c r="G12" s="435" t="inlineStr">
        <is>
          <t>直接</t>
        </is>
      </c>
      <c r="H12" s="435" t="n">
        <v>1</v>
      </c>
    </row>
    <row r="13" ht="71.25" customHeight="1">
      <c r="A13" s="435" t="inlineStr">
        <is>
          <t>经济工具</t>
        </is>
      </c>
      <c r="B13" s="435" t="inlineStr">
        <is>
          <t>税收</t>
        </is>
      </c>
      <c r="C13" s="435" t="inlineStr">
        <is>
          <t>企业所得税优惠</t>
        </is>
      </c>
      <c r="D13" s="435" t="inlineStr">
        <is>
          <t>CIT</t>
        </is>
      </c>
      <c r="E13" s="435"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435" t="inlineStr">
        <is>
          <t>工业；建筑；废弃物；能源</t>
        </is>
      </c>
      <c r="G13" s="435" t="inlineStr">
        <is>
          <t>直接；间接</t>
        </is>
      </c>
      <c r="H13" s="435" t="n">
        <v>5</v>
      </c>
    </row>
    <row r="14" ht="42.75" customHeight="1">
      <c r="A14" s="435" t="inlineStr">
        <is>
          <t>经济工具</t>
        </is>
      </c>
      <c r="B14" s="435" t="inlineStr">
        <is>
          <t>税收</t>
        </is>
      </c>
      <c r="C14" s="435" t="inlineStr">
        <is>
          <t>车辆购置税优惠</t>
        </is>
      </c>
      <c r="D14" s="435" t="inlineStr">
        <is>
          <t>VPT</t>
        </is>
      </c>
      <c r="E14" s="435"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435" t="inlineStr">
        <is>
          <t>交通</t>
        </is>
      </c>
      <c r="G14" s="435" t="inlineStr">
        <is>
          <t>直接</t>
        </is>
      </c>
      <c r="H14" s="435" t="n">
        <v>1</v>
      </c>
    </row>
    <row r="15">
      <c r="A15" s="435" t="inlineStr">
        <is>
          <t>经济工具</t>
        </is>
      </c>
      <c r="B15" s="435" t="inlineStr">
        <is>
          <t>税收</t>
        </is>
      </c>
      <c r="C15" s="435" t="inlineStr">
        <is>
          <t>燃料消费税</t>
        </is>
      </c>
      <c r="D15" s="435" t="inlineStr">
        <is>
          <t>FET</t>
        </is>
      </c>
      <c r="E15" s="435" t="inlineStr">
        <is>
          <t>包括任何按照化石燃料消费量征收的消费税，而不是按照碳含量征收。</t>
        </is>
      </c>
      <c r="F15" s="435" t="inlineStr">
        <is>
          <t>能源</t>
        </is>
      </c>
      <c r="G15" s="435" t="inlineStr">
        <is>
          <t>直接</t>
        </is>
      </c>
      <c r="H15" s="435" t="n">
        <v>1</v>
      </c>
    </row>
    <row r="16" ht="85.5" customHeight="1">
      <c r="A16" s="435" t="inlineStr">
        <is>
          <t>经济工具</t>
        </is>
      </c>
      <c r="B16" s="435" t="inlineStr">
        <is>
          <t>税收</t>
        </is>
      </c>
      <c r="C16" s="435" t="inlineStr">
        <is>
          <t>差别化车辆税</t>
        </is>
      </c>
      <c r="D16" s="435" t="inlineStr">
        <is>
          <t>DVT</t>
        </is>
      </c>
      <c r="E16" s="435"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435" t="inlineStr">
        <is>
          <t>交通</t>
        </is>
      </c>
      <c r="G16" s="435" t="inlineStr">
        <is>
          <t>直接</t>
        </is>
      </c>
      <c r="H16" s="435" t="n">
        <v>1</v>
      </c>
    </row>
    <row r="17" ht="57" customHeight="1">
      <c r="A17" s="435" t="inlineStr">
        <is>
          <t>经济工具</t>
        </is>
      </c>
      <c r="B17" s="435" t="inlineStr">
        <is>
          <t>税收</t>
        </is>
      </c>
      <c r="C17" s="435" t="inlineStr">
        <is>
          <t>车船税优惠</t>
        </is>
      </c>
      <c r="D17" s="435" t="inlineStr">
        <is>
          <t>VOT</t>
        </is>
      </c>
      <c r="E17" s="435"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435" t="inlineStr">
        <is>
          <t>交通</t>
        </is>
      </c>
      <c r="G17" s="435" t="inlineStr">
        <is>
          <t>直接</t>
        </is>
      </c>
      <c r="H17" s="435" t="n">
        <v>3</v>
      </c>
    </row>
    <row r="18" ht="85.5" customHeight="1">
      <c r="A18" s="435" t="inlineStr">
        <is>
          <t>经济工具</t>
        </is>
      </c>
      <c r="B18" s="435" t="inlineStr">
        <is>
          <t>税收</t>
        </is>
      </c>
      <c r="C18" s="435" t="inlineStr">
        <is>
          <t>增值税优惠</t>
        </is>
      </c>
      <c r="D18" s="435" t="inlineStr">
        <is>
          <t>VAT</t>
        </is>
      </c>
      <c r="E18" s="435"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435" t="inlineStr">
        <is>
          <t>工业；废弃物；农业、林业和其他土地利用；能源</t>
        </is>
      </c>
      <c r="G18" s="435" t="inlineStr">
        <is>
          <t>间接；直接</t>
        </is>
      </c>
      <c r="H18" s="435" t="n">
        <v>3</v>
      </c>
    </row>
    <row r="19" ht="71.25" customHeight="1">
      <c r="A19" s="435" t="inlineStr">
        <is>
          <t>经济工具</t>
        </is>
      </c>
      <c r="B19" s="435" t="inlineStr">
        <is>
          <t>税收</t>
        </is>
      </c>
      <c r="C19" s="435" t="inlineStr">
        <is>
          <t>环境污染税</t>
        </is>
      </c>
      <c r="D19" s="435" t="inlineStr">
        <is>
          <t>EPT</t>
        </is>
      </c>
      <c r="E19" s="435"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435" t="inlineStr">
        <is>
          <t>跨部门</t>
        </is>
      </c>
      <c r="G19" s="435" t="inlineStr">
        <is>
          <t>间接</t>
        </is>
      </c>
      <c r="H19" s="435" t="n">
        <v>1</v>
      </c>
    </row>
    <row r="20" ht="71.25" customHeight="1">
      <c r="A20" s="435" t="inlineStr">
        <is>
          <t>经济工具</t>
        </is>
      </c>
      <c r="B20" s="435" t="inlineStr">
        <is>
          <t>税收</t>
        </is>
      </c>
      <c r="C20" s="435" t="inlineStr">
        <is>
          <t>消费税优惠</t>
        </is>
      </c>
      <c r="D20" s="435" t="inlineStr">
        <is>
          <t>CTI</t>
        </is>
      </c>
      <c r="E20" s="435"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435" t="inlineStr">
        <is>
          <t>工业；交通</t>
        </is>
      </c>
      <c r="G20" s="435" t="inlineStr">
        <is>
          <t>间接；直接</t>
        </is>
      </c>
      <c r="H20" s="435" t="n">
        <v>3</v>
      </c>
    </row>
    <row r="21" ht="71.25" customHeight="1">
      <c r="A21" s="435" t="inlineStr">
        <is>
          <t>经济工具</t>
        </is>
      </c>
      <c r="B21" s="435" t="inlineStr">
        <is>
          <t>税收</t>
        </is>
      </c>
      <c r="C21" s="435" t="inlineStr">
        <is>
          <t>政府性基金减免</t>
        </is>
      </c>
      <c r="D21" s="435" t="inlineStr">
        <is>
          <t>PLE</t>
        </is>
      </c>
      <c r="E21" s="435"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435" t="inlineStr">
        <is>
          <t>能源</t>
        </is>
      </c>
      <c r="G21" s="435" t="inlineStr">
        <is>
          <t>直接</t>
        </is>
      </c>
      <c r="H21" s="435" t="n">
        <v>1</v>
      </c>
    </row>
    <row r="22" ht="57" customHeight="1">
      <c r="A22" s="435" t="inlineStr">
        <is>
          <t>经济工具</t>
        </is>
      </c>
      <c r="B22" s="435" t="inlineStr">
        <is>
          <t>税收</t>
        </is>
      </c>
      <c r="C22" s="435" t="inlineStr">
        <is>
          <t>城镇土地使用税优惠</t>
        </is>
      </c>
      <c r="D22" s="435" t="inlineStr">
        <is>
          <t>ULT</t>
        </is>
      </c>
      <c r="E22" s="435"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435" t="inlineStr">
        <is>
          <t>能源</t>
        </is>
      </c>
      <c r="G22" s="435" t="inlineStr">
        <is>
          <t>直接</t>
        </is>
      </c>
      <c r="H22" s="435" t="n">
        <v>2</v>
      </c>
    </row>
    <row r="23" ht="71.25" customHeight="1">
      <c r="A23" s="435" t="inlineStr">
        <is>
          <t>经济工具</t>
        </is>
      </c>
      <c r="B23" s="435" t="inlineStr">
        <is>
          <t>行政定价</t>
        </is>
      </c>
      <c r="C23" s="435" t="inlineStr">
        <is>
          <t>工业差别电价</t>
        </is>
      </c>
      <c r="D23" s="435" t="inlineStr">
        <is>
          <t>IDP</t>
        </is>
      </c>
      <c r="E23" s="435"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435" t="inlineStr">
        <is>
          <t>工业</t>
        </is>
      </c>
      <c r="G23" s="435" t="inlineStr">
        <is>
          <t>直接</t>
        </is>
      </c>
      <c r="H23" s="435" t="n">
        <v>1</v>
      </c>
    </row>
    <row r="24" ht="57" customHeight="1">
      <c r="A24" s="435" t="inlineStr">
        <is>
          <t>经济工具</t>
        </is>
      </c>
      <c r="B24" s="435" t="inlineStr">
        <is>
          <t>行政定价</t>
        </is>
      </c>
      <c r="C24" s="435" t="inlineStr">
        <is>
          <t>居民阶梯电价</t>
        </is>
      </c>
      <c r="D24" s="435" t="inlineStr">
        <is>
          <t>RIT</t>
        </is>
      </c>
      <c r="E24" s="435"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435" t="inlineStr">
        <is>
          <t>建筑</t>
        </is>
      </c>
      <c r="G24" s="435" t="inlineStr">
        <is>
          <t>间接</t>
        </is>
      </c>
      <c r="H24" s="435" t="n">
        <v>1</v>
      </c>
    </row>
    <row r="25" ht="71.25" customHeight="1">
      <c r="A25" s="435" t="inlineStr">
        <is>
          <t>经济工具</t>
        </is>
      </c>
      <c r="B25" s="435" t="inlineStr">
        <is>
          <t>行政定价</t>
        </is>
      </c>
      <c r="C25" s="435" t="inlineStr">
        <is>
          <t>容量电价机制</t>
        </is>
      </c>
      <c r="D25" s="435" t="inlineStr">
        <is>
          <t>CPM</t>
        </is>
      </c>
      <c r="E25" s="435"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435" t="inlineStr">
        <is>
          <t>能源</t>
        </is>
      </c>
      <c r="G25" s="435" t="inlineStr">
        <is>
          <t>间接</t>
        </is>
      </c>
      <c r="H25" s="435" t="n">
        <v>5</v>
      </c>
    </row>
    <row r="26" ht="28.5" customHeight="1">
      <c r="A26" s="435" t="inlineStr">
        <is>
          <t>规制工具</t>
        </is>
      </c>
      <c r="B26" s="435" t="inlineStr">
        <is>
          <t>技术标准</t>
        </is>
      </c>
      <c r="C26" s="435" t="inlineStr">
        <is>
          <t>化石燃料供暖系统禁止和淘汰</t>
        </is>
      </c>
      <c r="D26" s="435" t="inlineStr">
        <is>
          <t>BFH</t>
        </is>
      </c>
      <c r="E26" s="435" t="inlineStr">
        <is>
          <t>禁止新安装化石燃料供暖系统和/或设定有约束力的既有系统淘汰期限的规制工具。</t>
        </is>
      </c>
      <c r="F26" s="435" t="inlineStr">
        <is>
          <t>工业；建筑</t>
        </is>
      </c>
      <c r="G26" s="435" t="inlineStr">
        <is>
          <t>直接</t>
        </is>
      </c>
      <c r="H26" s="435" t="n">
        <v>1</v>
      </c>
    </row>
    <row r="27" ht="42.75" customHeight="1">
      <c r="A27" s="435" t="inlineStr">
        <is>
          <t>规制工具</t>
        </is>
      </c>
      <c r="B27" s="435" t="inlineStr">
        <is>
          <t>技术标准</t>
        </is>
      </c>
      <c r="C27" s="435" t="inlineStr">
        <is>
          <t>陆路交通燃料生物燃料配额</t>
        </is>
      </c>
      <c r="D27" s="435" t="inlineStr">
        <is>
          <t>BQL</t>
        </is>
      </c>
      <c r="E27" s="435" t="inlineStr">
        <is>
          <t>生物燃料配额规定可混合成特定燃料类型的各种组分的允许比例和特征。混合可能包括组合不同等级的汽油、柴油、生物柴油、乙醇、氢或其他替代燃料，用于陆路交通燃料。它们也称为燃料掺混标准。</t>
        </is>
      </c>
      <c r="F27" s="435" t="inlineStr">
        <is>
          <t>交通</t>
        </is>
      </c>
      <c r="G27" s="435" t="inlineStr">
        <is>
          <t>间接</t>
        </is>
      </c>
      <c r="H27" s="435" t="n">
        <v>1</v>
      </c>
    </row>
    <row r="28" ht="28.5" customHeight="1">
      <c r="A28" s="435" t="inlineStr">
        <is>
          <t>规制工具</t>
        </is>
      </c>
      <c r="B28" s="435" t="inlineStr">
        <is>
          <t>技术标准</t>
        </is>
      </c>
      <c r="C28" s="435" t="inlineStr">
        <is>
          <t>电动机最低能源绩效标准（MEPS）</t>
        </is>
      </c>
      <c r="D28" s="435" t="inlineStr">
        <is>
          <t>MEM</t>
        </is>
      </c>
      <c r="E28" s="435" t="inlineStr">
        <is>
          <t>MEPS 规定电动机在特定市场出售或分配前必须达到的基准能效水平。</t>
        </is>
      </c>
      <c r="F28" s="435" t="inlineStr">
        <is>
          <t>工业</t>
        </is>
      </c>
      <c r="G28" s="435" t="inlineStr">
        <is>
          <t>直接</t>
        </is>
      </c>
      <c r="H28" s="435" t="n">
        <v>3</v>
      </c>
    </row>
    <row r="29" ht="71.25" customHeight="1">
      <c r="A29" s="435" t="inlineStr">
        <is>
          <t>规制工具</t>
        </is>
      </c>
      <c r="B29" s="435" t="inlineStr">
        <is>
          <t>技术标准</t>
        </is>
      </c>
      <c r="C29" s="435" t="inlineStr">
        <is>
          <t>消耗臭氧层物质禁止和淘汰</t>
        </is>
      </c>
      <c r="D29" s="435" t="inlineStr">
        <is>
          <t>ODS</t>
        </is>
      </c>
      <c r="E29" s="435"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435" t="inlineStr">
        <is>
          <t>工业</t>
        </is>
      </c>
      <c r="G29" s="435" t="inlineStr">
        <is>
          <t>间接</t>
        </is>
      </c>
      <c r="H29" s="435" t="n">
        <v>1</v>
      </c>
    </row>
    <row r="30" ht="71.25" customHeight="1">
      <c r="A30" s="435" t="inlineStr">
        <is>
          <t>规制工具</t>
        </is>
      </c>
      <c r="B30" s="435" t="inlineStr">
        <is>
          <t>技术标准</t>
        </is>
      </c>
      <c r="C30" s="435" t="inlineStr">
        <is>
          <t>含氟温室气体禁止和淘汰</t>
        </is>
      </c>
      <c r="D30" s="435" t="inlineStr">
        <is>
          <t>FGA</t>
        </is>
      </c>
      <c r="E30" s="435"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435" t="inlineStr">
        <is>
          <t>工业</t>
        </is>
      </c>
      <c r="G30" s="435" t="inlineStr">
        <is>
          <t>直接</t>
        </is>
      </c>
      <c r="H30" s="435" t="n">
        <v>1</v>
      </c>
    </row>
    <row r="31" ht="85.5" customHeight="1">
      <c r="A31" s="435" t="inlineStr">
        <is>
          <t>规制工具</t>
        </is>
      </c>
      <c r="B31" s="435" t="inlineStr">
        <is>
          <t>技术标准</t>
        </is>
      </c>
      <c r="C31" s="435" t="inlineStr">
        <is>
          <t>塑料制品禁止和淘汰</t>
        </is>
      </c>
      <c r="D31" s="435" t="inlineStr">
        <is>
          <t>BPP</t>
        </is>
      </c>
      <c r="E31" s="435"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435" t="inlineStr">
        <is>
          <t>工业</t>
        </is>
      </c>
      <c r="G31" s="435" t="inlineStr">
        <is>
          <t>间接</t>
        </is>
      </c>
      <c r="H31" s="435" t="n">
        <v>1</v>
      </c>
    </row>
    <row r="32" ht="57" customHeight="1">
      <c r="A32" s="435" t="inlineStr">
        <is>
          <t>规制工具</t>
        </is>
      </c>
      <c r="B32" s="435" t="inlineStr">
        <is>
          <t>绩效标准</t>
        </is>
      </c>
      <c r="C32" s="435" t="inlineStr">
        <is>
          <t>燃油经济性标准</t>
        </is>
      </c>
      <c r="D32" s="435" t="inlineStr">
        <is>
          <t>FEC</t>
        </is>
      </c>
      <c r="E32" s="435"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435" t="inlineStr">
        <is>
          <t>交通</t>
        </is>
      </c>
      <c r="G32" s="435" t="inlineStr">
        <is>
          <t>直接</t>
        </is>
      </c>
      <c r="H32" s="435" t="n">
        <v>5</v>
      </c>
    </row>
    <row r="33" ht="28.5" customHeight="1">
      <c r="A33" s="435" t="inlineStr">
        <is>
          <t>规制工具</t>
        </is>
      </c>
      <c r="B33" s="435" t="inlineStr">
        <is>
          <t>绩效标准</t>
        </is>
      </c>
      <c r="C33" s="435" t="inlineStr">
        <is>
          <t>建筑最低能源绩效标准（MEPS）</t>
        </is>
      </c>
      <c r="D33" s="435" t="inlineStr">
        <is>
          <t>MEB</t>
        </is>
      </c>
      <c r="E33" s="435" t="inlineStr">
        <is>
          <t>MEPS 规定建筑在建造、出售或出租前必须达到的基准能效水平。具体而言，它要求建筑能源消耗不得超过某一最高水平。</t>
        </is>
      </c>
      <c r="F33" s="435" t="inlineStr">
        <is>
          <t>建筑</t>
        </is>
      </c>
      <c r="G33" s="435" t="inlineStr">
        <is>
          <t>直接</t>
        </is>
      </c>
      <c r="H33" s="435" t="n">
        <v>2</v>
      </c>
    </row>
    <row r="34" ht="28.5" customHeight="1">
      <c r="A34" s="435" t="inlineStr">
        <is>
          <t>规制工具</t>
        </is>
      </c>
      <c r="B34" s="435" t="inlineStr">
        <is>
          <t>绩效标准</t>
        </is>
      </c>
      <c r="C34" s="435" t="inlineStr">
        <is>
          <t>烹饪系统最低能源绩效标准（MEPS）</t>
        </is>
      </c>
      <c r="D34" s="435" t="inlineStr">
        <is>
          <t>MEC</t>
        </is>
      </c>
      <c r="E34" s="435" t="inlineStr">
        <is>
          <t>MEPS 规定烹饪系统在特定市场出售或分配前必须达到的基准能效水平。</t>
        </is>
      </c>
      <c r="F34" s="435" t="inlineStr">
        <is>
          <t>建筑</t>
        </is>
      </c>
      <c r="G34" s="435" t="inlineStr">
        <is>
          <t>直接</t>
        </is>
      </c>
      <c r="H34" s="435" t="n">
        <v>3</v>
      </c>
    </row>
    <row r="35" ht="28.5" customHeight="1">
      <c r="A35" s="435" t="inlineStr">
        <is>
          <t>规制工具</t>
        </is>
      </c>
      <c r="B35" s="435" t="inlineStr">
        <is>
          <t>绩效标准</t>
        </is>
      </c>
      <c r="C35" s="435" t="inlineStr">
        <is>
          <t>电器最低能源绩效标准（MEPS）</t>
        </is>
      </c>
      <c r="D35" s="435" t="inlineStr">
        <is>
          <t>MEA</t>
        </is>
      </c>
      <c r="E35" s="435" t="inlineStr">
        <is>
          <t>MEPS 规定电器在特定市场出售或分配前必须达到的基准能效水平。</t>
        </is>
      </c>
      <c r="F35" s="435" t="inlineStr">
        <is>
          <t>工业；建筑</t>
        </is>
      </c>
      <c r="G35" s="435" t="inlineStr">
        <is>
          <t>直接</t>
        </is>
      </c>
      <c r="H35" s="435" t="n">
        <v>30</v>
      </c>
    </row>
    <row r="36" ht="28.5" customHeight="1">
      <c r="A36" s="435" t="inlineStr">
        <is>
          <t>规制工具</t>
        </is>
      </c>
      <c r="B36" s="435" t="inlineStr">
        <is>
          <t>绩效标准</t>
        </is>
      </c>
      <c r="C36" s="435" t="inlineStr">
        <is>
          <t>照明系统最低能源绩效标准（MEPS）</t>
        </is>
      </c>
      <c r="D36" s="435" t="inlineStr">
        <is>
          <t>MEL</t>
        </is>
      </c>
      <c r="E36" s="435" t="inlineStr">
        <is>
          <t>MEPS 规定照明系统在特定市场出售或分配前必须达到的基准能效水平。</t>
        </is>
      </c>
      <c r="F36" s="435" t="inlineStr">
        <is>
          <t>建筑；工业；交通</t>
        </is>
      </c>
      <c r="G36" s="435" t="inlineStr">
        <is>
          <t>直接</t>
        </is>
      </c>
      <c r="H36" s="435" t="n">
        <v>8</v>
      </c>
    </row>
    <row r="37" ht="28.5" customHeight="1">
      <c r="A37" s="435" t="inlineStr">
        <is>
          <t>规制工具</t>
        </is>
      </c>
      <c r="B37" s="435" t="inlineStr">
        <is>
          <t>绩效标准</t>
        </is>
      </c>
      <c r="C37" s="435" t="inlineStr">
        <is>
          <t>空间制冷最低能源绩效标准（MEPS）</t>
        </is>
      </c>
      <c r="D37" s="435" t="inlineStr">
        <is>
          <t>MCS</t>
        </is>
      </c>
      <c r="E37" s="435" t="inlineStr">
        <is>
          <t>MEPS 规定空间制冷系统在特定市场出售或分配前必须达到的基准能效水平。</t>
        </is>
      </c>
      <c r="F37" s="435" t="inlineStr">
        <is>
          <t>建筑</t>
        </is>
      </c>
      <c r="G37" s="435" t="inlineStr">
        <is>
          <t>直接</t>
        </is>
      </c>
      <c r="H37" s="435" t="n">
        <v>4</v>
      </c>
    </row>
    <row r="38" ht="28.5" customHeight="1">
      <c r="A38" s="435" t="inlineStr">
        <is>
          <t>规制工具</t>
        </is>
      </c>
      <c r="B38" s="435" t="inlineStr">
        <is>
          <t>绩效标准</t>
        </is>
      </c>
      <c r="C38" s="435" t="inlineStr">
        <is>
          <t>空间供暖最低能源绩效标准（MEPS）</t>
        </is>
      </c>
      <c r="D38" s="435" t="inlineStr">
        <is>
          <t>MHS</t>
        </is>
      </c>
      <c r="E38" s="435" t="inlineStr">
        <is>
          <t>MEPS 规定空间供暖系统在特定市场出售或分配前必须达到的基准能效水平。</t>
        </is>
      </c>
      <c r="F38" s="435" t="inlineStr">
        <is>
          <t>建筑；工业</t>
        </is>
      </c>
      <c r="G38" s="435" t="inlineStr">
        <is>
          <t>直接</t>
        </is>
      </c>
      <c r="H38" s="435" t="n">
        <v>1</v>
      </c>
    </row>
    <row r="39" ht="28.5" customHeight="1">
      <c r="A39" s="435" t="inlineStr">
        <is>
          <t>规制工具</t>
        </is>
      </c>
      <c r="B39" s="435" t="inlineStr">
        <is>
          <t>绩效标准</t>
        </is>
      </c>
      <c r="C39" s="435" t="inlineStr">
        <is>
          <t>热水系统最低能源绩效标准（MEPS）</t>
        </is>
      </c>
      <c r="D39" s="435" t="inlineStr">
        <is>
          <t>MWH</t>
        </is>
      </c>
      <c r="E39" s="435" t="inlineStr">
        <is>
          <t>MEPS 规定热水系统在特定市场出售或分配前必须达到的基准能效水平。</t>
        </is>
      </c>
      <c r="F39" s="435" t="inlineStr">
        <is>
          <t>建筑</t>
        </is>
      </c>
      <c r="G39" s="435" t="inlineStr">
        <is>
          <t>直接</t>
        </is>
      </c>
      <c r="H39" s="435" t="n">
        <v>4</v>
      </c>
    </row>
    <row r="40" ht="28.5" customHeight="1">
      <c r="A40" s="435" t="inlineStr">
        <is>
          <t>规制工具</t>
        </is>
      </c>
      <c r="B40" s="435" t="inlineStr">
        <is>
          <t>绩效标准</t>
        </is>
      </c>
      <c r="C40" s="435" t="inlineStr">
        <is>
          <t>工业热工设备最低能源绩效标准（MEPS）</t>
        </is>
      </c>
      <c r="D40" s="435" t="inlineStr">
        <is>
          <t>MIT</t>
        </is>
      </c>
      <c r="E40" s="435" t="inlineStr">
        <is>
          <t>MEPS 规定工业热工设备在特定市场出售或分配前必须达到的基准能效水平。</t>
        </is>
      </c>
      <c r="F40" s="435" t="inlineStr">
        <is>
          <t>工业</t>
        </is>
      </c>
      <c r="G40" s="435" t="inlineStr">
        <is>
          <t>直接</t>
        </is>
      </c>
      <c r="H40" s="435" t="n">
        <v>3</v>
      </c>
    </row>
    <row r="41" ht="28.5" customHeight="1">
      <c r="A41" s="435" t="inlineStr">
        <is>
          <t>规制工具</t>
        </is>
      </c>
      <c r="B41" s="435" t="inlineStr">
        <is>
          <t>绩效标准</t>
        </is>
      </c>
      <c r="C41" s="435" t="inlineStr">
        <is>
          <t>制冷设备最低能源绩效标准（MEPS）</t>
        </is>
      </c>
      <c r="D41" s="435" t="inlineStr">
        <is>
          <t>MRE</t>
        </is>
      </c>
      <c r="E41" s="435" t="inlineStr">
        <is>
          <t>MEPS 规定制冷设备在特定市场出售或分配前必须达到的基准能效水平。</t>
        </is>
      </c>
      <c r="F41" s="435" t="inlineStr">
        <is>
          <t>工业；建筑</t>
        </is>
      </c>
      <c r="G41" s="435" t="inlineStr">
        <is>
          <t>直接</t>
        </is>
      </c>
      <c r="H41" s="435" t="n">
        <v>2</v>
      </c>
    </row>
    <row r="42" ht="42.75" customHeight="1">
      <c r="A42" s="435" t="inlineStr">
        <is>
          <t>规制工具</t>
        </is>
      </c>
      <c r="B42" s="435" t="inlineStr">
        <is>
          <t>绩效标准</t>
        </is>
      </c>
      <c r="C42" s="435" t="inlineStr">
        <is>
          <t>单位产品能源消耗限额</t>
        </is>
      </c>
      <c r="D42" s="435" t="inlineStr">
        <is>
          <t>EIL</t>
        </is>
      </c>
      <c r="E42" s="435" t="inlineStr">
        <is>
          <t>单位产品能源消耗限额规定工业产品单位产量能耗的最高允许值（如吨钢千克标煤、度电克标煤），可适用于存量设施和新建扩建项目，并可设定行业先进基准。</t>
        </is>
      </c>
      <c r="F42" s="435" t="inlineStr">
        <is>
          <t>工业；能源</t>
        </is>
      </c>
      <c r="G42" s="435" t="inlineStr">
        <is>
          <t>直接</t>
        </is>
      </c>
      <c r="H42" s="435" t="n">
        <v>68</v>
      </c>
    </row>
    <row r="43" ht="42.75" customHeight="1">
      <c r="A43" s="435" t="inlineStr">
        <is>
          <t>规制工具</t>
        </is>
      </c>
      <c r="B43" s="435" t="inlineStr">
        <is>
          <t>绩效标准</t>
        </is>
      </c>
      <c r="C43" s="435" t="inlineStr">
        <is>
          <t>速度限值</t>
        </is>
      </c>
      <c r="D43" s="435" t="inlineStr">
        <is>
          <t>SPD</t>
        </is>
      </c>
      <c r="E43" s="435"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435" t="inlineStr">
        <is>
          <t>交通</t>
        </is>
      </c>
      <c r="G43" s="435" t="inlineStr">
        <is>
          <t>间接</t>
        </is>
      </c>
      <c r="H43" s="435" t="n">
        <v>1</v>
      </c>
    </row>
    <row r="44" ht="99.75" customHeight="1">
      <c r="A44" s="435" t="inlineStr">
        <is>
          <t>规制工具</t>
        </is>
      </c>
      <c r="B44" s="435" t="inlineStr">
        <is>
          <t>框架性规制</t>
        </is>
      </c>
      <c r="C44" s="435" t="inlineStr">
        <is>
          <t>农业污染管控</t>
        </is>
      </c>
      <c r="D44" s="435" t="inlineStr">
        <is>
          <t>APC</t>
        </is>
      </c>
      <c r="E44" s="435"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435" t="inlineStr">
        <is>
          <t>农业、林业和其他土地利用</t>
        </is>
      </c>
      <c r="G44" s="435" t="inlineStr">
        <is>
          <t>间接</t>
        </is>
      </c>
      <c r="H44" s="435" t="n">
        <v>1</v>
      </c>
    </row>
    <row r="45" ht="85.5" customHeight="1">
      <c r="A45" s="435" t="inlineStr">
        <is>
          <t>规制工具</t>
        </is>
      </c>
      <c r="B45" s="435" t="inlineStr">
        <is>
          <t>框架性规制</t>
        </is>
      </c>
      <c r="C45" s="435" t="inlineStr">
        <is>
          <t>产能置换</t>
        </is>
      </c>
      <c r="D45" s="435" t="inlineStr">
        <is>
          <t>CAP</t>
        </is>
      </c>
      <c r="E45" s="435"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435" t="inlineStr">
        <is>
          <t>工业</t>
        </is>
      </c>
      <c r="G45" s="435" t="inlineStr">
        <is>
          <t>间接</t>
        </is>
      </c>
      <c r="H45" s="435" t="n">
        <v>3</v>
      </c>
    </row>
    <row r="46" ht="99.75" customHeight="1">
      <c r="A46" s="435" t="inlineStr">
        <is>
          <t>规制工具</t>
        </is>
      </c>
      <c r="B46" s="435" t="inlineStr">
        <is>
          <t>框架性规制</t>
        </is>
      </c>
      <c r="C46" s="435" t="inlineStr">
        <is>
          <t>生态系统保护制度</t>
        </is>
      </c>
      <c r="D46" s="435" t="inlineStr">
        <is>
          <t>ECM</t>
        </is>
      </c>
      <c r="E46" s="435"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435" t="inlineStr">
        <is>
          <t>农业、林业和其他土地利用</t>
        </is>
      </c>
      <c r="G46" s="435" t="inlineStr">
        <is>
          <t>间接</t>
        </is>
      </c>
      <c r="H46" s="435" t="n">
        <v>3</v>
      </c>
    </row>
    <row r="47" ht="128.25" customHeight="1">
      <c r="A47" s="435" t="inlineStr">
        <is>
          <t>规制工具</t>
        </is>
      </c>
      <c r="B47" s="435" t="inlineStr">
        <is>
          <t>框架性规制</t>
        </is>
      </c>
      <c r="C47" s="435" t="inlineStr">
        <is>
          <t>生态保护补偿</t>
        </is>
      </c>
      <c r="D47" s="435" t="inlineStr">
        <is>
          <t>ECO</t>
        </is>
      </c>
      <c r="E47" s="435"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435" t="inlineStr">
        <is>
          <t>农业、林业和其他土地利用</t>
        </is>
      </c>
      <c r="G47" s="435" t="inlineStr">
        <is>
          <t>间接</t>
        </is>
      </c>
      <c r="H47" s="435" t="n">
        <v>1</v>
      </c>
    </row>
    <row r="48" ht="85.5" customHeight="1">
      <c r="A48" s="435" t="inlineStr">
        <is>
          <t>规制工具</t>
        </is>
      </c>
      <c r="B48" s="435" t="inlineStr">
        <is>
          <t>框架性规制</t>
        </is>
      </c>
      <c r="C48" s="435" t="inlineStr">
        <is>
          <t>企业能源管理义务</t>
        </is>
      </c>
      <c r="D48" s="435" t="inlineStr">
        <is>
          <t>EEM</t>
        </is>
      </c>
      <c r="E48" s="435"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435" t="inlineStr">
        <is>
          <t>跨部门</t>
        </is>
      </c>
      <c r="G48" s="435" t="inlineStr">
        <is>
          <t>直接</t>
        </is>
      </c>
      <c r="H48" s="435" t="n">
        <v>1</v>
      </c>
    </row>
    <row r="49" ht="99.75" customHeight="1">
      <c r="A49" s="435" t="inlineStr">
        <is>
          <t>规制工具</t>
        </is>
      </c>
      <c r="B49" s="435" t="inlineStr">
        <is>
          <t>框架性规制</t>
        </is>
      </c>
      <c r="C49" s="435" t="inlineStr">
        <is>
          <t>公共机构能源绩效管理框架</t>
        </is>
      </c>
      <c r="D49" s="435" t="inlineStr">
        <is>
          <t>EPM</t>
        </is>
      </c>
      <c r="E49" s="435"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435" t="inlineStr">
        <is>
          <t>建筑</t>
        </is>
      </c>
      <c r="G49" s="435" t="inlineStr">
        <is>
          <t>直接</t>
        </is>
      </c>
      <c r="H49" s="435" t="n">
        <v>1</v>
      </c>
    </row>
    <row r="50" ht="114" customHeight="1">
      <c r="A50" s="435" t="inlineStr">
        <is>
          <t>规制工具</t>
        </is>
      </c>
      <c r="B50" s="435" t="inlineStr">
        <is>
          <t>框架性规制</t>
        </is>
      </c>
      <c r="C50" s="435" t="inlineStr">
        <is>
          <t>生产者责任延伸</t>
        </is>
      </c>
      <c r="D50" s="435" t="inlineStr">
        <is>
          <t>EPR</t>
        </is>
      </c>
      <c r="E50" s="435"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435" t="inlineStr">
        <is>
          <t>跨部门；废弃物；工业</t>
        </is>
      </c>
      <c r="G50" s="435" t="inlineStr">
        <is>
          <t>间接</t>
        </is>
      </c>
      <c r="H50" s="435" t="n">
        <v>3</v>
      </c>
    </row>
    <row r="51" ht="128.25" customHeight="1">
      <c r="A51" s="435" t="inlineStr">
        <is>
          <t>规制工具</t>
        </is>
      </c>
      <c r="B51" s="435" t="inlineStr">
        <is>
          <t>框架性规制</t>
        </is>
      </c>
      <c r="C51" s="435" t="inlineStr">
        <is>
          <t>生态环境分区管控</t>
        </is>
      </c>
      <c r="D51" s="435" t="inlineStr">
        <is>
          <t>EEZ</t>
        </is>
      </c>
      <c r="E51" s="435"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435" t="inlineStr">
        <is>
          <t>跨部门</t>
        </is>
      </c>
      <c r="G51" s="435" t="inlineStr">
        <is>
          <t>间接</t>
        </is>
      </c>
      <c r="H51" s="435" t="n">
        <v>1</v>
      </c>
    </row>
    <row r="52" ht="114" customHeight="1">
      <c r="A52" s="435" t="inlineStr">
        <is>
          <t>规制工具</t>
        </is>
      </c>
      <c r="B52" s="435" t="inlineStr">
        <is>
          <t>框架性规制</t>
        </is>
      </c>
      <c r="C52" s="435" t="inlineStr">
        <is>
          <t>产业转型治理</t>
        </is>
      </c>
      <c r="D52" s="435" t="inlineStr">
        <is>
          <t>ITG</t>
        </is>
      </c>
      <c r="E52" s="435"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435" t="inlineStr">
        <is>
          <t>跨部门</t>
        </is>
      </c>
      <c r="G52" s="435" t="inlineStr">
        <is>
          <t>直接</t>
        </is>
      </c>
      <c r="H52" s="435" t="n">
        <v>1</v>
      </c>
    </row>
    <row r="53" ht="142.5" customHeight="1">
      <c r="A53" s="435" t="inlineStr">
        <is>
          <t>规制工具</t>
        </is>
      </c>
      <c r="B53" s="435" t="inlineStr">
        <is>
          <t>框架性规制</t>
        </is>
      </c>
      <c r="C53" s="435" t="inlineStr">
        <is>
          <t>排污许可管理</t>
        </is>
      </c>
      <c r="D53" s="435" t="inlineStr">
        <is>
          <t>PDP</t>
        </is>
      </c>
      <c r="E53" s="435"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435" t="inlineStr">
        <is>
          <t>工业</t>
        </is>
      </c>
      <c r="G53" s="435" t="inlineStr">
        <is>
          <t>间接</t>
        </is>
      </c>
      <c r="H53" s="435" t="n">
        <v>1</v>
      </c>
    </row>
    <row r="54" ht="99.75" customHeight="1">
      <c r="A54" s="435" t="inlineStr">
        <is>
          <t>规制工具</t>
        </is>
      </c>
      <c r="B54" s="435" t="inlineStr">
        <is>
          <t>框架性规制</t>
        </is>
      </c>
      <c r="C54" s="435" t="inlineStr">
        <is>
          <t>绿色金融治理框架</t>
        </is>
      </c>
      <c r="D54" s="435" t="inlineStr">
        <is>
          <t>GFG</t>
        </is>
      </c>
      <c r="E54" s="435"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435" t="inlineStr">
        <is>
          <t>跨部门</t>
        </is>
      </c>
      <c r="G54" s="435" t="inlineStr">
        <is>
          <t>间接</t>
        </is>
      </c>
      <c r="H54" s="435" t="n">
        <v>1</v>
      </c>
    </row>
    <row r="55" ht="99.75" customHeight="1">
      <c r="A55" s="435" t="inlineStr">
        <is>
          <t>规制工具</t>
        </is>
      </c>
      <c r="B55" s="435" t="inlineStr">
        <is>
          <t>框架性规制</t>
        </is>
      </c>
      <c r="C55" s="435" t="inlineStr">
        <is>
          <t>生产调度管控</t>
        </is>
      </c>
      <c r="D55" s="435" t="inlineStr">
        <is>
          <t>PSM</t>
        </is>
      </c>
      <c r="E55" s="435"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435" t="inlineStr">
        <is>
          <t>工业</t>
        </is>
      </c>
      <c r="G55" s="435" t="inlineStr">
        <is>
          <t>间接</t>
        </is>
      </c>
      <c r="H55" s="435" t="n">
        <v>1</v>
      </c>
    </row>
    <row r="56" ht="85.5" customHeight="1">
      <c r="A56" s="435" t="inlineStr">
        <is>
          <t>规制工具</t>
        </is>
      </c>
      <c r="B56" s="435" t="inlineStr">
        <is>
          <t>框架性规制</t>
        </is>
      </c>
      <c r="C56" s="435" t="inlineStr">
        <is>
          <t>可再生能源优先调度</t>
        </is>
      </c>
      <c r="D56" s="435" t="inlineStr">
        <is>
          <t>RPD</t>
        </is>
      </c>
      <c r="E56" s="435"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435" t="inlineStr">
        <is>
          <t>能源</t>
        </is>
      </c>
      <c r="G56" s="435" t="inlineStr">
        <is>
          <t>直接</t>
        </is>
      </c>
      <c r="H56" s="435" t="n">
        <v>1</v>
      </c>
    </row>
    <row r="57" ht="85.5" customHeight="1">
      <c r="A57" s="435" t="inlineStr">
        <is>
          <t>规制工具</t>
        </is>
      </c>
      <c r="B57" s="435" t="inlineStr">
        <is>
          <t>框架性规制</t>
        </is>
      </c>
      <c r="C57" s="435" t="inlineStr">
        <is>
          <t>目标责任制度</t>
        </is>
      </c>
      <c r="D57" s="435" t="inlineStr">
        <is>
          <t>TRS</t>
        </is>
      </c>
      <c r="E57" s="435"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435" t="inlineStr">
        <is>
          <t>跨部门</t>
        </is>
      </c>
      <c r="G57" s="435" t="inlineStr">
        <is>
          <t>直接</t>
        </is>
      </c>
      <c r="H57" s="435" t="n">
        <v>4</v>
      </c>
    </row>
    <row r="58" ht="71.25" customHeight="1">
      <c r="A58" s="435" t="inlineStr">
        <is>
          <t>政府投资与消费</t>
        </is>
      </c>
      <c r="B58" s="435" t="inlineStr">
        <is>
          <t>公共投资</t>
        </is>
      </c>
      <c r="C58" s="435" t="inlineStr">
        <is>
          <t>政府资助研发与示范计划</t>
        </is>
      </c>
      <c r="D58" s="435" t="inlineStr">
        <is>
          <t>RDD</t>
        </is>
      </c>
      <c r="E58" s="435"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435" t="inlineStr">
        <is>
          <t>交通；工业；能源；建筑</t>
        </is>
      </c>
      <c r="G58" s="435" t="inlineStr">
        <is>
          <t>直接；间接</t>
        </is>
      </c>
      <c r="H58" s="435" t="n">
        <v>6</v>
      </c>
    </row>
    <row r="59" ht="71.25" customHeight="1">
      <c r="A59" s="435" t="inlineStr">
        <is>
          <t>政府投资与消费</t>
        </is>
      </c>
      <c r="B59" s="435" t="inlineStr">
        <is>
          <t>公共投资</t>
        </is>
      </c>
      <c r="C59" s="435" t="inlineStr">
        <is>
          <t>中央预算内投资</t>
        </is>
      </c>
      <c r="D59" s="435" t="inlineStr">
        <is>
          <t>CBI</t>
        </is>
      </c>
      <c r="E59" s="435"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435" t="inlineStr">
        <is>
          <t>交通；工业；能源；建筑；农业、林业和其他土地利用</t>
        </is>
      </c>
      <c r="G59" s="435" t="inlineStr">
        <is>
          <t>直接；间接</t>
        </is>
      </c>
      <c r="H59" s="435" t="n">
        <v>5</v>
      </c>
    </row>
    <row r="60" ht="57" customHeight="1">
      <c r="A60" s="435" t="inlineStr">
        <is>
          <t>政府投资与消费</t>
        </is>
      </c>
      <c r="B60" s="435" t="inlineStr">
        <is>
          <t>公共投资</t>
        </is>
      </c>
      <c r="C60" s="435" t="inlineStr">
        <is>
          <t>政府投资基金</t>
        </is>
      </c>
      <c r="D60" s="435" t="inlineStr">
        <is>
          <t>GIF</t>
        </is>
      </c>
      <c r="E60" s="435"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435" t="inlineStr">
        <is>
          <t>跨部门</t>
        </is>
      </c>
      <c r="G60" s="435" t="inlineStr">
        <is>
          <t>直接</t>
        </is>
      </c>
      <c r="H60" s="435" t="n">
        <v>1</v>
      </c>
    </row>
    <row r="61" ht="99.75" customHeight="1">
      <c r="A61" s="435" t="inlineStr">
        <is>
          <t>政府投资与消费</t>
        </is>
      </c>
      <c r="B61" s="435" t="inlineStr">
        <is>
          <t>公共采购</t>
        </is>
      </c>
      <c r="C61" s="435" t="inlineStr">
        <is>
          <t>绿色公共采购</t>
        </is>
      </c>
      <c r="D61" s="435" t="inlineStr">
        <is>
          <t>GPP</t>
        </is>
      </c>
      <c r="E61" s="435"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435" t="inlineStr">
        <is>
          <t>工业；建筑；交通</t>
        </is>
      </c>
      <c r="G61" s="435" t="inlineStr">
        <is>
          <t>直接；间接</t>
        </is>
      </c>
      <c r="H61" s="435" t="n">
        <v>6</v>
      </c>
    </row>
    <row r="62" ht="85.5" customHeight="1">
      <c r="A62" s="435" t="inlineStr">
        <is>
          <t>政府投资与消费</t>
        </is>
      </c>
      <c r="B62" s="435" t="inlineStr">
        <is>
          <t>公共评估规则</t>
        </is>
      </c>
      <c r="C62" s="435" t="inlineStr">
        <is>
          <t>战略环境评价</t>
        </is>
      </c>
      <c r="D62" s="435" t="inlineStr">
        <is>
          <t>SEA</t>
        </is>
      </c>
      <c r="E62" s="435"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435" t="inlineStr">
        <is>
          <t>跨部门</t>
        </is>
      </c>
      <c r="G62" s="435" t="inlineStr">
        <is>
          <t>间接</t>
        </is>
      </c>
      <c r="H62" s="435" t="n">
        <v>1</v>
      </c>
    </row>
    <row r="63" ht="71.25" customHeight="1">
      <c r="A63" s="435" t="inlineStr">
        <is>
          <t>政府投资与消费</t>
        </is>
      </c>
      <c r="B63" s="435" t="inlineStr">
        <is>
          <t>公共评估规则</t>
        </is>
      </c>
      <c r="C63" s="435" t="inlineStr">
        <is>
          <t>气候绩效评估考核</t>
        </is>
      </c>
      <c r="D63" s="435" t="inlineStr">
        <is>
          <t>CPA</t>
        </is>
      </c>
      <c r="E63" s="435"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435" t="inlineStr">
        <is>
          <t>跨部门</t>
        </is>
      </c>
      <c r="G63" s="435" t="inlineStr">
        <is>
          <t>间接</t>
        </is>
      </c>
      <c r="H63" s="435" t="n">
        <v>1</v>
      </c>
    </row>
    <row r="64" ht="57" customHeight="1">
      <c r="A64" s="435" t="inlineStr">
        <is>
          <t>政府投资与消费</t>
        </is>
      </c>
      <c r="B64" s="435" t="inlineStr">
        <is>
          <t>公共评估规则</t>
        </is>
      </c>
      <c r="C64" s="435" t="inlineStr">
        <is>
          <t>环境影响评价</t>
        </is>
      </c>
      <c r="D64" s="435" t="inlineStr">
        <is>
          <t>EIA</t>
        </is>
      </c>
      <c r="E64" s="435"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435" t="inlineStr">
        <is>
          <t>跨部门</t>
        </is>
      </c>
      <c r="G64" s="435" t="inlineStr">
        <is>
          <t>间接</t>
        </is>
      </c>
      <c r="H64" s="435" t="n">
        <v>1</v>
      </c>
    </row>
    <row r="65" ht="71.25" customHeight="1">
      <c r="A65" s="435" t="inlineStr">
        <is>
          <t>政府投资与消费</t>
        </is>
      </c>
      <c r="B65" s="435" t="inlineStr">
        <is>
          <t>公共评估规则</t>
        </is>
      </c>
      <c r="C65" s="435" t="inlineStr">
        <is>
          <t>投资项目节能减排评价</t>
        </is>
      </c>
      <c r="D65" s="435" t="inlineStr">
        <is>
          <t>ECR</t>
        </is>
      </c>
      <c r="E65" s="435"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435" t="inlineStr">
        <is>
          <t>跨部门</t>
        </is>
      </c>
      <c r="G65" s="435" t="inlineStr">
        <is>
          <t>直接</t>
        </is>
      </c>
      <c r="H65" s="435" t="n">
        <v>1</v>
      </c>
    </row>
    <row r="66" ht="85.5" customHeight="1">
      <c r="A66" s="435" t="inlineStr">
        <is>
          <t>政府投资与消费</t>
        </is>
      </c>
      <c r="B66" s="435" t="inlineStr">
        <is>
          <t>公共评估规则</t>
        </is>
      </c>
      <c r="C66" s="435" t="inlineStr">
        <is>
          <t>环境合规审计</t>
        </is>
      </c>
      <c r="D66" s="435" t="inlineStr">
        <is>
          <t>ECA</t>
        </is>
      </c>
      <c r="E66" s="435"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435" t="inlineStr">
        <is>
          <t>工业</t>
        </is>
      </c>
      <c r="G66" s="435" t="inlineStr">
        <is>
          <t>间接</t>
        </is>
      </c>
      <c r="H66" s="435" t="n">
        <v>1</v>
      </c>
    </row>
    <row r="67" ht="28.5" customHeight="1">
      <c r="A67" s="435" t="inlineStr">
        <is>
          <t>信息工具</t>
        </is>
      </c>
      <c r="B67" s="435" t="inlineStr">
        <is>
          <t>比较性能效标签</t>
        </is>
      </c>
      <c r="C67" s="435" t="inlineStr">
        <is>
          <t>建筑能效标签</t>
        </is>
      </c>
      <c r="D67" s="435" t="inlineStr">
        <is>
          <t>ELB</t>
        </is>
      </c>
      <c r="E67" s="435" t="inlineStr">
        <is>
          <t>要求市场中的行为主体（不包括政府单位）为投放市场的建筑加贴有关环境绩效、特征或属性的标签。</t>
        </is>
      </c>
      <c r="F67" s="435" t="inlineStr">
        <is>
          <t>建筑</t>
        </is>
      </c>
      <c r="G67" s="435" t="inlineStr">
        <is>
          <t>间接</t>
        </is>
      </c>
      <c r="H67" s="435" t="n">
        <v>1</v>
      </c>
    </row>
    <row r="68" ht="28.5" customHeight="1">
      <c r="A68" s="435" t="inlineStr">
        <is>
          <t>信息工具</t>
        </is>
      </c>
      <c r="B68" s="435" t="inlineStr">
        <is>
          <t>比较性能效标签</t>
        </is>
      </c>
      <c r="C68" s="435" t="inlineStr">
        <is>
          <t>产品和电器能效标签</t>
        </is>
      </c>
      <c r="D68" s="435" t="inlineStr">
        <is>
          <t>ELP</t>
        </is>
      </c>
      <c r="E68" s="435" t="inlineStr">
        <is>
          <t>要求市场中的行为主体（不包括政府单位）为投放市场的产品和电器加贴有关环境绩效、特征或属性的标签。</t>
        </is>
      </c>
      <c r="F68" s="435" t="inlineStr">
        <is>
          <t>工业；建筑；能源</t>
        </is>
      </c>
      <c r="G68" s="435" t="inlineStr">
        <is>
          <t>间接</t>
        </is>
      </c>
      <c r="H68" s="435" t="n">
        <v>1</v>
      </c>
    </row>
    <row r="69" ht="28.5" customHeight="1">
      <c r="A69" s="435" t="inlineStr">
        <is>
          <t>信息工具</t>
        </is>
      </c>
      <c r="B69" s="435" t="inlineStr">
        <is>
          <t>比较性能效标签</t>
        </is>
      </c>
      <c r="C69" s="435" t="inlineStr">
        <is>
          <t>车辆能效标签</t>
        </is>
      </c>
      <c r="D69" s="435" t="inlineStr">
        <is>
          <t>ELV</t>
        </is>
      </c>
      <c r="E69" s="435" t="inlineStr">
        <is>
          <t>要求市场中的行为主体（不包括政府单位）为投放市场的车辆加贴有关环境绩效、特征或属性的标签。</t>
        </is>
      </c>
      <c r="F69" s="435" t="inlineStr">
        <is>
          <t>交通</t>
        </is>
      </c>
      <c r="G69" s="435" t="inlineStr">
        <is>
          <t>间接</t>
        </is>
      </c>
      <c r="H69" s="435" t="n">
        <v>1</v>
      </c>
    </row>
    <row r="70" ht="99.75" customHeight="1">
      <c r="A70" s="435" t="inlineStr">
        <is>
          <t>信息工具</t>
        </is>
      </c>
      <c r="B70" s="435" t="inlineStr">
        <is>
          <t>报告与披露要求</t>
        </is>
      </c>
      <c r="C70" s="435" t="inlineStr">
        <is>
          <t>能源统计与审计</t>
        </is>
      </c>
      <c r="D70" s="435" t="inlineStr">
        <is>
          <t>ESA</t>
        </is>
      </c>
      <c r="E70" s="435"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435" t="inlineStr">
        <is>
          <t>建筑；交通</t>
        </is>
      </c>
      <c r="G70" s="435" t="inlineStr">
        <is>
          <t>间接</t>
        </is>
      </c>
      <c r="H70" s="435" t="n">
        <v>1</v>
      </c>
    </row>
    <row r="71" ht="185.25" customHeight="1">
      <c r="A71" s="435" t="inlineStr">
        <is>
          <t>信息工具</t>
        </is>
      </c>
      <c r="B71" s="435" t="inlineStr">
        <is>
          <t>报告与披露要求</t>
        </is>
      </c>
      <c r="C71" s="435" t="inlineStr">
        <is>
          <t>可持续信息披露</t>
        </is>
      </c>
      <c r="D71" s="435" t="inlineStr">
        <is>
          <t>SID</t>
        </is>
      </c>
      <c r="E71" s="435"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435" t="inlineStr">
        <is>
          <t>跨部门</t>
        </is>
      </c>
      <c r="G71" s="435" t="inlineStr">
        <is>
          <t>间接；直接</t>
        </is>
      </c>
      <c r="H71" s="435" t="n">
        <v>2</v>
      </c>
    </row>
    <row r="72" ht="171" customHeight="1">
      <c r="A72" s="435" t="inlineStr">
        <is>
          <t>信息工具</t>
        </is>
      </c>
      <c r="B72" s="435" t="inlineStr">
        <is>
          <t>报告与披露要求</t>
        </is>
      </c>
      <c r="C72" s="435" t="inlineStr">
        <is>
          <t>温室气体排放报告</t>
        </is>
      </c>
      <c r="D72" s="435" t="inlineStr">
        <is>
          <t>GRV</t>
        </is>
      </c>
      <c r="E72" s="435"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435" t="inlineStr">
        <is>
          <t>能源；工业；交通</t>
        </is>
      </c>
      <c r="G72" s="435" t="inlineStr">
        <is>
          <t>直接</t>
        </is>
      </c>
      <c r="H72" s="435" t="n">
        <v>1</v>
      </c>
    </row>
    <row r="73" ht="128.25" customHeight="1">
      <c r="A73" s="435" t="inlineStr">
        <is>
          <t>信息工具</t>
        </is>
      </c>
      <c r="B73" s="435" t="inlineStr">
        <is>
          <t>报告与披露要求</t>
        </is>
      </c>
      <c r="C73" s="435" t="inlineStr">
        <is>
          <t>绿色金融统计</t>
        </is>
      </c>
      <c r="D73" s="435" t="inlineStr">
        <is>
          <t>GFS</t>
        </is>
      </c>
      <c r="E73" s="435"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435" t="inlineStr">
        <is>
          <t>跨部门</t>
        </is>
      </c>
      <c r="G73" s="435" t="inlineStr">
        <is>
          <t>间接</t>
        </is>
      </c>
      <c r="H73" s="435" t="n">
        <v>2</v>
      </c>
    </row>
    <row r="74" ht="114" customHeight="1">
      <c r="A74" s="435" t="inlineStr">
        <is>
          <t>信息工具</t>
        </is>
      </c>
      <c r="B74" s="435" t="inlineStr">
        <is>
          <t>报告与披露要求</t>
        </is>
      </c>
      <c r="C74" s="435" t="inlineStr">
        <is>
          <t>绿色金融业绩评价</t>
        </is>
      </c>
      <c r="D74" s="435" t="inlineStr">
        <is>
          <t>GFE</t>
        </is>
      </c>
      <c r="E74" s="435"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435" t="inlineStr">
        <is>
          <t>跨部门</t>
        </is>
      </c>
      <c r="G74" s="435" t="inlineStr">
        <is>
          <t>直接</t>
        </is>
      </c>
      <c r="H74" s="435" t="n">
        <v>1</v>
      </c>
    </row>
    <row r="75" ht="156.75" customHeight="1">
      <c r="A75" s="435" t="inlineStr">
        <is>
          <t>信息工具</t>
        </is>
      </c>
      <c r="B75" s="435" t="inlineStr">
        <is>
          <t>能力建设与公众意识</t>
        </is>
      </c>
      <c r="C75" s="435" t="inlineStr">
        <is>
          <t>技术推广目录</t>
        </is>
      </c>
      <c r="D75" s="435" t="inlineStr">
        <is>
          <t>TPC</t>
        </is>
      </c>
      <c r="E75" s="435"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435" t="inlineStr">
        <is>
          <t>工业；跨部门；废弃物</t>
        </is>
      </c>
      <c r="G75" s="435" t="inlineStr">
        <is>
          <t>直接；间接</t>
        </is>
      </c>
      <c r="H75" s="435" t="n">
        <v>5</v>
      </c>
    </row>
    <row r="76" ht="128.25" customHeight="1">
      <c r="A76" s="435" t="inlineStr">
        <is>
          <t>信息工具</t>
        </is>
      </c>
      <c r="B76" s="435" t="inlineStr">
        <is>
          <t>能力建设与公众意识</t>
        </is>
      </c>
      <c r="C76" s="435" t="inlineStr">
        <is>
          <t>产业指导目录</t>
        </is>
      </c>
      <c r="D76" s="435" t="inlineStr">
        <is>
          <t>IGC</t>
        </is>
      </c>
      <c r="E76" s="435"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435" t="inlineStr">
        <is>
          <t>跨部门</t>
        </is>
      </c>
      <c r="G76" s="435" t="inlineStr">
        <is>
          <t>直接</t>
        </is>
      </c>
      <c r="H76" s="435" t="n">
        <v>1</v>
      </c>
    </row>
    <row r="77" ht="128.25" customHeight="1">
      <c r="A77" s="435" t="inlineStr">
        <is>
          <t>信息工具</t>
        </is>
      </c>
      <c r="B77" s="435" t="inlineStr">
        <is>
          <t>能力建设与公众意识</t>
        </is>
      </c>
      <c r="C77" s="435" t="inlineStr">
        <is>
          <t>技术指南</t>
        </is>
      </c>
      <c r="D77" s="435" t="inlineStr">
        <is>
          <t>TGC</t>
        </is>
      </c>
      <c r="E77" s="435"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435" t="inlineStr">
        <is>
          <t>工业；农业、林业和其他土地利用</t>
        </is>
      </c>
      <c r="G77" s="435" t="inlineStr">
        <is>
          <t>直接</t>
        </is>
      </c>
      <c r="H77" s="435" t="n">
        <v>5</v>
      </c>
    </row>
    <row r="78" ht="156.75" customHeight="1">
      <c r="A78" s="435" t="inlineStr">
        <is>
          <t>信息工具</t>
        </is>
      </c>
      <c r="B78" s="435" t="inlineStr">
        <is>
          <t>能力建设与公众意识</t>
        </is>
      </c>
      <c r="C78" s="435" t="inlineStr">
        <is>
          <t>能力建设计划</t>
        </is>
      </c>
      <c r="D78" s="435" t="inlineStr">
        <is>
          <t>CBP</t>
        </is>
      </c>
      <c r="E78" s="435"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435" t="inlineStr">
        <is>
          <t>工业</t>
        </is>
      </c>
      <c r="G78" s="435" t="inlineStr">
        <is>
          <t>直接</t>
        </is>
      </c>
      <c r="H78" s="435" t="n">
        <v>1</v>
      </c>
    </row>
    <row r="79" ht="142.5" customHeight="1">
      <c r="A79" s="435" t="inlineStr">
        <is>
          <t>信息工具</t>
        </is>
      </c>
      <c r="B79" s="435" t="inlineStr">
        <is>
          <t>能力建设与公众意识</t>
        </is>
      </c>
      <c r="C79" s="435" t="inlineStr">
        <is>
          <t>公众宣传教育活动</t>
        </is>
      </c>
      <c r="D79" s="435" t="inlineStr">
        <is>
          <t>PAC</t>
        </is>
      </c>
      <c r="E79" s="435"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435" t="inlineStr">
        <is>
          <t>废弃物；跨部门；交通</t>
        </is>
      </c>
      <c r="G79" s="435" t="inlineStr">
        <is>
          <t>直接</t>
        </is>
      </c>
      <c r="H79" s="435" t="n">
        <v>4</v>
      </c>
    </row>
    <row r="80" ht="128.25" customHeight="1">
      <c r="A80" s="435" t="inlineStr">
        <is>
          <t>信息工具</t>
        </is>
      </c>
      <c r="B80" s="435" t="inlineStr">
        <is>
          <t>能力建设与公众意识</t>
        </is>
      </c>
      <c r="C80" s="435" t="inlineStr">
        <is>
          <t>公民行为规范</t>
        </is>
      </c>
      <c r="D80" s="435" t="inlineStr">
        <is>
          <t>COC</t>
        </is>
      </c>
      <c r="E80" s="435"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435" t="inlineStr">
        <is>
          <t>跨部门</t>
        </is>
      </c>
      <c r="G80" s="435" t="inlineStr">
        <is>
          <t>直接</t>
        </is>
      </c>
      <c r="H80" s="435" t="n">
        <v>1</v>
      </c>
    </row>
    <row r="81" ht="99.75" customHeight="1">
      <c r="A81" s="435" t="inlineStr">
        <is>
          <t>信息工具</t>
        </is>
      </c>
      <c r="B81" s="435" t="inlineStr">
        <is>
          <t>能力建设与公众意识</t>
        </is>
      </c>
      <c r="C81" s="435" t="inlineStr">
        <is>
          <t>职业资格认证</t>
        </is>
      </c>
      <c r="D81" s="435" t="inlineStr">
        <is>
          <t>PCE</t>
        </is>
      </c>
      <c r="E81" s="435"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435" t="inlineStr">
        <is>
          <t>跨部门</t>
        </is>
      </c>
      <c r="G81" s="435" t="inlineStr">
        <is>
          <t>直接</t>
        </is>
      </c>
      <c r="H81" s="435" t="n">
        <v>1</v>
      </c>
    </row>
    <row r="82" ht="128.25" customHeight="1">
      <c r="A82" s="435" t="inlineStr">
        <is>
          <t>信息工具</t>
        </is>
      </c>
      <c r="B82" s="435" t="inlineStr">
        <is>
          <t>能力建设与公众意识</t>
        </is>
      </c>
      <c r="C82" s="435" t="inlineStr">
        <is>
          <t>教育体系建设</t>
        </is>
      </c>
      <c r="D82" s="435" t="inlineStr">
        <is>
          <t>ESI</t>
        </is>
      </c>
      <c r="E82" s="435"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435" t="inlineStr">
        <is>
          <t>跨部门</t>
        </is>
      </c>
      <c r="G82" s="435" t="inlineStr">
        <is>
          <t>直接</t>
        </is>
      </c>
      <c r="H82" s="435" t="n">
        <v>1</v>
      </c>
    </row>
    <row r="83" ht="128.25" customHeight="1">
      <c r="A83" s="435" t="inlineStr">
        <is>
          <t>信息工具</t>
        </is>
      </c>
      <c r="B83" s="435" t="inlineStr">
        <is>
          <t>能力建设与公众意识</t>
        </is>
      </c>
      <c r="C83" s="435" t="inlineStr">
        <is>
          <t>绿色标准体系</t>
        </is>
      </c>
      <c r="D83" s="435" t="inlineStr">
        <is>
          <t>GSS</t>
        </is>
      </c>
      <c r="E83" s="435"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435" t="inlineStr">
        <is>
          <t>工业</t>
        </is>
      </c>
      <c r="G83" s="435" t="inlineStr">
        <is>
          <t>间接</t>
        </is>
      </c>
      <c r="H83" s="435" t="n">
        <v>1</v>
      </c>
    </row>
    <row r="84" ht="142.5" customHeight="1">
      <c r="A84" s="435" t="inlineStr">
        <is>
          <t>自愿措施</t>
        </is>
      </c>
      <c r="B84" s="435" t="inlineStr">
        <is>
          <t>自愿交易体系</t>
        </is>
      </c>
      <c r="C84" s="435" t="inlineStr">
        <is>
          <t>自愿碳市场</t>
        </is>
      </c>
      <c r="D84" s="435" t="inlineStr">
        <is>
          <t>VCM</t>
        </is>
      </c>
      <c r="E84" s="435"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435" t="inlineStr">
        <is>
          <t>农业、林业和其他土地利用；能源；交通；工业；建筑</t>
        </is>
      </c>
      <c r="G84" s="435" t="inlineStr">
        <is>
          <t>直接</t>
        </is>
      </c>
      <c r="H84" s="435" t="n">
        <v>19</v>
      </c>
    </row>
    <row r="85" ht="142.5" customHeight="1">
      <c r="A85" s="435" t="inlineStr">
        <is>
          <t>自愿措施</t>
        </is>
      </c>
      <c r="B85" s="435" t="inlineStr">
        <is>
          <t>自愿性信息工具</t>
        </is>
      </c>
      <c r="C85" s="435" t="inlineStr">
        <is>
          <t>可持续金融分类目录</t>
        </is>
      </c>
      <c r="D85" s="435" t="inlineStr">
        <is>
          <t>SFT</t>
        </is>
      </c>
      <c r="E85" s="435"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435" t="inlineStr">
        <is>
          <t>跨部门</t>
        </is>
      </c>
      <c r="G85" s="435" t="inlineStr">
        <is>
          <t>间接</t>
        </is>
      </c>
      <c r="H85" s="435" t="n">
        <v>1</v>
      </c>
    </row>
    <row r="86" ht="114" customHeight="1">
      <c r="A86" s="435" t="inlineStr">
        <is>
          <t>自愿措施</t>
        </is>
      </c>
      <c r="B86" s="435" t="inlineStr">
        <is>
          <t>自愿性信息工具</t>
        </is>
      </c>
      <c r="C86" s="435" t="inlineStr">
        <is>
          <t>自愿碳中和方法</t>
        </is>
      </c>
      <c r="D86" s="435" t="inlineStr">
        <is>
          <t>VCN</t>
        </is>
      </c>
      <c r="E86" s="435"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435" t="inlineStr">
        <is>
          <t>跨部门</t>
        </is>
      </c>
      <c r="G86" s="435" t="inlineStr">
        <is>
          <t>直接</t>
        </is>
      </c>
      <c r="H86" s="435" t="n">
        <v>1</v>
      </c>
    </row>
    <row r="87" ht="156.75" customHeight="1">
      <c r="A87" s="435" t="inlineStr">
        <is>
          <t>自愿措施</t>
        </is>
      </c>
      <c r="B87" s="435" t="inlineStr">
        <is>
          <t>自愿性信息工具</t>
        </is>
      </c>
      <c r="C87" s="435" t="inlineStr">
        <is>
          <t>自愿性采购指南</t>
        </is>
      </c>
      <c r="D87" s="435" t="inlineStr">
        <is>
          <t>VPG</t>
        </is>
      </c>
      <c r="E87" s="435"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435" t="inlineStr">
        <is>
          <t>跨部门</t>
        </is>
      </c>
      <c r="G87" s="435" t="inlineStr">
        <is>
          <t>直接</t>
        </is>
      </c>
      <c r="H87" s="435" t="n">
        <v>1</v>
      </c>
    </row>
    <row r="88" ht="114" customHeight="1">
      <c r="A88" s="435" t="inlineStr">
        <is>
          <t>自愿措施</t>
        </is>
      </c>
      <c r="B88" s="435" t="inlineStr">
        <is>
          <t>自愿性信息工具</t>
        </is>
      </c>
      <c r="C88" s="435" t="inlineStr">
        <is>
          <t>自愿性认证标识</t>
        </is>
      </c>
      <c r="D88" s="435" t="inlineStr">
        <is>
          <t>VLB</t>
        </is>
      </c>
      <c r="E88" s="435"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435" t="inlineStr">
        <is>
          <t>跨部门；建筑；工业</t>
        </is>
      </c>
      <c r="G88" s="435" t="inlineStr">
        <is>
          <t>直接；间接</t>
        </is>
      </c>
      <c r="H88" s="435" t="n">
        <v>15</v>
      </c>
    </row>
    <row r="89" ht="128.25" customHeight="1">
      <c r="A89" s="435" t="inlineStr">
        <is>
          <t>自愿措施</t>
        </is>
      </c>
      <c r="B89" s="435" t="inlineStr">
        <is>
          <t>自愿性信息工具</t>
        </is>
      </c>
      <c r="C89" s="435" t="inlineStr">
        <is>
          <t>自愿性信息披露</t>
        </is>
      </c>
      <c r="D89" s="435" t="inlineStr">
        <is>
          <t>VID</t>
        </is>
      </c>
      <c r="E89" s="435"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435" t="inlineStr">
        <is>
          <t>跨部门</t>
        </is>
      </c>
      <c r="G89" s="435" t="inlineStr">
        <is>
          <t>间接</t>
        </is>
      </c>
      <c r="H89" s="435" t="n">
        <v>2</v>
      </c>
    </row>
    <row r="90" ht="114" customHeight="1">
      <c r="A90" s="435" t="inlineStr">
        <is>
          <t>自愿措施</t>
        </is>
      </c>
      <c r="B90" s="435" t="inlineStr">
        <is>
          <t>自愿性目标</t>
        </is>
      </c>
      <c r="C90" s="435" t="inlineStr">
        <is>
          <t>自愿性目标</t>
        </is>
      </c>
      <c r="D90" s="435" t="inlineStr">
        <is>
          <t>VTG</t>
        </is>
      </c>
      <c r="E90" s="435"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435" t="inlineStr">
        <is>
          <t>工业；能源</t>
        </is>
      </c>
      <c r="G90" s="435" t="inlineStr">
        <is>
          <t>间接；直接</t>
        </is>
      </c>
      <c r="H90" s="43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2"/>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434" t="inlineStr">
        <is>
          <t>政策工具ID</t>
        </is>
      </c>
      <c r="B1" s="434" t="inlineStr">
        <is>
          <t>路径</t>
        </is>
      </c>
      <c r="C1" s="434" t="inlineStr">
        <is>
          <t>英文工具名称</t>
        </is>
      </c>
      <c r="D1" s="434" t="inlineStr">
        <is>
          <t>本国工具名称</t>
        </is>
      </c>
      <c r="E1" s="434" t="inlineStr">
        <is>
          <t>状态</t>
        </is>
      </c>
      <c r="F1" s="434" t="inlineStr">
        <is>
          <t>生效日期</t>
        </is>
      </c>
      <c r="G1" s="434" t="inlineStr">
        <is>
          <t>终止日期</t>
        </is>
      </c>
      <c r="H1" s="434" t="inlineStr">
        <is>
          <t>减缓相关性</t>
        </is>
      </c>
      <c r="I1" s="434" t="inlineStr">
        <is>
          <t>类别</t>
        </is>
      </c>
      <c r="J1" s="434" t="inlineStr">
        <is>
          <t>组别</t>
        </is>
      </c>
      <c r="K1" s="434" t="inlineStr">
        <is>
          <t>排放部门</t>
        </is>
      </c>
      <c r="L1" s="434" t="inlineStr">
        <is>
          <t>子行业</t>
        </is>
      </c>
      <c r="M1" s="342" t="n"/>
    </row>
    <row r="2" ht="42.75" customHeight="1">
      <c r="A2" s="435">
        <f>'经济工具'!A3</f>
        <v/>
      </c>
      <c r="B2" s="435">
        <f>'经济工具'!D3</f>
        <v/>
      </c>
      <c r="C2" s="435">
        <f>'经济工具'!H3</f>
        <v/>
      </c>
      <c r="D2" s="435">
        <f>'经济工具'!G3</f>
        <v/>
      </c>
      <c r="E2" s="435">
        <f>'经济工具'!U3</f>
        <v/>
      </c>
      <c r="F2" s="435">
        <f>'经济工具'!Q3</f>
        <v/>
      </c>
      <c r="G2" s="435">
        <f>'经济工具'!R3</f>
        <v/>
      </c>
      <c r="H2" s="435">
        <f>'经济工具'!L3</f>
        <v/>
      </c>
      <c r="I2" s="435" t="inlineStr">
        <is>
          <t>经济工具</t>
        </is>
      </c>
      <c r="J2" s="435">
        <f>'经济工具'!C3</f>
        <v/>
      </c>
      <c r="K2" s="435">
        <f>'经济工具'!E3</f>
        <v/>
      </c>
      <c r="L2" s="435">
        <f>'经济工具'!F3</f>
        <v/>
      </c>
      <c r="M2" s="430" t="n"/>
    </row>
    <row r="3" ht="42.75" customHeight="1">
      <c r="A3" s="435">
        <f>'经济工具'!A8</f>
        <v/>
      </c>
      <c r="B3" s="435">
        <f>'经济工具'!D8</f>
        <v/>
      </c>
      <c r="C3" s="435">
        <f>'经济工具'!H8</f>
        <v/>
      </c>
      <c r="D3" s="435">
        <f>'经济工具'!G8</f>
        <v/>
      </c>
      <c r="E3" s="435">
        <f>'经济工具'!U8</f>
        <v/>
      </c>
      <c r="F3" s="435">
        <f>'经济工具'!Q8</f>
        <v/>
      </c>
      <c r="G3" s="435">
        <f>'经济工具'!R8</f>
        <v/>
      </c>
      <c r="H3" s="435">
        <f>'经济工具'!L8</f>
        <v/>
      </c>
      <c r="I3" s="435" t="inlineStr">
        <is>
          <t>经济工具</t>
        </is>
      </c>
      <c r="J3" s="435">
        <f>'经济工具'!C8</f>
        <v/>
      </c>
      <c r="K3" s="435">
        <f>'经济工具'!E8</f>
        <v/>
      </c>
      <c r="L3" s="435">
        <f>'经济工具'!F8</f>
        <v/>
      </c>
      <c r="M3" s="430" t="n"/>
    </row>
    <row r="4" ht="42.75" customHeight="1">
      <c r="A4" s="435">
        <f>'经济工具'!A9</f>
        <v/>
      </c>
      <c r="B4" s="435">
        <f>'经济工具'!D9</f>
        <v/>
      </c>
      <c r="C4" s="435">
        <f>'经济工具'!H9</f>
        <v/>
      </c>
      <c r="D4" s="435">
        <f>'经济工具'!G9</f>
        <v/>
      </c>
      <c r="E4" s="435">
        <f>'经济工具'!U9</f>
        <v/>
      </c>
      <c r="F4" s="435">
        <f>'经济工具'!Q9</f>
        <v/>
      </c>
      <c r="G4" s="435">
        <f>'经济工具'!R9</f>
        <v/>
      </c>
      <c r="H4" s="435">
        <f>'经济工具'!L9</f>
        <v/>
      </c>
      <c r="I4" s="435" t="inlineStr">
        <is>
          <t>经济工具</t>
        </is>
      </c>
      <c r="J4" s="435">
        <f>'经济工具'!C9</f>
        <v/>
      </c>
      <c r="K4" s="435">
        <f>'经济工具'!E9</f>
        <v/>
      </c>
      <c r="L4" s="435">
        <f>'经济工具'!F9</f>
        <v/>
      </c>
      <c r="M4" s="430" t="n"/>
    </row>
    <row r="5" ht="42.75" customHeight="1">
      <c r="A5" s="435">
        <f>'经济工具'!A10</f>
        <v/>
      </c>
      <c r="B5" s="435">
        <f>'经济工具'!D10</f>
        <v/>
      </c>
      <c r="C5" s="435">
        <f>'经济工具'!H10</f>
        <v/>
      </c>
      <c r="D5" s="435">
        <f>'经济工具'!G10</f>
        <v/>
      </c>
      <c r="E5" s="435">
        <f>'经济工具'!U10</f>
        <v/>
      </c>
      <c r="F5" s="435">
        <f>'经济工具'!Q10</f>
        <v/>
      </c>
      <c r="G5" s="435">
        <f>'经济工具'!R10</f>
        <v/>
      </c>
      <c r="H5" s="435">
        <f>'经济工具'!L10</f>
        <v/>
      </c>
      <c r="I5" s="435" t="inlineStr">
        <is>
          <t>经济工具</t>
        </is>
      </c>
      <c r="J5" s="435">
        <f>'经济工具'!C10</f>
        <v/>
      </c>
      <c r="K5" s="435">
        <f>'经济工具'!E10</f>
        <v/>
      </c>
      <c r="L5" s="435">
        <f>'经济工具'!F10</f>
        <v/>
      </c>
      <c r="M5" s="430" t="n"/>
    </row>
    <row r="6" ht="42.75" customHeight="1">
      <c r="A6" s="435">
        <f>'经济工具'!A11</f>
        <v/>
      </c>
      <c r="B6" s="435">
        <f>'经济工具'!D11</f>
        <v/>
      </c>
      <c r="C6" s="435">
        <f>'经济工具'!H11</f>
        <v/>
      </c>
      <c r="D6" s="435">
        <f>'经济工具'!G11</f>
        <v/>
      </c>
      <c r="E6" s="435">
        <f>'经济工具'!U11</f>
        <v/>
      </c>
      <c r="F6" s="435">
        <f>'经济工具'!Q11</f>
        <v/>
      </c>
      <c r="G6" s="435">
        <f>'经济工具'!R11</f>
        <v/>
      </c>
      <c r="H6" s="435">
        <f>'经济工具'!L11</f>
        <v/>
      </c>
      <c r="I6" s="435" t="inlineStr">
        <is>
          <t>经济工具</t>
        </is>
      </c>
      <c r="J6" s="435">
        <f>'经济工具'!C11</f>
        <v/>
      </c>
      <c r="K6" s="435">
        <f>'经济工具'!E11</f>
        <v/>
      </c>
      <c r="L6" s="435">
        <f>'经济工具'!F11</f>
        <v/>
      </c>
      <c r="M6" s="430" t="n"/>
    </row>
    <row r="7" ht="42.75" customHeight="1">
      <c r="A7" s="435">
        <f>'经济工具'!A14</f>
        <v/>
      </c>
      <c r="B7" s="435">
        <f>'经济工具'!D14</f>
        <v/>
      </c>
      <c r="C7" s="435">
        <f>'经济工具'!H14</f>
        <v/>
      </c>
      <c r="D7" s="435">
        <f>'经济工具'!G14</f>
        <v/>
      </c>
      <c r="E7" s="435">
        <f>'经济工具'!U14</f>
        <v/>
      </c>
      <c r="F7" s="435">
        <f>'经济工具'!Q14</f>
        <v/>
      </c>
      <c r="G7" s="435">
        <f>'经济工具'!R14</f>
        <v/>
      </c>
      <c r="H7" s="435">
        <f>'经济工具'!L14</f>
        <v/>
      </c>
      <c r="I7" s="435" t="inlineStr">
        <is>
          <t>经济工具</t>
        </is>
      </c>
      <c r="J7" s="435">
        <f>'经济工具'!C14</f>
        <v/>
      </c>
      <c r="K7" s="435">
        <f>'经济工具'!E14</f>
        <v/>
      </c>
      <c r="L7" s="435">
        <f>'经济工具'!F14</f>
        <v/>
      </c>
      <c r="M7" s="430" t="n"/>
    </row>
    <row r="8" ht="42.75" customHeight="1">
      <c r="A8" s="435">
        <f>'经济工具'!A15</f>
        <v/>
      </c>
      <c r="B8" s="435">
        <f>'经济工具'!D15</f>
        <v/>
      </c>
      <c r="C8" s="435">
        <f>'经济工具'!H15</f>
        <v/>
      </c>
      <c r="D8" s="435">
        <f>'经济工具'!G15</f>
        <v/>
      </c>
      <c r="E8" s="435">
        <f>'经济工具'!U15</f>
        <v/>
      </c>
      <c r="F8" s="435">
        <f>'经济工具'!Q15</f>
        <v/>
      </c>
      <c r="G8" s="435">
        <f>'经济工具'!R15</f>
        <v/>
      </c>
      <c r="H8" s="435">
        <f>'经济工具'!L15</f>
        <v/>
      </c>
      <c r="I8" s="435" t="inlineStr">
        <is>
          <t>经济工具</t>
        </is>
      </c>
      <c r="J8" s="435">
        <f>'经济工具'!C15</f>
        <v/>
      </c>
      <c r="K8" s="435">
        <f>'经济工具'!E15</f>
        <v/>
      </c>
      <c r="L8" s="435">
        <f>'经济工具'!F15</f>
        <v/>
      </c>
      <c r="M8" s="430" t="n"/>
    </row>
    <row r="9" ht="42.75" customHeight="1">
      <c r="A9" s="435">
        <f>'经济工具'!A16</f>
        <v/>
      </c>
      <c r="B9" s="435">
        <f>'经济工具'!D16</f>
        <v/>
      </c>
      <c r="C9" s="435">
        <f>'经济工具'!H16</f>
        <v/>
      </c>
      <c r="D9" s="435">
        <f>'经济工具'!G16</f>
        <v/>
      </c>
      <c r="E9" s="435">
        <f>'经济工具'!U16</f>
        <v/>
      </c>
      <c r="F9" s="435">
        <f>'经济工具'!Q16</f>
        <v/>
      </c>
      <c r="G9" s="435">
        <f>'经济工具'!R16</f>
        <v/>
      </c>
      <c r="H9" s="435">
        <f>'经济工具'!L16</f>
        <v/>
      </c>
      <c r="I9" s="435" t="inlineStr">
        <is>
          <t>经济工具</t>
        </is>
      </c>
      <c r="J9" s="435">
        <f>'经济工具'!C16</f>
        <v/>
      </c>
      <c r="K9" s="435">
        <f>'经济工具'!E16</f>
        <v/>
      </c>
      <c r="L9" s="435">
        <f>'经济工具'!F16</f>
        <v/>
      </c>
      <c r="M9" s="430" t="n"/>
    </row>
    <row r="10" ht="42.75" customHeight="1">
      <c r="A10" s="435">
        <f>'经济工具'!A17</f>
        <v/>
      </c>
      <c r="B10" s="435">
        <f>'经济工具'!D17</f>
        <v/>
      </c>
      <c r="C10" s="435">
        <f>'经济工具'!H17</f>
        <v/>
      </c>
      <c r="D10" s="435">
        <f>'经济工具'!G17</f>
        <v/>
      </c>
      <c r="E10" s="435">
        <f>'经济工具'!U17</f>
        <v/>
      </c>
      <c r="F10" s="435">
        <f>'经济工具'!Q17</f>
        <v/>
      </c>
      <c r="G10" s="435">
        <f>'经济工具'!R17</f>
        <v/>
      </c>
      <c r="H10" s="435">
        <f>'经济工具'!L17</f>
        <v/>
      </c>
      <c r="I10" s="435" t="inlineStr">
        <is>
          <t>经济工具</t>
        </is>
      </c>
      <c r="J10" s="435">
        <f>'经济工具'!C17</f>
        <v/>
      </c>
      <c r="K10" s="435">
        <f>'经济工具'!E17</f>
        <v/>
      </c>
      <c r="L10" s="435">
        <f>'经济工具'!F17</f>
        <v/>
      </c>
      <c r="M10" s="430" t="n"/>
    </row>
    <row r="11" ht="42.75" customHeight="1">
      <c r="A11" s="435">
        <f>'经济工具'!A18</f>
        <v/>
      </c>
      <c r="B11" s="435">
        <f>'经济工具'!D18</f>
        <v/>
      </c>
      <c r="C11" s="435">
        <f>'经济工具'!H18</f>
        <v/>
      </c>
      <c r="D11" s="435">
        <f>'经济工具'!G18</f>
        <v/>
      </c>
      <c r="E11" s="435">
        <f>'经济工具'!U18</f>
        <v/>
      </c>
      <c r="F11" s="435">
        <f>'经济工具'!Q18</f>
        <v/>
      </c>
      <c r="G11" s="435">
        <f>'经济工具'!R18</f>
        <v/>
      </c>
      <c r="H11" s="435">
        <f>'经济工具'!L18</f>
        <v/>
      </c>
      <c r="I11" s="435" t="inlineStr">
        <is>
          <t>经济工具</t>
        </is>
      </c>
      <c r="J11" s="435">
        <f>'经济工具'!C18</f>
        <v/>
      </c>
      <c r="K11" s="435">
        <f>'经济工具'!E18</f>
        <v/>
      </c>
      <c r="L11" s="435">
        <f>'经济工具'!F18</f>
        <v/>
      </c>
      <c r="M11" s="430" t="n"/>
    </row>
    <row r="12" ht="42.75" customHeight="1">
      <c r="A12" s="435">
        <f>'经济工具'!A19</f>
        <v/>
      </c>
      <c r="B12" s="435">
        <f>'经济工具'!D19</f>
        <v/>
      </c>
      <c r="C12" s="435">
        <f>'经济工具'!H19</f>
        <v/>
      </c>
      <c r="D12" s="435">
        <f>'经济工具'!G19</f>
        <v/>
      </c>
      <c r="E12" s="435">
        <f>'经济工具'!U19</f>
        <v/>
      </c>
      <c r="F12" s="435">
        <f>'经济工具'!Q19</f>
        <v/>
      </c>
      <c r="G12" s="435">
        <f>'经济工具'!R19</f>
        <v/>
      </c>
      <c r="H12" s="435">
        <f>'经济工具'!L19</f>
        <v/>
      </c>
      <c r="I12" s="435" t="inlineStr">
        <is>
          <t>经济工具</t>
        </is>
      </c>
      <c r="J12" s="435">
        <f>'经济工具'!C19</f>
        <v/>
      </c>
      <c r="K12" s="435">
        <f>'经济工具'!E19</f>
        <v/>
      </c>
      <c r="L12" s="435">
        <f>'经济工具'!F19</f>
        <v/>
      </c>
      <c r="M12" s="430" t="n"/>
    </row>
    <row r="13" ht="42.75" customHeight="1">
      <c r="A13" s="435">
        <f>'经济工具'!A20</f>
        <v/>
      </c>
      <c r="B13" s="435">
        <f>'经济工具'!D20</f>
        <v/>
      </c>
      <c r="C13" s="435">
        <f>'经济工具'!H20</f>
        <v/>
      </c>
      <c r="D13" s="435">
        <f>'经济工具'!G20</f>
        <v/>
      </c>
      <c r="E13" s="435">
        <f>'经济工具'!U20</f>
        <v/>
      </c>
      <c r="F13" s="435">
        <f>'经济工具'!Q20</f>
        <v/>
      </c>
      <c r="G13" s="435">
        <f>'经济工具'!R20</f>
        <v/>
      </c>
      <c r="H13" s="435">
        <f>'经济工具'!L20</f>
        <v/>
      </c>
      <c r="I13" s="435" t="inlineStr">
        <is>
          <t>经济工具</t>
        </is>
      </c>
      <c r="J13" s="435">
        <f>'经济工具'!C20</f>
        <v/>
      </c>
      <c r="K13" s="435">
        <f>'经济工具'!E20</f>
        <v/>
      </c>
      <c r="L13" s="435">
        <f>'经济工具'!F20</f>
        <v/>
      </c>
      <c r="M13" s="430" t="n"/>
    </row>
    <row r="14" ht="42.75" customHeight="1">
      <c r="A14" s="435">
        <f>'经济工具'!A21</f>
        <v/>
      </c>
      <c r="B14" s="435">
        <f>'经济工具'!D21</f>
        <v/>
      </c>
      <c r="C14" s="435">
        <f>'经济工具'!H21</f>
        <v/>
      </c>
      <c r="D14" s="435">
        <f>'经济工具'!G21</f>
        <v/>
      </c>
      <c r="E14" s="435">
        <f>'经济工具'!U21</f>
        <v/>
      </c>
      <c r="F14" s="435">
        <f>'经济工具'!Q21</f>
        <v/>
      </c>
      <c r="G14" s="435">
        <f>'经济工具'!R21</f>
        <v/>
      </c>
      <c r="H14" s="435">
        <f>'经济工具'!L21</f>
        <v/>
      </c>
      <c r="I14" s="435" t="inlineStr">
        <is>
          <t>经济工具</t>
        </is>
      </c>
      <c r="J14" s="435">
        <f>'经济工具'!C21</f>
        <v/>
      </c>
      <c r="K14" s="435">
        <f>'经济工具'!E21</f>
        <v/>
      </c>
      <c r="L14" s="435">
        <f>'经济工具'!F21</f>
        <v/>
      </c>
      <c r="M14" s="430" t="n"/>
    </row>
    <row r="15" ht="42.75" customHeight="1">
      <c r="A15" s="435">
        <f>'经济工具'!A22</f>
        <v/>
      </c>
      <c r="B15" s="435">
        <f>'经济工具'!D22</f>
        <v/>
      </c>
      <c r="C15" s="435">
        <f>'经济工具'!H22</f>
        <v/>
      </c>
      <c r="D15" s="435">
        <f>'经济工具'!G22</f>
        <v/>
      </c>
      <c r="E15" s="435">
        <f>'经济工具'!U22</f>
        <v/>
      </c>
      <c r="F15" s="435">
        <f>'经济工具'!Q22</f>
        <v/>
      </c>
      <c r="G15" s="435">
        <f>'经济工具'!R22</f>
        <v/>
      </c>
      <c r="H15" s="435">
        <f>'经济工具'!L22</f>
        <v/>
      </c>
      <c r="I15" s="435" t="inlineStr">
        <is>
          <t>经济工具</t>
        </is>
      </c>
      <c r="J15" s="435">
        <f>'经济工具'!C22</f>
        <v/>
      </c>
      <c r="K15" s="435">
        <f>'经济工具'!E22</f>
        <v/>
      </c>
      <c r="L15" s="435">
        <f>'经济工具'!F22</f>
        <v/>
      </c>
      <c r="M15" s="430" t="n"/>
    </row>
    <row r="16" ht="42.75" customHeight="1">
      <c r="A16" s="435">
        <f>'经济工具'!A23</f>
        <v/>
      </c>
      <c r="B16" s="435">
        <f>'经济工具'!D23</f>
        <v/>
      </c>
      <c r="C16" s="435">
        <f>'经济工具'!H23</f>
        <v/>
      </c>
      <c r="D16" s="435">
        <f>'经济工具'!G23</f>
        <v/>
      </c>
      <c r="E16" s="435">
        <f>'经济工具'!U23</f>
        <v/>
      </c>
      <c r="F16" s="435">
        <f>'经济工具'!Q23</f>
        <v/>
      </c>
      <c r="G16" s="435">
        <f>'经济工具'!R23</f>
        <v/>
      </c>
      <c r="H16" s="435">
        <f>'经济工具'!L23</f>
        <v/>
      </c>
      <c r="I16" s="435" t="inlineStr">
        <is>
          <t>经济工具</t>
        </is>
      </c>
      <c r="J16" s="435">
        <f>'经济工具'!C23</f>
        <v/>
      </c>
      <c r="K16" s="435">
        <f>'经济工具'!E23</f>
        <v/>
      </c>
      <c r="L16" s="435">
        <f>'经济工具'!F23</f>
        <v/>
      </c>
      <c r="M16" s="430" t="n"/>
    </row>
    <row r="17" ht="42.75" customHeight="1">
      <c r="A17" s="435">
        <f>'经济工具'!A24</f>
        <v/>
      </c>
      <c r="B17" s="435">
        <f>'经济工具'!D24</f>
        <v/>
      </c>
      <c r="C17" s="435">
        <f>'经济工具'!H24</f>
        <v/>
      </c>
      <c r="D17" s="435">
        <f>'经济工具'!G24</f>
        <v/>
      </c>
      <c r="E17" s="435">
        <f>'经济工具'!U24</f>
        <v/>
      </c>
      <c r="F17" s="435">
        <f>'经济工具'!Q24</f>
        <v/>
      </c>
      <c r="G17" s="435">
        <f>'经济工具'!R24</f>
        <v/>
      </c>
      <c r="H17" s="435">
        <f>'经济工具'!L24</f>
        <v/>
      </c>
      <c r="I17" s="435" t="inlineStr">
        <is>
          <t>经济工具</t>
        </is>
      </c>
      <c r="J17" s="435">
        <f>'经济工具'!C24</f>
        <v/>
      </c>
      <c r="K17" s="435">
        <f>'经济工具'!E24</f>
        <v/>
      </c>
      <c r="L17" s="435">
        <f>'经济工具'!F24</f>
        <v/>
      </c>
      <c r="M17" s="430" t="n"/>
    </row>
    <row r="18" ht="42.75" customHeight="1">
      <c r="A18" s="435">
        <f>'经济工具'!A25</f>
        <v/>
      </c>
      <c r="B18" s="435">
        <f>'经济工具'!D25</f>
        <v/>
      </c>
      <c r="C18" s="435">
        <f>'经济工具'!H25</f>
        <v/>
      </c>
      <c r="D18" s="435">
        <f>'经济工具'!G25</f>
        <v/>
      </c>
      <c r="E18" s="435">
        <f>'经济工具'!U25</f>
        <v/>
      </c>
      <c r="F18" s="435">
        <f>'经济工具'!Q25</f>
        <v/>
      </c>
      <c r="G18" s="435">
        <f>'经济工具'!R25</f>
        <v/>
      </c>
      <c r="H18" s="435">
        <f>'经济工具'!L25</f>
        <v/>
      </c>
      <c r="I18" s="435" t="inlineStr">
        <is>
          <t>经济工具</t>
        </is>
      </c>
      <c r="J18" s="435">
        <f>'经济工具'!C25</f>
        <v/>
      </c>
      <c r="K18" s="435">
        <f>'经济工具'!E25</f>
        <v/>
      </c>
      <c r="L18" s="435">
        <f>'经济工具'!F25</f>
        <v/>
      </c>
      <c r="M18" s="430" t="n"/>
    </row>
    <row r="19" ht="42.75" customHeight="1">
      <c r="A19" s="435">
        <f>'经济工具'!A26</f>
        <v/>
      </c>
      <c r="B19" s="435">
        <f>'经济工具'!D26</f>
        <v/>
      </c>
      <c r="C19" s="435">
        <f>'经济工具'!H26</f>
        <v/>
      </c>
      <c r="D19" s="435">
        <f>'经济工具'!G26</f>
        <v/>
      </c>
      <c r="E19" s="435">
        <f>'经济工具'!U26</f>
        <v/>
      </c>
      <c r="F19" s="435">
        <f>'经济工具'!Q26</f>
        <v/>
      </c>
      <c r="G19" s="435">
        <f>'经济工具'!R26</f>
        <v/>
      </c>
      <c r="H19" s="435">
        <f>'经济工具'!L26</f>
        <v/>
      </c>
      <c r="I19" s="435" t="inlineStr">
        <is>
          <t>经济工具</t>
        </is>
      </c>
      <c r="J19" s="435">
        <f>'经济工具'!C26</f>
        <v/>
      </c>
      <c r="K19" s="435">
        <f>'经济工具'!E26</f>
        <v/>
      </c>
      <c r="L19" s="435">
        <f>'经济工具'!F26</f>
        <v/>
      </c>
      <c r="M19" s="430" t="n"/>
    </row>
    <row r="20" ht="42.75" customHeight="1">
      <c r="A20" s="435">
        <f>'经济工具'!A27</f>
        <v/>
      </c>
      <c r="B20" s="435">
        <f>'经济工具'!D27</f>
        <v/>
      </c>
      <c r="C20" s="435">
        <f>'经济工具'!H27</f>
        <v/>
      </c>
      <c r="D20" s="435">
        <f>'经济工具'!G27</f>
        <v/>
      </c>
      <c r="E20" s="435">
        <f>'经济工具'!U27</f>
        <v/>
      </c>
      <c r="F20" s="435">
        <f>'经济工具'!Q27</f>
        <v/>
      </c>
      <c r="G20" s="435">
        <f>'经济工具'!R27</f>
        <v/>
      </c>
      <c r="H20" s="435">
        <f>'经济工具'!L27</f>
        <v/>
      </c>
      <c r="I20" s="435" t="inlineStr">
        <is>
          <t>经济工具</t>
        </is>
      </c>
      <c r="J20" s="435">
        <f>'经济工具'!C27</f>
        <v/>
      </c>
      <c r="K20" s="435">
        <f>'经济工具'!E27</f>
        <v/>
      </c>
      <c r="L20" s="435">
        <f>'经济工具'!F27</f>
        <v/>
      </c>
      <c r="M20" s="430" t="n"/>
    </row>
    <row r="21" ht="42.75" customHeight="1">
      <c r="A21" s="435">
        <f>'经济工具'!A28</f>
        <v/>
      </c>
      <c r="B21" s="435">
        <f>'经济工具'!D28</f>
        <v/>
      </c>
      <c r="C21" s="435">
        <f>'经济工具'!H28</f>
        <v/>
      </c>
      <c r="D21" s="435">
        <f>'经济工具'!G28</f>
        <v/>
      </c>
      <c r="E21" s="435">
        <f>'经济工具'!U28</f>
        <v/>
      </c>
      <c r="F21" s="435">
        <f>'经济工具'!Q28</f>
        <v/>
      </c>
      <c r="G21" s="435">
        <f>'经济工具'!R28</f>
        <v/>
      </c>
      <c r="H21" s="435">
        <f>'经济工具'!L28</f>
        <v/>
      </c>
      <c r="I21" s="435" t="inlineStr">
        <is>
          <t>经济工具</t>
        </is>
      </c>
      <c r="J21" s="435">
        <f>'经济工具'!C28</f>
        <v/>
      </c>
      <c r="K21" s="435">
        <f>'经济工具'!E28</f>
        <v/>
      </c>
      <c r="L21" s="435">
        <f>'经济工具'!F28</f>
        <v/>
      </c>
      <c r="M21" s="430" t="n"/>
    </row>
    <row r="22" ht="42.75" customHeight="1">
      <c r="A22" s="435">
        <f>'经济工具'!A29</f>
        <v/>
      </c>
      <c r="B22" s="435">
        <f>'经济工具'!D29</f>
        <v/>
      </c>
      <c r="C22" s="435">
        <f>'经济工具'!H29</f>
        <v/>
      </c>
      <c r="D22" s="435">
        <f>'经济工具'!G29</f>
        <v/>
      </c>
      <c r="E22" s="435">
        <f>'经济工具'!U29</f>
        <v/>
      </c>
      <c r="F22" s="435">
        <f>'经济工具'!Q29</f>
        <v/>
      </c>
      <c r="G22" s="435">
        <f>'经济工具'!R29</f>
        <v/>
      </c>
      <c r="H22" s="435">
        <f>'经济工具'!L29</f>
        <v/>
      </c>
      <c r="I22" s="435" t="inlineStr">
        <is>
          <t>经济工具</t>
        </is>
      </c>
      <c r="J22" s="435">
        <f>'经济工具'!C29</f>
        <v/>
      </c>
      <c r="K22" s="435">
        <f>'经济工具'!E29</f>
        <v/>
      </c>
      <c r="L22" s="435">
        <f>'经济工具'!F29</f>
        <v/>
      </c>
      <c r="M22" s="430" t="n"/>
    </row>
    <row r="23" ht="42.75" customHeight="1">
      <c r="A23" s="435">
        <f>'经济工具'!A30</f>
        <v/>
      </c>
      <c r="B23" s="435">
        <f>'经济工具'!D30</f>
        <v/>
      </c>
      <c r="C23" s="435">
        <f>'经济工具'!H30</f>
        <v/>
      </c>
      <c r="D23" s="435">
        <f>'经济工具'!G30</f>
        <v/>
      </c>
      <c r="E23" s="435">
        <f>'经济工具'!U30</f>
        <v/>
      </c>
      <c r="F23" s="435">
        <f>'经济工具'!Q30</f>
        <v/>
      </c>
      <c r="G23" s="435">
        <f>'经济工具'!R30</f>
        <v/>
      </c>
      <c r="H23" s="435">
        <f>'经济工具'!L30</f>
        <v/>
      </c>
      <c r="I23" s="435" t="inlineStr">
        <is>
          <t>经济工具</t>
        </is>
      </c>
      <c r="J23" s="435">
        <f>'经济工具'!C30</f>
        <v/>
      </c>
      <c r="K23" s="435">
        <f>'经济工具'!E30</f>
        <v/>
      </c>
      <c r="L23" s="435">
        <f>'经济工具'!F30</f>
        <v/>
      </c>
      <c r="M23" s="430" t="n"/>
    </row>
    <row r="24" ht="42.75" customHeight="1">
      <c r="A24" s="435">
        <f>'经济工具'!A31</f>
        <v/>
      </c>
      <c r="B24" s="435">
        <f>'经济工具'!D31</f>
        <v/>
      </c>
      <c r="C24" s="435">
        <f>'经济工具'!H31</f>
        <v/>
      </c>
      <c r="D24" s="435">
        <f>'经济工具'!G31</f>
        <v/>
      </c>
      <c r="E24" s="435">
        <f>'经济工具'!U31</f>
        <v/>
      </c>
      <c r="F24" s="435">
        <f>'经济工具'!Q31</f>
        <v/>
      </c>
      <c r="G24" s="435">
        <f>'经济工具'!R31</f>
        <v/>
      </c>
      <c r="H24" s="435">
        <f>'经济工具'!L31</f>
        <v/>
      </c>
      <c r="I24" s="435" t="inlineStr">
        <is>
          <t>经济工具</t>
        </is>
      </c>
      <c r="J24" s="435">
        <f>'经济工具'!C31</f>
        <v/>
      </c>
      <c r="K24" s="435">
        <f>'经济工具'!E31</f>
        <v/>
      </c>
      <c r="L24" s="435">
        <f>'经济工具'!F31</f>
        <v/>
      </c>
      <c r="M24" s="430" t="n"/>
    </row>
    <row r="25" ht="42.75" customHeight="1">
      <c r="A25" s="435">
        <f>'经济工具'!A34</f>
        <v/>
      </c>
      <c r="B25" s="435">
        <f>'经济工具'!D34</f>
        <v/>
      </c>
      <c r="C25" s="435">
        <f>'经济工具'!H34</f>
        <v/>
      </c>
      <c r="D25" s="435">
        <f>'经济工具'!G34</f>
        <v/>
      </c>
      <c r="E25" s="435">
        <f>'经济工具'!U34</f>
        <v/>
      </c>
      <c r="F25" s="435">
        <f>'经济工具'!Q34</f>
        <v/>
      </c>
      <c r="G25" s="435">
        <f>'经济工具'!R34</f>
        <v/>
      </c>
      <c r="H25" s="435">
        <f>'经济工具'!L34</f>
        <v/>
      </c>
      <c r="I25" s="435" t="inlineStr">
        <is>
          <t>经济工具</t>
        </is>
      </c>
      <c r="J25" s="435">
        <f>'经济工具'!C34</f>
        <v/>
      </c>
      <c r="K25" s="435">
        <f>'经济工具'!E34</f>
        <v/>
      </c>
      <c r="L25" s="435">
        <f>'经济工具'!F34</f>
        <v/>
      </c>
      <c r="M25" s="430" t="n"/>
    </row>
    <row r="26" ht="42.75" customHeight="1">
      <c r="A26" s="435">
        <f>'经济工具'!A35</f>
        <v/>
      </c>
      <c r="B26" s="435">
        <f>'经济工具'!D35</f>
        <v/>
      </c>
      <c r="C26" s="435">
        <f>'经济工具'!H35</f>
        <v/>
      </c>
      <c r="D26" s="435">
        <f>'经济工具'!G35</f>
        <v/>
      </c>
      <c r="E26" s="435">
        <f>'经济工具'!U35</f>
        <v/>
      </c>
      <c r="F26" s="435">
        <f>'经济工具'!Q35</f>
        <v/>
      </c>
      <c r="G26" s="435">
        <f>'经济工具'!R35</f>
        <v/>
      </c>
      <c r="H26" s="435">
        <f>'经济工具'!L35</f>
        <v/>
      </c>
      <c r="I26" s="435" t="inlineStr">
        <is>
          <t>经济工具</t>
        </is>
      </c>
      <c r="J26" s="435">
        <f>'经济工具'!C35</f>
        <v/>
      </c>
      <c r="K26" s="435">
        <f>'经济工具'!E35</f>
        <v/>
      </c>
      <c r="L26" s="435">
        <f>'经济工具'!F35</f>
        <v/>
      </c>
      <c r="M26" s="430" t="n"/>
    </row>
    <row r="27" ht="42.75" customHeight="1">
      <c r="A27" s="435">
        <f>'经济工具'!A36</f>
        <v/>
      </c>
      <c r="B27" s="435">
        <f>'经济工具'!D36</f>
        <v/>
      </c>
      <c r="C27" s="435">
        <f>'经济工具'!H36</f>
        <v/>
      </c>
      <c r="D27" s="435">
        <f>'经济工具'!G36</f>
        <v/>
      </c>
      <c r="E27" s="435">
        <f>'经济工具'!U36</f>
        <v/>
      </c>
      <c r="F27" s="435">
        <f>'经济工具'!Q36</f>
        <v/>
      </c>
      <c r="G27" s="435">
        <f>'经济工具'!R36</f>
        <v/>
      </c>
      <c r="H27" s="435">
        <f>'经济工具'!L36</f>
        <v/>
      </c>
      <c r="I27" s="435" t="inlineStr">
        <is>
          <t>经济工具</t>
        </is>
      </c>
      <c r="J27" s="435">
        <f>'经济工具'!C36</f>
        <v/>
      </c>
      <c r="K27" s="435">
        <f>'经济工具'!E36</f>
        <v/>
      </c>
      <c r="L27" s="435">
        <f>'经济工具'!F36</f>
        <v/>
      </c>
      <c r="M27" s="430" t="n"/>
    </row>
    <row r="28" ht="42.75" customHeight="1">
      <c r="A28" s="435">
        <f>'经济工具'!A37</f>
        <v/>
      </c>
      <c r="B28" s="435">
        <f>'经济工具'!D37</f>
        <v/>
      </c>
      <c r="C28" s="435">
        <f>'经济工具'!H37</f>
        <v/>
      </c>
      <c r="D28" s="435">
        <f>'经济工具'!G37</f>
        <v/>
      </c>
      <c r="E28" s="435">
        <f>'经济工具'!U37</f>
        <v/>
      </c>
      <c r="F28" s="435">
        <f>'经济工具'!Q37</f>
        <v/>
      </c>
      <c r="G28" s="435">
        <f>'经济工具'!R37</f>
        <v/>
      </c>
      <c r="H28" s="435">
        <f>'经济工具'!L37</f>
        <v/>
      </c>
      <c r="I28" s="435" t="inlineStr">
        <is>
          <t>经济工具</t>
        </is>
      </c>
      <c r="J28" s="435">
        <f>'经济工具'!C37</f>
        <v/>
      </c>
      <c r="K28" s="435">
        <f>'经济工具'!E37</f>
        <v/>
      </c>
      <c r="L28" s="435">
        <f>'经济工具'!F37</f>
        <v/>
      </c>
      <c r="M28" s="430" t="n"/>
    </row>
    <row r="29" ht="42.75" customHeight="1">
      <c r="A29" s="435">
        <f>'经济工具'!A38</f>
        <v/>
      </c>
      <c r="B29" s="435">
        <f>'经济工具'!D38</f>
        <v/>
      </c>
      <c r="C29" s="435">
        <f>'经济工具'!H38</f>
        <v/>
      </c>
      <c r="D29" s="435">
        <f>'经济工具'!G38</f>
        <v/>
      </c>
      <c r="E29" s="435">
        <f>'经济工具'!U38</f>
        <v/>
      </c>
      <c r="F29" s="435">
        <f>'经济工具'!Q38</f>
        <v/>
      </c>
      <c r="G29" s="435">
        <f>'经济工具'!R38</f>
        <v/>
      </c>
      <c r="H29" s="435">
        <f>'经济工具'!L38</f>
        <v/>
      </c>
      <c r="I29" s="435" t="inlineStr">
        <is>
          <t>经济工具</t>
        </is>
      </c>
      <c r="J29" s="435">
        <f>'经济工具'!C38</f>
        <v/>
      </c>
      <c r="K29" s="435">
        <f>'经济工具'!E38</f>
        <v/>
      </c>
      <c r="L29" s="435">
        <f>'经济工具'!F38</f>
        <v/>
      </c>
      <c r="M29" s="430" t="n"/>
    </row>
    <row r="30" ht="42.75" customHeight="1">
      <c r="A30" s="435">
        <f>'经济工具'!A39</f>
        <v/>
      </c>
      <c r="B30" s="435">
        <f>'经济工具'!D39</f>
        <v/>
      </c>
      <c r="C30" s="435">
        <f>'经济工具'!H39</f>
        <v/>
      </c>
      <c r="D30" s="435">
        <f>'经济工具'!G39</f>
        <v/>
      </c>
      <c r="E30" s="435">
        <f>'经济工具'!U39</f>
        <v/>
      </c>
      <c r="F30" s="435">
        <f>'经济工具'!Q39</f>
        <v/>
      </c>
      <c r="G30" s="435">
        <f>'经济工具'!R39</f>
        <v/>
      </c>
      <c r="H30" s="435">
        <f>'经济工具'!L39</f>
        <v/>
      </c>
      <c r="I30" s="435" t="inlineStr">
        <is>
          <t>经济工具</t>
        </is>
      </c>
      <c r="J30" s="435">
        <f>'经济工具'!C39</f>
        <v/>
      </c>
      <c r="K30" s="435">
        <f>'经济工具'!E39</f>
        <v/>
      </c>
      <c r="L30" s="435">
        <f>'经济工具'!F39</f>
        <v/>
      </c>
      <c r="M30" s="430" t="n"/>
    </row>
    <row r="31" ht="42.75" customHeight="1">
      <c r="A31" s="435">
        <f>'经济工具'!A40</f>
        <v/>
      </c>
      <c r="B31" s="435">
        <f>'经济工具'!D40</f>
        <v/>
      </c>
      <c r="C31" s="435">
        <f>'经济工具'!H40</f>
        <v/>
      </c>
      <c r="D31" s="435">
        <f>'经济工具'!G40</f>
        <v/>
      </c>
      <c r="E31" s="435">
        <f>'经济工具'!U40</f>
        <v/>
      </c>
      <c r="F31" s="435">
        <f>'经济工具'!Q40</f>
        <v/>
      </c>
      <c r="G31" s="435">
        <f>'经济工具'!R40</f>
        <v/>
      </c>
      <c r="H31" s="435">
        <f>'经济工具'!L40</f>
        <v/>
      </c>
      <c r="I31" s="435" t="inlineStr">
        <is>
          <t>经济工具</t>
        </is>
      </c>
      <c r="J31" s="435">
        <f>'经济工具'!C40</f>
        <v/>
      </c>
      <c r="K31" s="435">
        <f>'经济工具'!E40</f>
        <v/>
      </c>
      <c r="L31" s="435">
        <f>'经济工具'!F40</f>
        <v/>
      </c>
      <c r="M31" s="430" t="n"/>
    </row>
    <row r="32" ht="42.75" customHeight="1">
      <c r="A32" s="435">
        <f>'经济工具'!A41</f>
        <v/>
      </c>
      <c r="B32" s="435">
        <f>'经济工具'!D41</f>
        <v/>
      </c>
      <c r="C32" s="435">
        <f>'经济工具'!H41</f>
        <v/>
      </c>
      <c r="D32" s="435">
        <f>'经济工具'!G41</f>
        <v/>
      </c>
      <c r="E32" s="435">
        <f>'经济工具'!U41</f>
        <v/>
      </c>
      <c r="F32" s="435">
        <f>'经济工具'!Q41</f>
        <v/>
      </c>
      <c r="G32" s="435">
        <f>'经济工具'!R41</f>
        <v/>
      </c>
      <c r="H32" s="435">
        <f>'经济工具'!L41</f>
        <v/>
      </c>
      <c r="I32" s="435" t="inlineStr">
        <is>
          <t>经济工具</t>
        </is>
      </c>
      <c r="J32" s="435">
        <f>'经济工具'!C41</f>
        <v/>
      </c>
      <c r="K32" s="435">
        <f>'经济工具'!E41</f>
        <v/>
      </c>
      <c r="L32" s="435">
        <f>'经济工具'!F41</f>
        <v/>
      </c>
      <c r="M32" s="430" t="n"/>
    </row>
    <row r="33" ht="57" customHeight="1">
      <c r="A33" s="435">
        <f>'经济工具'!A42</f>
        <v/>
      </c>
      <c r="B33" s="435">
        <f>'经济工具'!D42</f>
        <v/>
      </c>
      <c r="C33" s="435">
        <f>'经济工具'!H42</f>
        <v/>
      </c>
      <c r="D33" s="435">
        <f>'经济工具'!G42</f>
        <v/>
      </c>
      <c r="E33" s="435">
        <f>'经济工具'!U42</f>
        <v/>
      </c>
      <c r="F33" s="435">
        <f>'经济工具'!Q42</f>
        <v/>
      </c>
      <c r="G33" s="435">
        <f>'经济工具'!R42</f>
        <v/>
      </c>
      <c r="H33" s="435">
        <f>'经济工具'!L42</f>
        <v/>
      </c>
      <c r="I33" s="435" t="inlineStr">
        <is>
          <t>经济工具</t>
        </is>
      </c>
      <c r="J33" s="435">
        <f>'经济工具'!C42</f>
        <v/>
      </c>
      <c r="K33" s="435">
        <f>'经济工具'!E42</f>
        <v/>
      </c>
      <c r="L33" s="435">
        <f>'经济工具'!F42</f>
        <v/>
      </c>
      <c r="M33" s="430" t="n"/>
    </row>
    <row r="34" ht="114" customHeight="1">
      <c r="A34" s="435">
        <f>'经济工具'!A43</f>
        <v/>
      </c>
      <c r="B34" s="435">
        <f>'经济工具'!D43</f>
        <v/>
      </c>
      <c r="C34" s="435">
        <f>'经济工具'!H43</f>
        <v/>
      </c>
      <c r="D34" s="435">
        <f>'经济工具'!G43</f>
        <v/>
      </c>
      <c r="E34" s="435">
        <f>'经济工具'!U43</f>
        <v/>
      </c>
      <c r="F34" s="435">
        <f>'经济工具'!Q43</f>
        <v/>
      </c>
      <c r="G34" s="435">
        <f>'经济工具'!R43</f>
        <v/>
      </c>
      <c r="H34" s="435">
        <f>'经济工具'!L43</f>
        <v/>
      </c>
      <c r="I34" s="435" t="inlineStr">
        <is>
          <t>经济工具</t>
        </is>
      </c>
      <c r="J34" s="435">
        <f>'经济工具'!C43</f>
        <v/>
      </c>
      <c r="K34" s="435">
        <f>'经济工具'!E43</f>
        <v/>
      </c>
      <c r="L34" s="435">
        <f>'经济工具'!F43</f>
        <v/>
      </c>
      <c r="M34" s="430" t="n"/>
    </row>
    <row r="35" ht="57" customHeight="1">
      <c r="A35" s="435">
        <f>'经济工具'!A44</f>
        <v/>
      </c>
      <c r="B35" s="435">
        <f>'经济工具'!D44</f>
        <v/>
      </c>
      <c r="C35" s="435">
        <f>'经济工具'!H44</f>
        <v/>
      </c>
      <c r="D35" s="435">
        <f>'经济工具'!G44</f>
        <v/>
      </c>
      <c r="E35" s="435">
        <f>'经济工具'!U44</f>
        <v/>
      </c>
      <c r="F35" s="435">
        <f>'经济工具'!Q44</f>
        <v/>
      </c>
      <c r="G35" s="435">
        <f>'经济工具'!R44</f>
        <v/>
      </c>
      <c r="H35" s="435">
        <f>'经济工具'!L44</f>
        <v/>
      </c>
      <c r="I35" s="435" t="inlineStr">
        <is>
          <t>经济工具</t>
        </is>
      </c>
      <c r="J35" s="435">
        <f>'经济工具'!C44</f>
        <v/>
      </c>
      <c r="K35" s="435">
        <f>'经济工具'!E44</f>
        <v/>
      </c>
      <c r="L35" s="435">
        <f>'经济工具'!F44</f>
        <v/>
      </c>
      <c r="M35" s="430" t="n"/>
    </row>
    <row r="36" ht="71.25" customHeight="1">
      <c r="A36" s="435">
        <f>'经济工具'!A45</f>
        <v/>
      </c>
      <c r="B36" s="435">
        <f>'经济工具'!D45</f>
        <v/>
      </c>
      <c r="C36" s="435">
        <f>'经济工具'!H45</f>
        <v/>
      </c>
      <c r="D36" s="435">
        <f>'经济工具'!G45</f>
        <v/>
      </c>
      <c r="E36" s="435">
        <f>'经济工具'!U45</f>
        <v/>
      </c>
      <c r="F36" s="435">
        <f>'经济工具'!Q45</f>
        <v/>
      </c>
      <c r="G36" s="435">
        <f>'经济工具'!R45</f>
        <v/>
      </c>
      <c r="H36" s="435">
        <f>'经济工具'!L45</f>
        <v/>
      </c>
      <c r="I36" s="435" t="inlineStr">
        <is>
          <t>经济工具</t>
        </is>
      </c>
      <c r="J36" s="435">
        <f>'经济工具'!C45</f>
        <v/>
      </c>
      <c r="K36" s="435">
        <f>'经济工具'!E45</f>
        <v/>
      </c>
      <c r="L36" s="435">
        <f>'经济工具'!F45</f>
        <v/>
      </c>
      <c r="M36" s="430" t="n"/>
    </row>
    <row r="37" ht="57" customHeight="1">
      <c r="A37" s="435">
        <f>'经济工具'!A46</f>
        <v/>
      </c>
      <c r="B37" s="435">
        <f>'经济工具'!D46</f>
        <v/>
      </c>
      <c r="C37" s="435">
        <f>'经济工具'!H46</f>
        <v/>
      </c>
      <c r="D37" s="435">
        <f>'经济工具'!G46</f>
        <v/>
      </c>
      <c r="E37" s="435">
        <f>'经济工具'!U46</f>
        <v/>
      </c>
      <c r="F37" s="435">
        <f>'经济工具'!Q46</f>
        <v/>
      </c>
      <c r="G37" s="435">
        <f>'经济工具'!R46</f>
        <v/>
      </c>
      <c r="H37" s="435">
        <f>'经济工具'!L46</f>
        <v/>
      </c>
      <c r="I37" s="435" t="inlineStr">
        <is>
          <t>经济工具</t>
        </is>
      </c>
      <c r="J37" s="435">
        <f>'经济工具'!C46</f>
        <v/>
      </c>
      <c r="K37" s="435">
        <f>'经济工具'!E46</f>
        <v/>
      </c>
      <c r="L37" s="435">
        <f>'经济工具'!F46</f>
        <v/>
      </c>
      <c r="M37" s="430" t="n"/>
    </row>
    <row r="38" ht="57" customHeight="1">
      <c r="A38" s="435">
        <f>'经济工具'!A47</f>
        <v/>
      </c>
      <c r="B38" s="435">
        <f>'经济工具'!D47</f>
        <v/>
      </c>
      <c r="C38" s="435">
        <f>'经济工具'!H47</f>
        <v/>
      </c>
      <c r="D38" s="435">
        <f>'经济工具'!G47</f>
        <v/>
      </c>
      <c r="E38" s="435">
        <f>'经济工具'!U47</f>
        <v/>
      </c>
      <c r="F38" s="435">
        <f>'经济工具'!Q47</f>
        <v/>
      </c>
      <c r="G38" s="435">
        <f>'经济工具'!R47</f>
        <v/>
      </c>
      <c r="H38" s="435">
        <f>'经济工具'!L47</f>
        <v/>
      </c>
      <c r="I38" s="435" t="inlineStr">
        <is>
          <t>经济工具</t>
        </is>
      </c>
      <c r="J38" s="435">
        <f>'经济工具'!C47</f>
        <v/>
      </c>
      <c r="K38" s="435">
        <f>'经济工具'!E47</f>
        <v/>
      </c>
      <c r="L38" s="435">
        <f>'经济工具'!F47</f>
        <v/>
      </c>
      <c r="M38" s="430" t="n"/>
    </row>
    <row r="39" ht="71.25" customHeight="1">
      <c r="A39" s="435">
        <f>'经济工具'!A48</f>
        <v/>
      </c>
      <c r="B39" s="435">
        <f>'经济工具'!D48</f>
        <v/>
      </c>
      <c r="C39" s="435">
        <f>'经济工具'!H48</f>
        <v/>
      </c>
      <c r="D39" s="435">
        <f>'经济工具'!G48</f>
        <v/>
      </c>
      <c r="E39" s="435">
        <f>'经济工具'!U48</f>
        <v/>
      </c>
      <c r="F39" s="435">
        <f>'经济工具'!Q48</f>
        <v/>
      </c>
      <c r="G39" s="435">
        <f>'经济工具'!R48</f>
        <v/>
      </c>
      <c r="H39" s="435">
        <f>'经济工具'!L48</f>
        <v/>
      </c>
      <c r="I39" s="435" t="inlineStr">
        <is>
          <t>经济工具</t>
        </is>
      </c>
      <c r="J39" s="435">
        <f>'经济工具'!C48</f>
        <v/>
      </c>
      <c r="K39" s="435">
        <f>'经济工具'!E48</f>
        <v/>
      </c>
      <c r="L39" s="435">
        <f>'经济工具'!F48</f>
        <v/>
      </c>
      <c r="M39" s="430" t="n"/>
    </row>
    <row r="40" ht="71.25" customHeight="1">
      <c r="A40" s="435">
        <f>'经济工具'!A49</f>
        <v/>
      </c>
      <c r="B40" s="435">
        <f>'经济工具'!D49</f>
        <v/>
      </c>
      <c r="C40" s="435">
        <f>'经济工具'!H49</f>
        <v/>
      </c>
      <c r="D40" s="435">
        <f>'经济工具'!G49</f>
        <v/>
      </c>
      <c r="E40" s="435">
        <f>'经济工具'!U49</f>
        <v/>
      </c>
      <c r="F40" s="435">
        <f>'经济工具'!Q49</f>
        <v/>
      </c>
      <c r="G40" s="435">
        <f>'经济工具'!R49</f>
        <v/>
      </c>
      <c r="H40" s="435">
        <f>'经济工具'!L49</f>
        <v/>
      </c>
      <c r="I40" s="435" t="inlineStr">
        <is>
          <t>经济工具</t>
        </is>
      </c>
      <c r="J40" s="435">
        <f>'经济工具'!C49</f>
        <v/>
      </c>
      <c r="K40" s="435">
        <f>'经济工具'!E49</f>
        <v/>
      </c>
      <c r="L40" s="435">
        <f>'经济工具'!F49</f>
        <v/>
      </c>
      <c r="M40" s="430" t="n"/>
    </row>
    <row r="41" ht="57" customHeight="1">
      <c r="A41" s="435">
        <f>'经济工具'!A50</f>
        <v/>
      </c>
      <c r="B41" s="435">
        <f>'经济工具'!D50</f>
        <v/>
      </c>
      <c r="C41" s="435">
        <f>'经济工具'!H50</f>
        <v/>
      </c>
      <c r="D41" s="435">
        <f>'经济工具'!G50</f>
        <v/>
      </c>
      <c r="E41" s="435">
        <f>'经济工具'!U50</f>
        <v/>
      </c>
      <c r="F41" s="435">
        <f>'经济工具'!Q50</f>
        <v/>
      </c>
      <c r="G41" s="435">
        <f>'经济工具'!R50</f>
        <v/>
      </c>
      <c r="H41" s="435">
        <f>'经济工具'!L50</f>
        <v/>
      </c>
      <c r="I41" s="435" t="inlineStr">
        <is>
          <t>经济工具</t>
        </is>
      </c>
      <c r="J41" s="435">
        <f>'经济工具'!C50</f>
        <v/>
      </c>
      <c r="K41" s="435">
        <f>'经济工具'!E50</f>
        <v/>
      </c>
      <c r="L41" s="435">
        <f>'经济工具'!F50</f>
        <v/>
      </c>
      <c r="M41" s="430" t="n"/>
    </row>
    <row r="42" ht="85.5" customHeight="1">
      <c r="A42" s="435">
        <f>'经济工具'!A51</f>
        <v/>
      </c>
      <c r="B42" s="435">
        <f>'经济工具'!D51</f>
        <v/>
      </c>
      <c r="C42" s="435">
        <f>'经济工具'!H51</f>
        <v/>
      </c>
      <c r="D42" s="435">
        <f>'经济工具'!G51</f>
        <v/>
      </c>
      <c r="E42" s="435">
        <f>'经济工具'!U51</f>
        <v/>
      </c>
      <c r="F42" s="435">
        <f>'经济工具'!Q51</f>
        <v/>
      </c>
      <c r="G42" s="435">
        <f>'经济工具'!R51</f>
        <v/>
      </c>
      <c r="H42" s="435">
        <f>'经济工具'!L51</f>
        <v/>
      </c>
      <c r="I42" s="435" t="inlineStr">
        <is>
          <t>经济工具</t>
        </is>
      </c>
      <c r="J42" s="435">
        <f>'经济工具'!C51</f>
        <v/>
      </c>
      <c r="K42" s="435">
        <f>'经济工具'!E51</f>
        <v/>
      </c>
      <c r="L42" s="435">
        <f>'经济工具'!F51</f>
        <v/>
      </c>
      <c r="M42" s="430" t="n"/>
    </row>
    <row r="43" ht="114" customHeight="1">
      <c r="A43" s="435">
        <f>'经济工具'!A52</f>
        <v/>
      </c>
      <c r="B43" s="435">
        <f>'经济工具'!D52</f>
        <v/>
      </c>
      <c r="C43" s="435">
        <f>'经济工具'!H52</f>
        <v/>
      </c>
      <c r="D43" s="435">
        <f>'经济工具'!G52</f>
        <v/>
      </c>
      <c r="E43" s="435">
        <f>'经济工具'!U52</f>
        <v/>
      </c>
      <c r="F43" s="435">
        <f>'经济工具'!Q52</f>
        <v/>
      </c>
      <c r="G43" s="435">
        <f>'经济工具'!R52</f>
        <v/>
      </c>
      <c r="H43" s="435">
        <f>'经济工具'!L52</f>
        <v/>
      </c>
      <c r="I43" s="435" t="inlineStr">
        <is>
          <t>经济工具</t>
        </is>
      </c>
      <c r="J43" s="435">
        <f>'经济工具'!C52</f>
        <v/>
      </c>
      <c r="K43" s="435">
        <f>'经济工具'!E52</f>
        <v/>
      </c>
      <c r="L43" s="435">
        <f>'经济工具'!F52</f>
        <v/>
      </c>
      <c r="M43" s="430" t="n"/>
    </row>
    <row r="44" ht="85.5" customHeight="1">
      <c r="A44" s="435">
        <f>'经济工具'!A53</f>
        <v/>
      </c>
      <c r="B44" s="435">
        <f>'经济工具'!D53</f>
        <v/>
      </c>
      <c r="C44" s="435">
        <f>'经济工具'!H53</f>
        <v/>
      </c>
      <c r="D44" s="435">
        <f>'经济工具'!G53</f>
        <v/>
      </c>
      <c r="E44" s="435">
        <f>'经济工具'!U53</f>
        <v/>
      </c>
      <c r="F44" s="435">
        <f>'经济工具'!Q53</f>
        <v/>
      </c>
      <c r="G44" s="435">
        <f>'经济工具'!R53</f>
        <v/>
      </c>
      <c r="H44" s="435">
        <f>'经济工具'!L53</f>
        <v/>
      </c>
      <c r="I44" s="435" t="inlineStr">
        <is>
          <t>经济工具</t>
        </is>
      </c>
      <c r="J44" s="435">
        <f>'经济工具'!C53</f>
        <v/>
      </c>
      <c r="K44" s="435">
        <f>'经济工具'!E53</f>
        <v/>
      </c>
      <c r="L44" s="435">
        <f>'经济工具'!F53</f>
        <v/>
      </c>
      <c r="M44" s="430" t="n"/>
    </row>
    <row r="45" ht="85.5" customHeight="1">
      <c r="A45" s="435">
        <f>'经济工具'!A56</f>
        <v/>
      </c>
      <c r="B45" s="435">
        <f>'经济工具'!D56</f>
        <v/>
      </c>
      <c r="C45" s="435">
        <f>'经济工具'!H56</f>
        <v/>
      </c>
      <c r="D45" s="435">
        <f>'经济工具'!G56</f>
        <v/>
      </c>
      <c r="E45" s="435">
        <f>'经济工具'!U56</f>
        <v/>
      </c>
      <c r="F45" s="435">
        <f>'经济工具'!Q56</f>
        <v/>
      </c>
      <c r="G45" s="435">
        <f>'经济工具'!R56</f>
        <v/>
      </c>
      <c r="H45" s="435">
        <f>'经济工具'!L56</f>
        <v/>
      </c>
      <c r="I45" s="435" t="inlineStr">
        <is>
          <t>经济工具</t>
        </is>
      </c>
      <c r="J45" s="435">
        <f>'经济工具'!C56</f>
        <v/>
      </c>
      <c r="K45" s="435">
        <f>'经济工具'!E56</f>
        <v/>
      </c>
      <c r="L45" s="435">
        <f>'经济工具'!F56</f>
        <v/>
      </c>
      <c r="M45" s="430" t="n"/>
    </row>
    <row r="46" ht="57" customHeight="1">
      <c r="A46" s="435">
        <f>'经济工具'!A57</f>
        <v/>
      </c>
      <c r="B46" s="435">
        <f>'经济工具'!D57</f>
        <v/>
      </c>
      <c r="C46" s="435">
        <f>'经济工具'!H57</f>
        <v/>
      </c>
      <c r="D46" s="435">
        <f>'经济工具'!G57</f>
        <v/>
      </c>
      <c r="E46" s="435">
        <f>'经济工具'!U57</f>
        <v/>
      </c>
      <c r="F46" s="435">
        <f>'经济工具'!Q57</f>
        <v/>
      </c>
      <c r="G46" s="435">
        <f>'经济工具'!R57</f>
        <v/>
      </c>
      <c r="H46" s="435">
        <f>'经济工具'!L57</f>
        <v/>
      </c>
      <c r="I46" s="435" t="inlineStr">
        <is>
          <t>经济工具</t>
        </is>
      </c>
      <c r="J46" s="435">
        <f>'经济工具'!C57</f>
        <v/>
      </c>
      <c r="K46" s="435">
        <f>'经济工具'!E57</f>
        <v/>
      </c>
      <c r="L46" s="435">
        <f>'经济工具'!F57</f>
        <v/>
      </c>
      <c r="M46" s="430" t="n"/>
    </row>
    <row r="47" ht="71.25" customHeight="1">
      <c r="A47" s="435">
        <f>'经济工具'!A62</f>
        <v/>
      </c>
      <c r="B47" s="435">
        <f>'经济工具'!D62</f>
        <v/>
      </c>
      <c r="C47" s="435">
        <f>'经济工具'!H62</f>
        <v/>
      </c>
      <c r="D47" s="435">
        <f>'经济工具'!G62</f>
        <v/>
      </c>
      <c r="E47" s="435">
        <f>'经济工具'!U62</f>
        <v/>
      </c>
      <c r="F47" s="435">
        <f>'经济工具'!Q62</f>
        <v/>
      </c>
      <c r="G47" s="435">
        <f>'经济工具'!R62</f>
        <v/>
      </c>
      <c r="H47" s="435">
        <f>'经济工具'!L62</f>
        <v/>
      </c>
      <c r="I47" s="435" t="inlineStr">
        <is>
          <t>经济工具</t>
        </is>
      </c>
      <c r="J47" s="435">
        <f>'经济工具'!C62</f>
        <v/>
      </c>
      <c r="K47" s="435">
        <f>'经济工具'!E62</f>
        <v/>
      </c>
      <c r="L47" s="435">
        <f>'经济工具'!F62</f>
        <v/>
      </c>
      <c r="M47" s="430" t="n"/>
    </row>
    <row r="48" ht="156.75" customHeight="1">
      <c r="A48" s="435">
        <f>'经济工具'!A63</f>
        <v/>
      </c>
      <c r="B48" s="435">
        <f>'经济工具'!D63</f>
        <v/>
      </c>
      <c r="C48" s="435">
        <f>'经济工具'!H63</f>
        <v/>
      </c>
      <c r="D48" s="435">
        <f>'经济工具'!G63</f>
        <v/>
      </c>
      <c r="E48" s="435">
        <f>'经济工具'!U63</f>
        <v/>
      </c>
      <c r="F48" s="435">
        <f>'经济工具'!Q63</f>
        <v/>
      </c>
      <c r="G48" s="435">
        <f>'经济工具'!R63</f>
        <v/>
      </c>
      <c r="H48" s="435">
        <f>'经济工具'!L63</f>
        <v/>
      </c>
      <c r="I48" s="435" t="inlineStr">
        <is>
          <t>经济工具</t>
        </is>
      </c>
      <c r="J48" s="435">
        <f>'经济工具'!C63</f>
        <v/>
      </c>
      <c r="K48" s="435">
        <f>'经济工具'!E63</f>
        <v/>
      </c>
      <c r="L48" s="435">
        <f>'经济工具'!F63</f>
        <v/>
      </c>
      <c r="M48" s="430" t="n"/>
    </row>
    <row r="49" ht="85.5" customHeight="1">
      <c r="A49" s="435">
        <f>'规制工具'!A3</f>
        <v/>
      </c>
      <c r="B49" s="435">
        <f>'规制工具'!D3</f>
        <v/>
      </c>
      <c r="C49" s="435">
        <f>'规制工具'!H3</f>
        <v/>
      </c>
      <c r="D49" s="435">
        <f>'规制工具'!G3</f>
        <v/>
      </c>
      <c r="E49" s="435">
        <f>'规制工具'!U3</f>
        <v/>
      </c>
      <c r="F49" s="435">
        <f>'规制工具'!Q3</f>
        <v/>
      </c>
      <c r="G49" s="435">
        <f>'规制工具'!R3</f>
        <v/>
      </c>
      <c r="H49" s="435">
        <f>'规制工具'!L3</f>
        <v/>
      </c>
      <c r="I49" s="435" t="inlineStr">
        <is>
          <t>规制工具</t>
        </is>
      </c>
      <c r="J49" s="435">
        <f>'规制工具'!C3</f>
        <v/>
      </c>
      <c r="K49" s="435">
        <f>'规制工具'!E3</f>
        <v/>
      </c>
      <c r="L49" s="435">
        <f>'规制工具'!F3</f>
        <v/>
      </c>
      <c r="M49" s="430" t="n"/>
    </row>
    <row r="50" ht="142.5" customHeight="1">
      <c r="A50" s="435">
        <f>'规制工具'!A4</f>
        <v/>
      </c>
      <c r="B50" s="435">
        <f>'规制工具'!D4</f>
        <v/>
      </c>
      <c r="C50" s="435">
        <f>'规制工具'!H4</f>
        <v/>
      </c>
      <c r="D50" s="435">
        <f>'规制工具'!G4</f>
        <v/>
      </c>
      <c r="E50" s="435">
        <f>'规制工具'!U4</f>
        <v/>
      </c>
      <c r="F50" s="435">
        <f>'规制工具'!Q4</f>
        <v/>
      </c>
      <c r="G50" s="435">
        <f>'规制工具'!R4</f>
        <v/>
      </c>
      <c r="H50" s="435">
        <f>'规制工具'!L4</f>
        <v/>
      </c>
      <c r="I50" s="435" t="inlineStr">
        <is>
          <t>规制工具</t>
        </is>
      </c>
      <c r="J50" s="435">
        <f>'规制工具'!C4</f>
        <v/>
      </c>
      <c r="K50" s="435">
        <f>'规制工具'!E4</f>
        <v/>
      </c>
      <c r="L50" s="435">
        <f>'规制工具'!F4</f>
        <v/>
      </c>
      <c r="M50" s="430" t="n"/>
    </row>
    <row r="51" ht="114" customHeight="1">
      <c r="A51" s="435">
        <f>'规制工具'!A5</f>
        <v/>
      </c>
      <c r="B51" s="435">
        <f>'规制工具'!D5</f>
        <v/>
      </c>
      <c r="C51" s="435">
        <f>'规制工具'!H5</f>
        <v/>
      </c>
      <c r="D51" s="435">
        <f>'规制工具'!G5</f>
        <v/>
      </c>
      <c r="E51" s="435">
        <f>'规制工具'!U5</f>
        <v/>
      </c>
      <c r="F51" s="435">
        <f>'规制工具'!Q5</f>
        <v/>
      </c>
      <c r="G51" s="435">
        <f>'规制工具'!R5</f>
        <v/>
      </c>
      <c r="H51" s="435">
        <f>'规制工具'!L5</f>
        <v/>
      </c>
      <c r="I51" s="435" t="inlineStr">
        <is>
          <t>规制工具</t>
        </is>
      </c>
      <c r="J51" s="435">
        <f>'规制工具'!C5</f>
        <v/>
      </c>
      <c r="K51" s="435">
        <f>'规制工具'!E5</f>
        <v/>
      </c>
      <c r="L51" s="435">
        <f>'规制工具'!F5</f>
        <v/>
      </c>
      <c r="M51" s="430" t="n"/>
    </row>
    <row r="52" ht="156.75" customHeight="1">
      <c r="A52" s="435">
        <f>'规制工具'!A6</f>
        <v/>
      </c>
      <c r="B52" s="435">
        <f>'规制工具'!D6</f>
        <v/>
      </c>
      <c r="C52" s="435">
        <f>'规制工具'!H6</f>
        <v/>
      </c>
      <c r="D52" s="435">
        <f>'规制工具'!G6</f>
        <v/>
      </c>
      <c r="E52" s="435">
        <f>'规制工具'!U6</f>
        <v/>
      </c>
      <c r="F52" s="435">
        <f>'规制工具'!Q6</f>
        <v/>
      </c>
      <c r="G52" s="435">
        <f>'规制工具'!R6</f>
        <v/>
      </c>
      <c r="H52" s="435">
        <f>'规制工具'!L6</f>
        <v/>
      </c>
      <c r="I52" s="435" t="inlineStr">
        <is>
          <t>规制工具</t>
        </is>
      </c>
      <c r="J52" s="435">
        <f>'规制工具'!C6</f>
        <v/>
      </c>
      <c r="K52" s="435">
        <f>'规制工具'!E6</f>
        <v/>
      </c>
      <c r="L52" s="435">
        <f>'规制工具'!F6</f>
        <v/>
      </c>
      <c r="M52" s="430" t="n"/>
    </row>
    <row r="53" ht="114" customHeight="1">
      <c r="A53" s="435">
        <f>'规制工具'!A7</f>
        <v/>
      </c>
      <c r="B53" s="435">
        <f>'规制工具'!D7</f>
        <v/>
      </c>
      <c r="C53" s="435">
        <f>'规制工具'!H7</f>
        <v/>
      </c>
      <c r="D53" s="435">
        <f>'规制工具'!G7</f>
        <v/>
      </c>
      <c r="E53" s="435">
        <f>'规制工具'!U7</f>
        <v/>
      </c>
      <c r="F53" s="435">
        <f>'规制工具'!Q7</f>
        <v/>
      </c>
      <c r="G53" s="435">
        <f>'规制工具'!R7</f>
        <v/>
      </c>
      <c r="H53" s="435">
        <f>'规制工具'!L7</f>
        <v/>
      </c>
      <c r="I53" s="435" t="inlineStr">
        <is>
          <t>规制工具</t>
        </is>
      </c>
      <c r="J53" s="435">
        <f>'规制工具'!C7</f>
        <v/>
      </c>
      <c r="K53" s="435">
        <f>'规制工具'!E7</f>
        <v/>
      </c>
      <c r="L53" s="435">
        <f>'规制工具'!F7</f>
        <v/>
      </c>
      <c r="M53" s="430" t="n"/>
    </row>
    <row r="54" ht="114" customHeight="1">
      <c r="A54" s="435">
        <f>'规制工具'!A8</f>
        <v/>
      </c>
      <c r="B54" s="435">
        <f>'规制工具'!D8</f>
        <v/>
      </c>
      <c r="C54" s="435">
        <f>'规制工具'!H8</f>
        <v/>
      </c>
      <c r="D54" s="435">
        <f>'规制工具'!G8</f>
        <v/>
      </c>
      <c r="E54" s="435">
        <f>'规制工具'!U8</f>
        <v/>
      </c>
      <c r="F54" s="435">
        <f>'规制工具'!Q8</f>
        <v/>
      </c>
      <c r="G54" s="435">
        <f>'规制工具'!R8</f>
        <v/>
      </c>
      <c r="H54" s="435">
        <f>'规制工具'!L8</f>
        <v/>
      </c>
      <c r="I54" s="435" t="inlineStr">
        <is>
          <t>规制工具</t>
        </is>
      </c>
      <c r="J54" s="435">
        <f>'规制工具'!C8</f>
        <v/>
      </c>
      <c r="K54" s="435">
        <f>'规制工具'!E8</f>
        <v/>
      </c>
      <c r="L54" s="435">
        <f>'规制工具'!F8</f>
        <v/>
      </c>
      <c r="M54" s="430" t="n"/>
    </row>
    <row r="55" ht="114" customHeight="1">
      <c r="A55" s="435">
        <f>'规制工具'!A9</f>
        <v/>
      </c>
      <c r="B55" s="435">
        <f>'规制工具'!D9</f>
        <v/>
      </c>
      <c r="C55" s="435">
        <f>'规制工具'!H9</f>
        <v/>
      </c>
      <c r="D55" s="435">
        <f>'规制工具'!G9</f>
        <v/>
      </c>
      <c r="E55" s="435">
        <f>'规制工具'!U9</f>
        <v/>
      </c>
      <c r="F55" s="435">
        <f>'规制工具'!Q9</f>
        <v/>
      </c>
      <c r="G55" s="435">
        <f>'规制工具'!R9</f>
        <v/>
      </c>
      <c r="H55" s="435">
        <f>'规制工具'!L9</f>
        <v/>
      </c>
      <c r="I55" s="435" t="inlineStr">
        <is>
          <t>规制工具</t>
        </is>
      </c>
      <c r="J55" s="435">
        <f>'规制工具'!C9</f>
        <v/>
      </c>
      <c r="K55" s="435">
        <f>'规制工具'!E9</f>
        <v/>
      </c>
      <c r="L55" s="435">
        <f>'规制工具'!F9</f>
        <v/>
      </c>
      <c r="M55" s="430" t="n"/>
    </row>
    <row r="56" ht="71.25" customHeight="1">
      <c r="A56" s="435">
        <f>'规制工具'!A10</f>
        <v/>
      </c>
      <c r="B56" s="435">
        <f>'规制工具'!D10</f>
        <v/>
      </c>
      <c r="C56" s="435">
        <f>'规制工具'!H10</f>
        <v/>
      </c>
      <c r="D56" s="435">
        <f>'规制工具'!G10</f>
        <v/>
      </c>
      <c r="E56" s="435">
        <f>'规制工具'!U10</f>
        <v/>
      </c>
      <c r="F56" s="435">
        <f>'规制工具'!Q10</f>
        <v/>
      </c>
      <c r="G56" s="435">
        <f>'规制工具'!R10</f>
        <v/>
      </c>
      <c r="H56" s="435">
        <f>'规制工具'!L10</f>
        <v/>
      </c>
      <c r="I56" s="435" t="inlineStr">
        <is>
          <t>规制工具</t>
        </is>
      </c>
      <c r="J56" s="435">
        <f>'规制工具'!C10</f>
        <v/>
      </c>
      <c r="K56" s="435">
        <f>'规制工具'!E10</f>
        <v/>
      </c>
      <c r="L56" s="435">
        <f>'规制工具'!F10</f>
        <v/>
      </c>
      <c r="M56" s="430" t="n"/>
    </row>
    <row r="57" ht="57" customHeight="1">
      <c r="A57" s="435">
        <f>'规制工具'!A11</f>
        <v/>
      </c>
      <c r="B57" s="435">
        <f>'规制工具'!D11</f>
        <v/>
      </c>
      <c r="C57" s="435">
        <f>'规制工具'!H11</f>
        <v/>
      </c>
      <c r="D57" s="435">
        <f>'规制工具'!G11</f>
        <v/>
      </c>
      <c r="E57" s="435">
        <f>'规制工具'!U11</f>
        <v/>
      </c>
      <c r="F57" s="435">
        <f>'规制工具'!Q11</f>
        <v/>
      </c>
      <c r="G57" s="435">
        <f>'规制工具'!R11</f>
        <v/>
      </c>
      <c r="H57" s="435">
        <f>'规制工具'!L11</f>
        <v/>
      </c>
      <c r="I57" s="435" t="inlineStr">
        <is>
          <t>规制工具</t>
        </is>
      </c>
      <c r="J57" s="435">
        <f>'规制工具'!C11</f>
        <v/>
      </c>
      <c r="K57" s="435">
        <f>'规制工具'!E11</f>
        <v/>
      </c>
      <c r="L57" s="435">
        <f>'规制工具'!F11</f>
        <v/>
      </c>
      <c r="M57" s="430" t="n"/>
    </row>
    <row r="58" ht="57" customHeight="1">
      <c r="A58" s="435">
        <f>'规制工具'!A12</f>
        <v/>
      </c>
      <c r="B58" s="435">
        <f>'规制工具'!D12</f>
        <v/>
      </c>
      <c r="C58" s="435">
        <f>'规制工具'!H12</f>
        <v/>
      </c>
      <c r="D58" s="435">
        <f>'规制工具'!G12</f>
        <v/>
      </c>
      <c r="E58" s="435">
        <f>'规制工具'!U12</f>
        <v/>
      </c>
      <c r="F58" s="435">
        <f>'规制工具'!Q12</f>
        <v/>
      </c>
      <c r="G58" s="435">
        <f>'规制工具'!R12</f>
        <v/>
      </c>
      <c r="H58" s="435">
        <f>'规制工具'!L12</f>
        <v/>
      </c>
      <c r="I58" s="435" t="inlineStr">
        <is>
          <t>规制工具</t>
        </is>
      </c>
      <c r="J58" s="435">
        <f>'规制工具'!C12</f>
        <v/>
      </c>
      <c r="K58" s="435">
        <f>'规制工具'!E12</f>
        <v/>
      </c>
      <c r="L58" s="435">
        <f>'规制工具'!F12</f>
        <v/>
      </c>
      <c r="M58" s="430" t="n"/>
    </row>
    <row r="59" ht="57" customHeight="1">
      <c r="A59" s="435">
        <f>'规制工具'!A13</f>
        <v/>
      </c>
      <c r="B59" s="435">
        <f>'规制工具'!D13</f>
        <v/>
      </c>
      <c r="C59" s="435">
        <f>'规制工具'!H13</f>
        <v/>
      </c>
      <c r="D59" s="435">
        <f>'规制工具'!G13</f>
        <v/>
      </c>
      <c r="E59" s="435">
        <f>'规制工具'!U13</f>
        <v/>
      </c>
      <c r="F59" s="435">
        <f>'规制工具'!Q13</f>
        <v/>
      </c>
      <c r="G59" s="435">
        <f>'规制工具'!R13</f>
        <v/>
      </c>
      <c r="H59" s="435">
        <f>'规制工具'!L13</f>
        <v/>
      </c>
      <c r="I59" s="435" t="inlineStr">
        <is>
          <t>规制工具</t>
        </is>
      </c>
      <c r="J59" s="435">
        <f>'规制工具'!C13</f>
        <v/>
      </c>
      <c r="K59" s="435">
        <f>'规制工具'!E13</f>
        <v/>
      </c>
      <c r="L59" s="435">
        <f>'规制工具'!F13</f>
        <v/>
      </c>
      <c r="M59" s="430" t="n"/>
    </row>
    <row r="60" ht="57" customHeight="1">
      <c r="A60" s="435">
        <f>'规制工具'!A14</f>
        <v/>
      </c>
      <c r="B60" s="435">
        <f>'规制工具'!D14</f>
        <v/>
      </c>
      <c r="C60" s="435">
        <f>'规制工具'!H14</f>
        <v/>
      </c>
      <c r="D60" s="435">
        <f>'规制工具'!G14</f>
        <v/>
      </c>
      <c r="E60" s="435">
        <f>'规制工具'!U14</f>
        <v/>
      </c>
      <c r="F60" s="435">
        <f>'规制工具'!Q14</f>
        <v/>
      </c>
      <c r="G60" s="435">
        <f>'规制工具'!R14</f>
        <v/>
      </c>
      <c r="H60" s="435">
        <f>'规制工具'!L14</f>
        <v/>
      </c>
      <c r="I60" s="435" t="inlineStr">
        <is>
          <t>规制工具</t>
        </is>
      </c>
      <c r="J60" s="435">
        <f>'规制工具'!C14</f>
        <v/>
      </c>
      <c r="K60" s="435">
        <f>'规制工具'!E14</f>
        <v/>
      </c>
      <c r="L60" s="435">
        <f>'规制工具'!F14</f>
        <v/>
      </c>
      <c r="M60" s="430" t="n"/>
    </row>
    <row r="61" ht="71.25" customHeight="1">
      <c r="A61" s="435">
        <f>'规制工具'!A15</f>
        <v/>
      </c>
      <c r="B61" s="435">
        <f>'规制工具'!D15</f>
        <v/>
      </c>
      <c r="C61" s="435">
        <f>'规制工具'!H15</f>
        <v/>
      </c>
      <c r="D61" s="435">
        <f>'规制工具'!G15</f>
        <v/>
      </c>
      <c r="E61" s="435">
        <f>'规制工具'!U15</f>
        <v/>
      </c>
      <c r="F61" s="435">
        <f>'规制工具'!Q15</f>
        <v/>
      </c>
      <c r="G61" s="435">
        <f>'规制工具'!R15</f>
        <v/>
      </c>
      <c r="H61" s="435">
        <f>'规制工具'!L15</f>
        <v/>
      </c>
      <c r="I61" s="435" t="inlineStr">
        <is>
          <t>规制工具</t>
        </is>
      </c>
      <c r="J61" s="435">
        <f>'规制工具'!C15</f>
        <v/>
      </c>
      <c r="K61" s="435">
        <f>'规制工具'!E15</f>
        <v/>
      </c>
      <c r="L61" s="435">
        <f>'规制工具'!F15</f>
        <v/>
      </c>
      <c r="M61" s="430" t="n"/>
    </row>
    <row r="62" ht="142.5" customHeight="1">
      <c r="A62" s="435">
        <f>'规制工具'!A16</f>
        <v/>
      </c>
      <c r="B62" s="435">
        <f>'规制工具'!D16</f>
        <v/>
      </c>
      <c r="C62" s="435">
        <f>'规制工具'!H16</f>
        <v/>
      </c>
      <c r="D62" s="435">
        <f>'规制工具'!G16</f>
        <v/>
      </c>
      <c r="E62" s="435">
        <f>'规制工具'!U16</f>
        <v/>
      </c>
      <c r="F62" s="435">
        <f>'规制工具'!Q16</f>
        <v/>
      </c>
      <c r="G62" s="435">
        <f>'规制工具'!R16</f>
        <v/>
      </c>
      <c r="H62" s="435">
        <f>'规制工具'!L16</f>
        <v/>
      </c>
      <c r="I62" s="435" t="inlineStr">
        <is>
          <t>规制工具</t>
        </is>
      </c>
      <c r="J62" s="435">
        <f>'规制工具'!C16</f>
        <v/>
      </c>
      <c r="K62" s="435">
        <f>'规制工具'!E16</f>
        <v/>
      </c>
      <c r="L62" s="435">
        <f>'规制工具'!F16</f>
        <v/>
      </c>
      <c r="M62" s="430" t="n"/>
    </row>
    <row r="63" ht="57" customHeight="1">
      <c r="A63" s="435">
        <f>'规制工具'!A17</f>
        <v/>
      </c>
      <c r="B63" s="435">
        <f>'规制工具'!D17</f>
        <v/>
      </c>
      <c r="C63" s="435">
        <f>'规制工具'!H17</f>
        <v/>
      </c>
      <c r="D63" s="435">
        <f>'规制工具'!G17</f>
        <v/>
      </c>
      <c r="E63" s="435">
        <f>'规制工具'!U17</f>
        <v/>
      </c>
      <c r="F63" s="435">
        <f>'规制工具'!Q17</f>
        <v/>
      </c>
      <c r="G63" s="435">
        <f>'规制工具'!R17</f>
        <v/>
      </c>
      <c r="H63" s="435">
        <f>'规制工具'!L17</f>
        <v/>
      </c>
      <c r="I63" s="435" t="inlineStr">
        <is>
          <t>规制工具</t>
        </is>
      </c>
      <c r="J63" s="435">
        <f>'规制工具'!C17</f>
        <v/>
      </c>
      <c r="K63" s="435">
        <f>'规制工具'!E17</f>
        <v/>
      </c>
      <c r="L63" s="435">
        <f>'规制工具'!F17</f>
        <v/>
      </c>
      <c r="M63" s="430" t="n"/>
    </row>
    <row r="64" ht="57" customHeight="1">
      <c r="A64" s="435">
        <f>'规制工具'!A18</f>
        <v/>
      </c>
      <c r="B64" s="435">
        <f>'规制工具'!D18</f>
        <v/>
      </c>
      <c r="C64" s="435">
        <f>'规制工具'!H18</f>
        <v/>
      </c>
      <c r="D64" s="435">
        <f>'规制工具'!G18</f>
        <v/>
      </c>
      <c r="E64" s="435">
        <f>'规制工具'!U18</f>
        <v/>
      </c>
      <c r="F64" s="435">
        <f>'规制工具'!Q18</f>
        <v/>
      </c>
      <c r="G64" s="435">
        <f>'规制工具'!R18</f>
        <v/>
      </c>
      <c r="H64" s="435">
        <f>'规制工具'!L18</f>
        <v/>
      </c>
      <c r="I64" s="435" t="inlineStr">
        <is>
          <t>规制工具</t>
        </is>
      </c>
      <c r="J64" s="435">
        <f>'规制工具'!C18</f>
        <v/>
      </c>
      <c r="K64" s="435">
        <f>'规制工具'!E18</f>
        <v/>
      </c>
      <c r="L64" s="435">
        <f>'规制工具'!F18</f>
        <v/>
      </c>
      <c r="M64" s="430" t="n"/>
    </row>
    <row r="65" ht="142.5" customHeight="1">
      <c r="A65" s="435">
        <f>'规制工具'!A19</f>
        <v/>
      </c>
      <c r="B65" s="435">
        <f>'规制工具'!D19</f>
        <v/>
      </c>
      <c r="C65" s="435">
        <f>'规制工具'!H19</f>
        <v/>
      </c>
      <c r="D65" s="435">
        <f>'规制工具'!G19</f>
        <v/>
      </c>
      <c r="E65" s="435">
        <f>'规制工具'!U19</f>
        <v/>
      </c>
      <c r="F65" s="435">
        <f>'规制工具'!Q19</f>
        <v/>
      </c>
      <c r="G65" s="435">
        <f>'规制工具'!R19</f>
        <v/>
      </c>
      <c r="H65" s="435">
        <f>'规制工具'!L19</f>
        <v/>
      </c>
      <c r="I65" s="435" t="inlineStr">
        <is>
          <t>规制工具</t>
        </is>
      </c>
      <c r="J65" s="435">
        <f>'规制工具'!C19</f>
        <v/>
      </c>
      <c r="K65" s="435">
        <f>'规制工具'!E19</f>
        <v/>
      </c>
      <c r="L65" s="435">
        <f>'规制工具'!F19</f>
        <v/>
      </c>
      <c r="M65" s="430" t="n"/>
    </row>
    <row r="66" ht="57" customHeight="1">
      <c r="A66" s="435">
        <f>'规制工具'!A20</f>
        <v/>
      </c>
      <c r="B66" s="435">
        <f>'规制工具'!D20</f>
        <v/>
      </c>
      <c r="C66" s="435">
        <f>'规制工具'!H20</f>
        <v/>
      </c>
      <c r="D66" s="435">
        <f>'规制工具'!G20</f>
        <v/>
      </c>
      <c r="E66" s="435">
        <f>'规制工具'!U20</f>
        <v/>
      </c>
      <c r="F66" s="435">
        <f>'规制工具'!Q20</f>
        <v/>
      </c>
      <c r="G66" s="435">
        <f>'规制工具'!R20</f>
        <v/>
      </c>
      <c r="H66" s="435">
        <f>'规制工具'!L20</f>
        <v/>
      </c>
      <c r="I66" s="435" t="inlineStr">
        <is>
          <t>规制工具</t>
        </is>
      </c>
      <c r="J66" s="435">
        <f>'规制工具'!C20</f>
        <v/>
      </c>
      <c r="K66" s="435">
        <f>'规制工具'!E20</f>
        <v/>
      </c>
      <c r="L66" s="435">
        <f>'规制工具'!F20</f>
        <v/>
      </c>
      <c r="M66" s="430" t="n"/>
    </row>
    <row r="67" ht="57" customHeight="1">
      <c r="A67" s="435">
        <f>'规制工具'!A21</f>
        <v/>
      </c>
      <c r="B67" s="435">
        <f>'规制工具'!D21</f>
        <v/>
      </c>
      <c r="C67" s="435">
        <f>'规制工具'!H21</f>
        <v/>
      </c>
      <c r="D67" s="435">
        <f>'规制工具'!G21</f>
        <v/>
      </c>
      <c r="E67" s="435">
        <f>'规制工具'!U21</f>
        <v/>
      </c>
      <c r="F67" s="435">
        <f>'规制工具'!Q21</f>
        <v/>
      </c>
      <c r="G67" s="435">
        <f>'规制工具'!R21</f>
        <v/>
      </c>
      <c r="H67" s="435">
        <f>'规制工具'!L21</f>
        <v/>
      </c>
      <c r="I67" s="435" t="inlineStr">
        <is>
          <t>规制工具</t>
        </is>
      </c>
      <c r="J67" s="435">
        <f>'规制工具'!C21</f>
        <v/>
      </c>
      <c r="K67" s="435">
        <f>'规制工具'!E21</f>
        <v/>
      </c>
      <c r="L67" s="435">
        <f>'规制工具'!F21</f>
        <v/>
      </c>
      <c r="M67" s="430" t="n"/>
    </row>
    <row r="68" ht="71.25" customHeight="1">
      <c r="A68" s="435">
        <f>'规制工具'!A22</f>
        <v/>
      </c>
      <c r="B68" s="435">
        <f>'规制工具'!D22</f>
        <v/>
      </c>
      <c r="C68" s="435">
        <f>'规制工具'!H22</f>
        <v/>
      </c>
      <c r="D68" s="435">
        <f>'规制工具'!G22</f>
        <v/>
      </c>
      <c r="E68" s="435">
        <f>'规制工具'!U22</f>
        <v/>
      </c>
      <c r="F68" s="435">
        <f>'规制工具'!Q22</f>
        <v/>
      </c>
      <c r="G68" s="435">
        <f>'规制工具'!R22</f>
        <v/>
      </c>
      <c r="H68" s="435">
        <f>'规制工具'!L22</f>
        <v/>
      </c>
      <c r="I68" s="435" t="inlineStr">
        <is>
          <t>规制工具</t>
        </is>
      </c>
      <c r="J68" s="435">
        <f>'规制工具'!C22</f>
        <v/>
      </c>
      <c r="K68" s="435">
        <f>'规制工具'!E22</f>
        <v/>
      </c>
      <c r="L68" s="435">
        <f>'规制工具'!F22</f>
        <v/>
      </c>
      <c r="M68" s="430" t="n"/>
    </row>
    <row r="69" ht="85.5" customHeight="1">
      <c r="A69" s="435">
        <f>'规制工具'!A23</f>
        <v/>
      </c>
      <c r="B69" s="435">
        <f>'规制工具'!D23</f>
        <v/>
      </c>
      <c r="C69" s="435">
        <f>'规制工具'!H23</f>
        <v/>
      </c>
      <c r="D69" s="435">
        <f>'规制工具'!G23</f>
        <v/>
      </c>
      <c r="E69" s="435">
        <f>'规制工具'!U23</f>
        <v/>
      </c>
      <c r="F69" s="435">
        <f>'规制工具'!Q23</f>
        <v/>
      </c>
      <c r="G69" s="435">
        <f>'规制工具'!R23</f>
        <v/>
      </c>
      <c r="H69" s="435">
        <f>'规制工具'!L23</f>
        <v/>
      </c>
      <c r="I69" s="435" t="inlineStr">
        <is>
          <t>规制工具</t>
        </is>
      </c>
      <c r="J69" s="435">
        <f>'规制工具'!C23</f>
        <v/>
      </c>
      <c r="K69" s="435">
        <f>'规制工具'!E23</f>
        <v/>
      </c>
      <c r="L69" s="435">
        <f>'规制工具'!F23</f>
        <v/>
      </c>
      <c r="M69" s="430" t="n"/>
    </row>
    <row r="70" ht="57" customHeight="1">
      <c r="A70" s="435">
        <f>'规制工具'!A24</f>
        <v/>
      </c>
      <c r="B70" s="435">
        <f>'规制工具'!D24</f>
        <v/>
      </c>
      <c r="C70" s="435">
        <f>'规制工具'!H24</f>
        <v/>
      </c>
      <c r="D70" s="435">
        <f>'规制工具'!G24</f>
        <v/>
      </c>
      <c r="E70" s="435">
        <f>'规制工具'!U24</f>
        <v/>
      </c>
      <c r="F70" s="435">
        <f>'规制工具'!Q24</f>
        <v/>
      </c>
      <c r="G70" s="435">
        <f>'规制工具'!R24</f>
        <v/>
      </c>
      <c r="H70" s="435">
        <f>'规制工具'!L24</f>
        <v/>
      </c>
      <c r="I70" s="435" t="inlineStr">
        <is>
          <t>规制工具</t>
        </is>
      </c>
      <c r="J70" s="435">
        <f>'规制工具'!C24</f>
        <v/>
      </c>
      <c r="K70" s="435">
        <f>'规制工具'!E24</f>
        <v/>
      </c>
      <c r="L70" s="435">
        <f>'规制工具'!F24</f>
        <v/>
      </c>
      <c r="M70" s="430" t="n"/>
    </row>
    <row r="71" ht="57" customHeight="1">
      <c r="A71" s="435">
        <f>'规制工具'!A25</f>
        <v/>
      </c>
      <c r="B71" s="435">
        <f>'规制工具'!D25</f>
        <v/>
      </c>
      <c r="C71" s="435">
        <f>'规制工具'!H25</f>
        <v/>
      </c>
      <c r="D71" s="435">
        <f>'规制工具'!G25</f>
        <v/>
      </c>
      <c r="E71" s="435">
        <f>'规制工具'!U25</f>
        <v/>
      </c>
      <c r="F71" s="435">
        <f>'规制工具'!Q25</f>
        <v/>
      </c>
      <c r="G71" s="435">
        <f>'规制工具'!R25</f>
        <v/>
      </c>
      <c r="H71" s="435">
        <f>'规制工具'!L25</f>
        <v/>
      </c>
      <c r="I71" s="435" t="inlineStr">
        <is>
          <t>规制工具</t>
        </is>
      </c>
      <c r="J71" s="435">
        <f>'规制工具'!C25</f>
        <v/>
      </c>
      <c r="K71" s="435">
        <f>'规制工具'!E25</f>
        <v/>
      </c>
      <c r="L71" s="435">
        <f>'规制工具'!F25</f>
        <v/>
      </c>
      <c r="M71" s="430" t="n"/>
    </row>
    <row r="72" ht="57" customHeight="1">
      <c r="A72" s="435">
        <f>'规制工具'!A26</f>
        <v/>
      </c>
      <c r="B72" s="435">
        <f>'规制工具'!D26</f>
        <v/>
      </c>
      <c r="C72" s="435">
        <f>'规制工具'!H26</f>
        <v/>
      </c>
      <c r="D72" s="435">
        <f>'规制工具'!G26</f>
        <v/>
      </c>
      <c r="E72" s="435">
        <f>'规制工具'!U26</f>
        <v/>
      </c>
      <c r="F72" s="435">
        <f>'规制工具'!Q26</f>
        <v/>
      </c>
      <c r="G72" s="435">
        <f>'规制工具'!R26</f>
        <v/>
      </c>
      <c r="H72" s="435">
        <f>'规制工具'!L26</f>
        <v/>
      </c>
      <c r="I72" s="435" t="inlineStr">
        <is>
          <t>规制工具</t>
        </is>
      </c>
      <c r="J72" s="435">
        <f>'规制工具'!C26</f>
        <v/>
      </c>
      <c r="K72" s="435">
        <f>'规制工具'!E26</f>
        <v/>
      </c>
      <c r="L72" s="435">
        <f>'规制工具'!F26</f>
        <v/>
      </c>
      <c r="M72" s="430" t="n"/>
    </row>
    <row r="73" ht="57" customHeight="1">
      <c r="A73" s="435">
        <f>'规制工具'!A27</f>
        <v/>
      </c>
      <c r="B73" s="435">
        <f>'规制工具'!D27</f>
        <v/>
      </c>
      <c r="C73" s="435">
        <f>'规制工具'!H27</f>
        <v/>
      </c>
      <c r="D73" s="435">
        <f>'规制工具'!G27</f>
        <v/>
      </c>
      <c r="E73" s="435">
        <f>'规制工具'!U27</f>
        <v/>
      </c>
      <c r="F73" s="435">
        <f>'规制工具'!Q27</f>
        <v/>
      </c>
      <c r="G73" s="435">
        <f>'规制工具'!R27</f>
        <v/>
      </c>
      <c r="H73" s="435">
        <f>'规制工具'!L27</f>
        <v/>
      </c>
      <c r="I73" s="435" t="inlineStr">
        <is>
          <t>规制工具</t>
        </is>
      </c>
      <c r="J73" s="435">
        <f>'规制工具'!C27</f>
        <v/>
      </c>
      <c r="K73" s="435">
        <f>'规制工具'!E27</f>
        <v/>
      </c>
      <c r="L73" s="435">
        <f>'规制工具'!F27</f>
        <v/>
      </c>
      <c r="M73" s="430" t="n"/>
    </row>
    <row r="74" ht="57" customHeight="1">
      <c r="A74" s="435">
        <f>'规制工具'!A28</f>
        <v/>
      </c>
      <c r="B74" s="435">
        <f>'规制工具'!D28</f>
        <v/>
      </c>
      <c r="C74" s="435">
        <f>'规制工具'!H28</f>
        <v/>
      </c>
      <c r="D74" s="435">
        <f>'规制工具'!G28</f>
        <v/>
      </c>
      <c r="E74" s="435">
        <f>'规制工具'!U28</f>
        <v/>
      </c>
      <c r="F74" s="435">
        <f>'规制工具'!Q28</f>
        <v/>
      </c>
      <c r="G74" s="435">
        <f>'规制工具'!R28</f>
        <v/>
      </c>
      <c r="H74" s="435">
        <f>'规制工具'!L28</f>
        <v/>
      </c>
      <c r="I74" s="435" t="inlineStr">
        <is>
          <t>规制工具</t>
        </is>
      </c>
      <c r="J74" s="435">
        <f>'规制工具'!C28</f>
        <v/>
      </c>
      <c r="K74" s="435">
        <f>'规制工具'!E28</f>
        <v/>
      </c>
      <c r="L74" s="435">
        <f>'规制工具'!F28</f>
        <v/>
      </c>
      <c r="M74" s="430" t="n"/>
    </row>
    <row r="75" ht="57" customHeight="1">
      <c r="A75" s="435">
        <f>'规制工具'!A29</f>
        <v/>
      </c>
      <c r="B75" s="435">
        <f>'规制工具'!D29</f>
        <v/>
      </c>
      <c r="C75" s="435">
        <f>'规制工具'!H29</f>
        <v/>
      </c>
      <c r="D75" s="435">
        <f>'规制工具'!G29</f>
        <v/>
      </c>
      <c r="E75" s="435">
        <f>'规制工具'!U29</f>
        <v/>
      </c>
      <c r="F75" s="435">
        <f>'规制工具'!Q29</f>
        <v/>
      </c>
      <c r="G75" s="435">
        <f>'规制工具'!R29</f>
        <v/>
      </c>
      <c r="H75" s="435">
        <f>'规制工具'!L29</f>
        <v/>
      </c>
      <c r="I75" s="435" t="inlineStr">
        <is>
          <t>规制工具</t>
        </is>
      </c>
      <c r="J75" s="435">
        <f>'规制工具'!C29</f>
        <v/>
      </c>
      <c r="K75" s="435">
        <f>'规制工具'!E29</f>
        <v/>
      </c>
      <c r="L75" s="435">
        <f>'规制工具'!F29</f>
        <v/>
      </c>
      <c r="M75" s="430" t="n"/>
    </row>
    <row r="76" ht="57" customHeight="1">
      <c r="A76" s="435">
        <f>'规制工具'!A30</f>
        <v/>
      </c>
      <c r="B76" s="435">
        <f>'规制工具'!D30</f>
        <v/>
      </c>
      <c r="C76" s="435">
        <f>'规制工具'!H30</f>
        <v/>
      </c>
      <c r="D76" s="435">
        <f>'规制工具'!G30</f>
        <v/>
      </c>
      <c r="E76" s="435">
        <f>'规制工具'!U30</f>
        <v/>
      </c>
      <c r="F76" s="435">
        <f>'规制工具'!Q30</f>
        <v/>
      </c>
      <c r="G76" s="435">
        <f>'规制工具'!R30</f>
        <v/>
      </c>
      <c r="H76" s="435">
        <f>'规制工具'!L30</f>
        <v/>
      </c>
      <c r="I76" s="435" t="inlineStr">
        <is>
          <t>规制工具</t>
        </is>
      </c>
      <c r="J76" s="435">
        <f>'规制工具'!C30</f>
        <v/>
      </c>
      <c r="K76" s="435">
        <f>'规制工具'!E30</f>
        <v/>
      </c>
      <c r="L76" s="435">
        <f>'规制工具'!F30</f>
        <v/>
      </c>
      <c r="M76" s="430" t="n"/>
    </row>
    <row r="77" ht="57" customHeight="1">
      <c r="A77" s="435">
        <f>'规制工具'!A31</f>
        <v/>
      </c>
      <c r="B77" s="435">
        <f>'规制工具'!D31</f>
        <v/>
      </c>
      <c r="C77" s="435">
        <f>'规制工具'!H31</f>
        <v/>
      </c>
      <c r="D77" s="435">
        <f>'规制工具'!G31</f>
        <v/>
      </c>
      <c r="E77" s="435">
        <f>'规制工具'!U31</f>
        <v/>
      </c>
      <c r="F77" s="435">
        <f>'规制工具'!Q31</f>
        <v/>
      </c>
      <c r="G77" s="435">
        <f>'规制工具'!R31</f>
        <v/>
      </c>
      <c r="H77" s="435">
        <f>'规制工具'!L31</f>
        <v/>
      </c>
      <c r="I77" s="435" t="inlineStr">
        <is>
          <t>规制工具</t>
        </is>
      </c>
      <c r="J77" s="435">
        <f>'规制工具'!C31</f>
        <v/>
      </c>
      <c r="K77" s="435">
        <f>'规制工具'!E31</f>
        <v/>
      </c>
      <c r="L77" s="435">
        <f>'规制工具'!F31</f>
        <v/>
      </c>
      <c r="M77" s="430" t="n"/>
    </row>
    <row r="78" ht="57" customHeight="1">
      <c r="A78" s="435">
        <f>'规制工具'!A32</f>
        <v/>
      </c>
      <c r="B78" s="435">
        <f>'规制工具'!D32</f>
        <v/>
      </c>
      <c r="C78" s="435">
        <f>'规制工具'!H32</f>
        <v/>
      </c>
      <c r="D78" s="435">
        <f>'规制工具'!G32</f>
        <v/>
      </c>
      <c r="E78" s="435">
        <f>'规制工具'!U32</f>
        <v/>
      </c>
      <c r="F78" s="435">
        <f>'规制工具'!Q32</f>
        <v/>
      </c>
      <c r="G78" s="435">
        <f>'规制工具'!R32</f>
        <v/>
      </c>
      <c r="H78" s="435">
        <f>'规制工具'!L32</f>
        <v/>
      </c>
      <c r="I78" s="435" t="inlineStr">
        <is>
          <t>规制工具</t>
        </is>
      </c>
      <c r="J78" s="435">
        <f>'规制工具'!C32</f>
        <v/>
      </c>
      <c r="K78" s="435">
        <f>'规制工具'!E32</f>
        <v/>
      </c>
      <c r="L78" s="435">
        <f>'规制工具'!F32</f>
        <v/>
      </c>
      <c r="M78" s="430" t="n"/>
    </row>
    <row r="79" ht="71.25" customHeight="1">
      <c r="A79" s="435">
        <f>'规制工具'!A33</f>
        <v/>
      </c>
      <c r="B79" s="435">
        <f>'规制工具'!D33</f>
        <v/>
      </c>
      <c r="C79" s="435">
        <f>'规制工具'!H33</f>
        <v/>
      </c>
      <c r="D79" s="435">
        <f>'规制工具'!G33</f>
        <v/>
      </c>
      <c r="E79" s="435">
        <f>'规制工具'!U33</f>
        <v/>
      </c>
      <c r="F79" s="435">
        <f>'规制工具'!Q33</f>
        <v/>
      </c>
      <c r="G79" s="435">
        <f>'规制工具'!R33</f>
        <v/>
      </c>
      <c r="H79" s="435">
        <f>'规制工具'!L33</f>
        <v/>
      </c>
      <c r="I79" s="435" t="inlineStr">
        <is>
          <t>规制工具</t>
        </is>
      </c>
      <c r="J79" s="435">
        <f>'规制工具'!C33</f>
        <v/>
      </c>
      <c r="K79" s="435">
        <f>'规制工具'!E33</f>
        <v/>
      </c>
      <c r="L79" s="435">
        <f>'规制工具'!F33</f>
        <v/>
      </c>
      <c r="M79" s="430" t="n"/>
    </row>
    <row r="80" ht="114" customHeight="1">
      <c r="A80" s="435">
        <f>'规制工具'!A34</f>
        <v/>
      </c>
      <c r="B80" s="435">
        <f>'规制工具'!D34</f>
        <v/>
      </c>
      <c r="C80" s="435">
        <f>'规制工具'!H34</f>
        <v/>
      </c>
      <c r="D80" s="435">
        <f>'规制工具'!G34</f>
        <v/>
      </c>
      <c r="E80" s="435">
        <f>'规制工具'!U34</f>
        <v/>
      </c>
      <c r="F80" s="435">
        <f>'规制工具'!Q34</f>
        <v/>
      </c>
      <c r="G80" s="435">
        <f>'规制工具'!R34</f>
        <v/>
      </c>
      <c r="H80" s="435">
        <f>'规制工具'!L34</f>
        <v/>
      </c>
      <c r="I80" s="435" t="inlineStr">
        <is>
          <t>规制工具</t>
        </is>
      </c>
      <c r="J80" s="435">
        <f>'规制工具'!C34</f>
        <v/>
      </c>
      <c r="K80" s="435">
        <f>'规制工具'!E34</f>
        <v/>
      </c>
      <c r="L80" s="435">
        <f>'规制工具'!F34</f>
        <v/>
      </c>
      <c r="M80" s="430" t="n"/>
    </row>
    <row r="81" ht="114" customHeight="1">
      <c r="A81" s="435">
        <f>'规制工具'!A35</f>
        <v/>
      </c>
      <c r="B81" s="435">
        <f>'规制工具'!D35</f>
        <v/>
      </c>
      <c r="C81" s="435">
        <f>'规制工具'!H35</f>
        <v/>
      </c>
      <c r="D81" s="435">
        <f>'规制工具'!G35</f>
        <v/>
      </c>
      <c r="E81" s="435">
        <f>'规制工具'!U35</f>
        <v/>
      </c>
      <c r="F81" s="435">
        <f>'规制工具'!Q35</f>
        <v/>
      </c>
      <c r="G81" s="435">
        <f>'规制工具'!R35</f>
        <v/>
      </c>
      <c r="H81" s="435">
        <f>'规制工具'!L35</f>
        <v/>
      </c>
      <c r="I81" s="435" t="inlineStr">
        <is>
          <t>规制工具</t>
        </is>
      </c>
      <c r="J81" s="435">
        <f>'规制工具'!C35</f>
        <v/>
      </c>
      <c r="K81" s="435">
        <f>'规制工具'!E35</f>
        <v/>
      </c>
      <c r="L81" s="435">
        <f>'规制工具'!F35</f>
        <v/>
      </c>
      <c r="M81" s="430" t="n"/>
    </row>
    <row r="82" ht="114" customHeight="1">
      <c r="A82" s="435">
        <f>'规制工具'!A36</f>
        <v/>
      </c>
      <c r="B82" s="435">
        <f>'规制工具'!D36</f>
        <v/>
      </c>
      <c r="C82" s="435">
        <f>'规制工具'!H36</f>
        <v/>
      </c>
      <c r="D82" s="435">
        <f>'规制工具'!G36</f>
        <v/>
      </c>
      <c r="E82" s="435">
        <f>'规制工具'!U36</f>
        <v/>
      </c>
      <c r="F82" s="435">
        <f>'规制工具'!Q36</f>
        <v/>
      </c>
      <c r="G82" s="435">
        <f>'规制工具'!R36</f>
        <v/>
      </c>
      <c r="H82" s="435">
        <f>'规制工具'!L36</f>
        <v/>
      </c>
      <c r="I82" s="435" t="inlineStr">
        <is>
          <t>规制工具</t>
        </is>
      </c>
      <c r="J82" s="435">
        <f>'规制工具'!C36</f>
        <v/>
      </c>
      <c r="K82" s="435">
        <f>'规制工具'!E36</f>
        <v/>
      </c>
      <c r="L82" s="435">
        <f>'规制工具'!F36</f>
        <v/>
      </c>
      <c r="M82" s="430" t="n"/>
    </row>
    <row r="83" ht="114" customHeight="1">
      <c r="A83" s="435">
        <f>'规制工具'!A37</f>
        <v/>
      </c>
      <c r="B83" s="435">
        <f>'规制工具'!D37</f>
        <v/>
      </c>
      <c r="C83" s="435">
        <f>'规制工具'!H37</f>
        <v/>
      </c>
      <c r="D83" s="435">
        <f>'规制工具'!G37</f>
        <v/>
      </c>
      <c r="E83" s="435">
        <f>'规制工具'!U37</f>
        <v/>
      </c>
      <c r="F83" s="435">
        <f>'规制工具'!Q37</f>
        <v/>
      </c>
      <c r="G83" s="435">
        <f>'规制工具'!R37</f>
        <v/>
      </c>
      <c r="H83" s="435">
        <f>'规制工具'!L37</f>
        <v/>
      </c>
      <c r="I83" s="435" t="inlineStr">
        <is>
          <t>规制工具</t>
        </is>
      </c>
      <c r="J83" s="435">
        <f>'规制工具'!C37</f>
        <v/>
      </c>
      <c r="K83" s="435">
        <f>'规制工具'!E37</f>
        <v/>
      </c>
      <c r="L83" s="435">
        <f>'规制工具'!F37</f>
        <v/>
      </c>
      <c r="M83" s="430" t="n"/>
    </row>
    <row r="84" ht="114" customHeight="1">
      <c r="A84" s="435">
        <f>'规制工具'!A38</f>
        <v/>
      </c>
      <c r="B84" s="435">
        <f>'规制工具'!D38</f>
        <v/>
      </c>
      <c r="C84" s="435">
        <f>'规制工具'!H38</f>
        <v/>
      </c>
      <c r="D84" s="435">
        <f>'规制工具'!G38</f>
        <v/>
      </c>
      <c r="E84" s="435">
        <f>'规制工具'!U38</f>
        <v/>
      </c>
      <c r="F84" s="435">
        <f>'规制工具'!Q38</f>
        <v/>
      </c>
      <c r="G84" s="435">
        <f>'规制工具'!R38</f>
        <v/>
      </c>
      <c r="H84" s="435">
        <f>'规制工具'!L38</f>
        <v/>
      </c>
      <c r="I84" s="435" t="inlineStr">
        <is>
          <t>规制工具</t>
        </is>
      </c>
      <c r="J84" s="435">
        <f>'规制工具'!C38</f>
        <v/>
      </c>
      <c r="K84" s="435">
        <f>'规制工具'!E38</f>
        <v/>
      </c>
      <c r="L84" s="435">
        <f>'规制工具'!F38</f>
        <v/>
      </c>
      <c r="M84" s="430" t="n"/>
    </row>
    <row r="85" ht="114" customHeight="1">
      <c r="A85" s="435">
        <f>'规制工具'!A39</f>
        <v/>
      </c>
      <c r="B85" s="435">
        <f>'规制工具'!D39</f>
        <v/>
      </c>
      <c r="C85" s="435">
        <f>'规制工具'!H39</f>
        <v/>
      </c>
      <c r="D85" s="435">
        <f>'规制工具'!G39</f>
        <v/>
      </c>
      <c r="E85" s="435">
        <f>'规制工具'!U39</f>
        <v/>
      </c>
      <c r="F85" s="435">
        <f>'规制工具'!Q39</f>
        <v/>
      </c>
      <c r="G85" s="435">
        <f>'规制工具'!R39</f>
        <v/>
      </c>
      <c r="H85" s="435">
        <f>'规制工具'!L39</f>
        <v/>
      </c>
      <c r="I85" s="435" t="inlineStr">
        <is>
          <t>规制工具</t>
        </is>
      </c>
      <c r="J85" s="435">
        <f>'规制工具'!C39</f>
        <v/>
      </c>
      <c r="K85" s="435">
        <f>'规制工具'!E39</f>
        <v/>
      </c>
      <c r="L85" s="435">
        <f>'规制工具'!F39</f>
        <v/>
      </c>
      <c r="M85" s="430" t="n"/>
    </row>
    <row r="86" ht="114" customHeight="1">
      <c r="A86" s="435">
        <f>'规制工具'!A40</f>
        <v/>
      </c>
      <c r="B86" s="435">
        <f>'规制工具'!D40</f>
        <v/>
      </c>
      <c r="C86" s="435">
        <f>'规制工具'!H40</f>
        <v/>
      </c>
      <c r="D86" s="435">
        <f>'规制工具'!G40</f>
        <v/>
      </c>
      <c r="E86" s="435">
        <f>'规制工具'!U40</f>
        <v/>
      </c>
      <c r="F86" s="435">
        <f>'规制工具'!Q40</f>
        <v/>
      </c>
      <c r="G86" s="435">
        <f>'规制工具'!R40</f>
        <v/>
      </c>
      <c r="H86" s="435">
        <f>'规制工具'!L40</f>
        <v/>
      </c>
      <c r="I86" s="435" t="inlineStr">
        <is>
          <t>规制工具</t>
        </is>
      </c>
      <c r="J86" s="435">
        <f>'规制工具'!C40</f>
        <v/>
      </c>
      <c r="K86" s="435">
        <f>'规制工具'!E40</f>
        <v/>
      </c>
      <c r="L86" s="435">
        <f>'规制工具'!F40</f>
        <v/>
      </c>
      <c r="M86" s="430" t="n"/>
    </row>
    <row r="87" ht="114" customHeight="1">
      <c r="A87" s="435">
        <f>'规制工具'!A41</f>
        <v/>
      </c>
      <c r="B87" s="435">
        <f>'规制工具'!D41</f>
        <v/>
      </c>
      <c r="C87" s="435">
        <f>'规制工具'!H41</f>
        <v/>
      </c>
      <c r="D87" s="435">
        <f>'规制工具'!G41</f>
        <v/>
      </c>
      <c r="E87" s="435">
        <f>'规制工具'!U41</f>
        <v/>
      </c>
      <c r="F87" s="435">
        <f>'规制工具'!Q41</f>
        <v/>
      </c>
      <c r="G87" s="435">
        <f>'规制工具'!R41</f>
        <v/>
      </c>
      <c r="H87" s="435">
        <f>'规制工具'!L41</f>
        <v/>
      </c>
      <c r="I87" s="435" t="inlineStr">
        <is>
          <t>规制工具</t>
        </is>
      </c>
      <c r="J87" s="435">
        <f>'规制工具'!C41</f>
        <v/>
      </c>
      <c r="K87" s="435">
        <f>'规制工具'!E41</f>
        <v/>
      </c>
      <c r="L87" s="435">
        <f>'规制工具'!F41</f>
        <v/>
      </c>
      <c r="M87" s="430" t="n"/>
    </row>
    <row r="88" ht="114" customHeight="1">
      <c r="A88" s="435">
        <f>'规制工具'!A42</f>
        <v/>
      </c>
      <c r="B88" s="435">
        <f>'规制工具'!D42</f>
        <v/>
      </c>
      <c r="C88" s="435">
        <f>'规制工具'!H42</f>
        <v/>
      </c>
      <c r="D88" s="435">
        <f>'规制工具'!G42</f>
        <v/>
      </c>
      <c r="E88" s="435">
        <f>'规制工具'!U42</f>
        <v/>
      </c>
      <c r="F88" s="435">
        <f>'规制工具'!Q42</f>
        <v/>
      </c>
      <c r="G88" s="435">
        <f>'规制工具'!R42</f>
        <v/>
      </c>
      <c r="H88" s="435">
        <f>'规制工具'!L42</f>
        <v/>
      </c>
      <c r="I88" s="435" t="inlineStr">
        <is>
          <t>规制工具</t>
        </is>
      </c>
      <c r="J88" s="435">
        <f>'规制工具'!C42</f>
        <v/>
      </c>
      <c r="K88" s="435">
        <f>'规制工具'!E42</f>
        <v/>
      </c>
      <c r="L88" s="435">
        <f>'规制工具'!F42</f>
        <v/>
      </c>
      <c r="M88" s="430" t="n"/>
    </row>
    <row r="89" ht="114" customHeight="1">
      <c r="A89" s="435">
        <f>'规制工具'!A43</f>
        <v/>
      </c>
      <c r="B89" s="435">
        <f>'规制工具'!D43</f>
        <v/>
      </c>
      <c r="C89" s="435">
        <f>'规制工具'!H43</f>
        <v/>
      </c>
      <c r="D89" s="435">
        <f>'规制工具'!G43</f>
        <v/>
      </c>
      <c r="E89" s="435">
        <f>'规制工具'!U43</f>
        <v/>
      </c>
      <c r="F89" s="435">
        <f>'规制工具'!Q43</f>
        <v/>
      </c>
      <c r="G89" s="435">
        <f>'规制工具'!R43</f>
        <v/>
      </c>
      <c r="H89" s="435">
        <f>'规制工具'!L43</f>
        <v/>
      </c>
      <c r="I89" s="435" t="inlineStr">
        <is>
          <t>规制工具</t>
        </is>
      </c>
      <c r="J89" s="435">
        <f>'规制工具'!C43</f>
        <v/>
      </c>
      <c r="K89" s="435">
        <f>'规制工具'!E43</f>
        <v/>
      </c>
      <c r="L89" s="435">
        <f>'规制工具'!F43</f>
        <v/>
      </c>
      <c r="M89" s="430" t="n"/>
    </row>
    <row r="90" ht="114" customHeight="1">
      <c r="A90" s="435">
        <f>'规制工具'!A44</f>
        <v/>
      </c>
      <c r="B90" s="435">
        <f>'规制工具'!D44</f>
        <v/>
      </c>
      <c r="C90" s="435">
        <f>'规制工具'!H44</f>
        <v/>
      </c>
      <c r="D90" s="435">
        <f>'规制工具'!G44</f>
        <v/>
      </c>
      <c r="E90" s="435">
        <f>'规制工具'!U44</f>
        <v/>
      </c>
      <c r="F90" s="435">
        <f>'规制工具'!Q44</f>
        <v/>
      </c>
      <c r="G90" s="435">
        <f>'规制工具'!R44</f>
        <v/>
      </c>
      <c r="H90" s="435">
        <f>'规制工具'!L44</f>
        <v/>
      </c>
      <c r="I90" s="435" t="inlineStr">
        <is>
          <t>规制工具</t>
        </is>
      </c>
      <c r="J90" s="435">
        <f>'规制工具'!C44</f>
        <v/>
      </c>
      <c r="K90" s="435">
        <f>'规制工具'!E44</f>
        <v/>
      </c>
      <c r="L90" s="435">
        <f>'规制工具'!F44</f>
        <v/>
      </c>
      <c r="M90" s="430" t="n"/>
    </row>
    <row r="91" ht="114" customHeight="1">
      <c r="A91" s="435">
        <f>'规制工具'!A45</f>
        <v/>
      </c>
      <c r="B91" s="435">
        <f>'规制工具'!D45</f>
        <v/>
      </c>
      <c r="C91" s="435">
        <f>'规制工具'!H45</f>
        <v/>
      </c>
      <c r="D91" s="435">
        <f>'规制工具'!G45</f>
        <v/>
      </c>
      <c r="E91" s="435">
        <f>'规制工具'!U45</f>
        <v/>
      </c>
      <c r="F91" s="435">
        <f>'规制工具'!Q45</f>
        <v/>
      </c>
      <c r="G91" s="435">
        <f>'规制工具'!R45</f>
        <v/>
      </c>
      <c r="H91" s="435">
        <f>'规制工具'!L45</f>
        <v/>
      </c>
      <c r="I91" s="435" t="inlineStr">
        <is>
          <t>规制工具</t>
        </is>
      </c>
      <c r="J91" s="435">
        <f>'规制工具'!C45</f>
        <v/>
      </c>
      <c r="K91" s="435">
        <f>'规制工具'!E45</f>
        <v/>
      </c>
      <c r="L91" s="435">
        <f>'规制工具'!F45</f>
        <v/>
      </c>
      <c r="M91" s="430" t="n"/>
    </row>
    <row r="92" ht="114" customHeight="1">
      <c r="A92" s="435">
        <f>'规制工具'!A46</f>
        <v/>
      </c>
      <c r="B92" s="435">
        <f>'规制工具'!D46</f>
        <v/>
      </c>
      <c r="C92" s="435">
        <f>'规制工具'!H46</f>
        <v/>
      </c>
      <c r="D92" s="435">
        <f>'规制工具'!G46</f>
        <v/>
      </c>
      <c r="E92" s="435">
        <f>'规制工具'!U46</f>
        <v/>
      </c>
      <c r="F92" s="435">
        <f>'规制工具'!Q46</f>
        <v/>
      </c>
      <c r="G92" s="435">
        <f>'规制工具'!R46</f>
        <v/>
      </c>
      <c r="H92" s="435">
        <f>'规制工具'!L46</f>
        <v/>
      </c>
      <c r="I92" s="435" t="inlineStr">
        <is>
          <t>规制工具</t>
        </is>
      </c>
      <c r="J92" s="435">
        <f>'规制工具'!C46</f>
        <v/>
      </c>
      <c r="K92" s="435">
        <f>'规制工具'!E46</f>
        <v/>
      </c>
      <c r="L92" s="435">
        <f>'规制工具'!F46</f>
        <v/>
      </c>
      <c r="M92" s="430" t="n"/>
    </row>
    <row r="93" ht="114" customHeight="1">
      <c r="A93" s="435">
        <f>'规制工具'!A47</f>
        <v/>
      </c>
      <c r="B93" s="435">
        <f>'规制工具'!D47</f>
        <v/>
      </c>
      <c r="C93" s="435">
        <f>'规制工具'!H47</f>
        <v/>
      </c>
      <c r="D93" s="435">
        <f>'规制工具'!G47</f>
        <v/>
      </c>
      <c r="E93" s="435">
        <f>'规制工具'!U47</f>
        <v/>
      </c>
      <c r="F93" s="435">
        <f>'规制工具'!Q47</f>
        <v/>
      </c>
      <c r="G93" s="435">
        <f>'规制工具'!R47</f>
        <v/>
      </c>
      <c r="H93" s="435">
        <f>'规制工具'!L47</f>
        <v/>
      </c>
      <c r="I93" s="435" t="inlineStr">
        <is>
          <t>规制工具</t>
        </is>
      </c>
      <c r="J93" s="435">
        <f>'规制工具'!C47</f>
        <v/>
      </c>
      <c r="K93" s="435">
        <f>'规制工具'!E47</f>
        <v/>
      </c>
      <c r="L93" s="435">
        <f>'规制工具'!F47</f>
        <v/>
      </c>
      <c r="M93" s="430" t="n"/>
    </row>
    <row r="94" ht="114" customHeight="1">
      <c r="A94" s="435">
        <f>'规制工具'!A48</f>
        <v/>
      </c>
      <c r="B94" s="435">
        <f>'规制工具'!D48</f>
        <v/>
      </c>
      <c r="C94" s="435">
        <f>'规制工具'!H48</f>
        <v/>
      </c>
      <c r="D94" s="435">
        <f>'规制工具'!G48</f>
        <v/>
      </c>
      <c r="E94" s="435">
        <f>'规制工具'!U48</f>
        <v/>
      </c>
      <c r="F94" s="435">
        <f>'规制工具'!Q48</f>
        <v/>
      </c>
      <c r="G94" s="435">
        <f>'规制工具'!R48</f>
        <v/>
      </c>
      <c r="H94" s="435">
        <f>'规制工具'!L48</f>
        <v/>
      </c>
      <c r="I94" s="435" t="inlineStr">
        <is>
          <t>规制工具</t>
        </is>
      </c>
      <c r="J94" s="435">
        <f>'规制工具'!C48</f>
        <v/>
      </c>
      <c r="K94" s="435">
        <f>'规制工具'!E48</f>
        <v/>
      </c>
      <c r="L94" s="435">
        <f>'规制工具'!F48</f>
        <v/>
      </c>
      <c r="M94" s="430" t="n"/>
    </row>
    <row r="95" ht="114" customHeight="1">
      <c r="A95" s="435">
        <f>'规制工具'!A49</f>
        <v/>
      </c>
      <c r="B95" s="435">
        <f>'规制工具'!D49</f>
        <v/>
      </c>
      <c r="C95" s="435">
        <f>'规制工具'!H49</f>
        <v/>
      </c>
      <c r="D95" s="435">
        <f>'规制工具'!G49</f>
        <v/>
      </c>
      <c r="E95" s="435">
        <f>'规制工具'!U49</f>
        <v/>
      </c>
      <c r="F95" s="435">
        <f>'规制工具'!Q49</f>
        <v/>
      </c>
      <c r="G95" s="435">
        <f>'规制工具'!R49</f>
        <v/>
      </c>
      <c r="H95" s="435">
        <f>'规制工具'!L49</f>
        <v/>
      </c>
      <c r="I95" s="435" t="inlineStr">
        <is>
          <t>规制工具</t>
        </is>
      </c>
      <c r="J95" s="435">
        <f>'规制工具'!C49</f>
        <v/>
      </c>
      <c r="K95" s="435">
        <f>'规制工具'!E49</f>
        <v/>
      </c>
      <c r="L95" s="435">
        <f>'规制工具'!F49</f>
        <v/>
      </c>
      <c r="M95" s="430" t="n"/>
    </row>
    <row r="96" ht="114" customHeight="1">
      <c r="A96" s="435">
        <f>'规制工具'!A50</f>
        <v/>
      </c>
      <c r="B96" s="435">
        <f>'规制工具'!D50</f>
        <v/>
      </c>
      <c r="C96" s="435">
        <f>'规制工具'!H50</f>
        <v/>
      </c>
      <c r="D96" s="435">
        <f>'规制工具'!G50</f>
        <v/>
      </c>
      <c r="E96" s="435">
        <f>'规制工具'!U50</f>
        <v/>
      </c>
      <c r="F96" s="435">
        <f>'规制工具'!Q50</f>
        <v/>
      </c>
      <c r="G96" s="435">
        <f>'规制工具'!R50</f>
        <v/>
      </c>
      <c r="H96" s="435">
        <f>'规制工具'!L50</f>
        <v/>
      </c>
      <c r="I96" s="435" t="inlineStr">
        <is>
          <t>规制工具</t>
        </is>
      </c>
      <c r="J96" s="435">
        <f>'规制工具'!C50</f>
        <v/>
      </c>
      <c r="K96" s="435">
        <f>'规制工具'!E50</f>
        <v/>
      </c>
      <c r="L96" s="435">
        <f>'规制工具'!F50</f>
        <v/>
      </c>
      <c r="M96" s="430" t="n"/>
    </row>
    <row r="97" ht="114" customHeight="1">
      <c r="A97" s="435">
        <f>'规制工具'!A51</f>
        <v/>
      </c>
      <c r="B97" s="435">
        <f>'规制工具'!D51</f>
        <v/>
      </c>
      <c r="C97" s="435">
        <f>'规制工具'!H51</f>
        <v/>
      </c>
      <c r="D97" s="435">
        <f>'规制工具'!G51</f>
        <v/>
      </c>
      <c r="E97" s="435">
        <f>'规制工具'!U51</f>
        <v/>
      </c>
      <c r="F97" s="435">
        <f>'规制工具'!Q51</f>
        <v/>
      </c>
      <c r="G97" s="435">
        <f>'规制工具'!R51</f>
        <v/>
      </c>
      <c r="H97" s="435">
        <f>'规制工具'!L51</f>
        <v/>
      </c>
      <c r="I97" s="435" t="inlineStr">
        <is>
          <t>规制工具</t>
        </is>
      </c>
      <c r="J97" s="435">
        <f>'规制工具'!C51</f>
        <v/>
      </c>
      <c r="K97" s="435">
        <f>'规制工具'!E51</f>
        <v/>
      </c>
      <c r="L97" s="435">
        <f>'规制工具'!F51</f>
        <v/>
      </c>
      <c r="M97" s="430" t="n"/>
    </row>
    <row r="98" ht="114" customHeight="1">
      <c r="A98" s="435">
        <f>'规制工具'!A52</f>
        <v/>
      </c>
      <c r="B98" s="435">
        <f>'规制工具'!D52</f>
        <v/>
      </c>
      <c r="C98" s="435">
        <f>'规制工具'!H52</f>
        <v/>
      </c>
      <c r="D98" s="435">
        <f>'规制工具'!G52</f>
        <v/>
      </c>
      <c r="E98" s="435">
        <f>'规制工具'!U52</f>
        <v/>
      </c>
      <c r="F98" s="435">
        <f>'规制工具'!Q52</f>
        <v/>
      </c>
      <c r="G98" s="435">
        <f>'规制工具'!R52</f>
        <v/>
      </c>
      <c r="H98" s="435">
        <f>'规制工具'!L52</f>
        <v/>
      </c>
      <c r="I98" s="435" t="inlineStr">
        <is>
          <t>规制工具</t>
        </is>
      </c>
      <c r="J98" s="435">
        <f>'规制工具'!C52</f>
        <v/>
      </c>
      <c r="K98" s="435">
        <f>'规制工具'!E52</f>
        <v/>
      </c>
      <c r="L98" s="435">
        <f>'规制工具'!F52</f>
        <v/>
      </c>
      <c r="M98" s="430" t="n"/>
    </row>
    <row r="99" ht="114" customHeight="1">
      <c r="A99" s="435">
        <f>'规制工具'!A53</f>
        <v/>
      </c>
      <c r="B99" s="435">
        <f>'规制工具'!D53</f>
        <v/>
      </c>
      <c r="C99" s="435">
        <f>'规制工具'!H53</f>
        <v/>
      </c>
      <c r="D99" s="435">
        <f>'规制工具'!G53</f>
        <v/>
      </c>
      <c r="E99" s="435">
        <f>'规制工具'!U53</f>
        <v/>
      </c>
      <c r="F99" s="435">
        <f>'规制工具'!Q53</f>
        <v/>
      </c>
      <c r="G99" s="435">
        <f>'规制工具'!R53</f>
        <v/>
      </c>
      <c r="H99" s="435">
        <f>'规制工具'!L53</f>
        <v/>
      </c>
      <c r="I99" s="435" t="inlineStr">
        <is>
          <t>规制工具</t>
        </is>
      </c>
      <c r="J99" s="435">
        <f>'规制工具'!C53</f>
        <v/>
      </c>
      <c r="K99" s="435">
        <f>'规制工具'!E53</f>
        <v/>
      </c>
      <c r="L99" s="435">
        <f>'规制工具'!F53</f>
        <v/>
      </c>
      <c r="M99" s="430" t="n"/>
    </row>
    <row r="100" ht="114" customHeight="1">
      <c r="A100" s="435">
        <f>'规制工具'!A54</f>
        <v/>
      </c>
      <c r="B100" s="435">
        <f>'规制工具'!D54</f>
        <v/>
      </c>
      <c r="C100" s="435">
        <f>'规制工具'!H54</f>
        <v/>
      </c>
      <c r="D100" s="435">
        <f>'规制工具'!G54</f>
        <v/>
      </c>
      <c r="E100" s="435">
        <f>'规制工具'!U54</f>
        <v/>
      </c>
      <c r="F100" s="435">
        <f>'规制工具'!Q54</f>
        <v/>
      </c>
      <c r="G100" s="435">
        <f>'规制工具'!R54</f>
        <v/>
      </c>
      <c r="H100" s="435">
        <f>'规制工具'!L54</f>
        <v/>
      </c>
      <c r="I100" s="435" t="inlineStr">
        <is>
          <t>规制工具</t>
        </is>
      </c>
      <c r="J100" s="435">
        <f>'规制工具'!C54</f>
        <v/>
      </c>
      <c r="K100" s="435">
        <f>'规制工具'!E54</f>
        <v/>
      </c>
      <c r="L100" s="435">
        <f>'规制工具'!F54</f>
        <v/>
      </c>
      <c r="M100" s="430" t="n"/>
    </row>
    <row r="101" ht="114" customHeight="1">
      <c r="A101" s="435">
        <f>'规制工具'!A55</f>
        <v/>
      </c>
      <c r="B101" s="435">
        <f>'规制工具'!D55</f>
        <v/>
      </c>
      <c r="C101" s="435">
        <f>'规制工具'!H55</f>
        <v/>
      </c>
      <c r="D101" s="435">
        <f>'规制工具'!G55</f>
        <v/>
      </c>
      <c r="E101" s="435">
        <f>'规制工具'!U55</f>
        <v/>
      </c>
      <c r="F101" s="435">
        <f>'规制工具'!Q55</f>
        <v/>
      </c>
      <c r="G101" s="435">
        <f>'规制工具'!R55</f>
        <v/>
      </c>
      <c r="H101" s="435">
        <f>'规制工具'!L55</f>
        <v/>
      </c>
      <c r="I101" s="435" t="inlineStr">
        <is>
          <t>规制工具</t>
        </is>
      </c>
      <c r="J101" s="435">
        <f>'规制工具'!C55</f>
        <v/>
      </c>
      <c r="K101" s="435">
        <f>'规制工具'!E55</f>
        <v/>
      </c>
      <c r="L101" s="435">
        <f>'规制工具'!F55</f>
        <v/>
      </c>
      <c r="M101" s="430" t="n"/>
    </row>
    <row r="102" ht="114" customHeight="1">
      <c r="A102" s="435">
        <f>'规制工具'!A56</f>
        <v/>
      </c>
      <c r="B102" s="435">
        <f>'规制工具'!D56</f>
        <v/>
      </c>
      <c r="C102" s="435">
        <f>'规制工具'!H56</f>
        <v/>
      </c>
      <c r="D102" s="435">
        <f>'规制工具'!G56</f>
        <v/>
      </c>
      <c r="E102" s="435">
        <f>'规制工具'!U56</f>
        <v/>
      </c>
      <c r="F102" s="435">
        <f>'规制工具'!Q56</f>
        <v/>
      </c>
      <c r="G102" s="435">
        <f>'规制工具'!R56</f>
        <v/>
      </c>
      <c r="H102" s="435">
        <f>'规制工具'!L56</f>
        <v/>
      </c>
      <c r="I102" s="435" t="inlineStr">
        <is>
          <t>规制工具</t>
        </is>
      </c>
      <c r="J102" s="435">
        <f>'规制工具'!C56</f>
        <v/>
      </c>
      <c r="K102" s="435">
        <f>'规制工具'!E56</f>
        <v/>
      </c>
      <c r="L102" s="435">
        <f>'规制工具'!F56</f>
        <v/>
      </c>
      <c r="M102" s="430" t="n"/>
    </row>
    <row r="103" ht="114" customHeight="1">
      <c r="A103" s="435">
        <f>'规制工具'!A57</f>
        <v/>
      </c>
      <c r="B103" s="435">
        <f>'规制工具'!D57</f>
        <v/>
      </c>
      <c r="C103" s="435">
        <f>'规制工具'!H57</f>
        <v/>
      </c>
      <c r="D103" s="435">
        <f>'规制工具'!G57</f>
        <v/>
      </c>
      <c r="E103" s="435">
        <f>'规制工具'!U57</f>
        <v/>
      </c>
      <c r="F103" s="435">
        <f>'规制工具'!Q57</f>
        <v/>
      </c>
      <c r="G103" s="435">
        <f>'规制工具'!R57</f>
        <v/>
      </c>
      <c r="H103" s="435">
        <f>'规制工具'!L57</f>
        <v/>
      </c>
      <c r="I103" s="435" t="inlineStr">
        <is>
          <t>规制工具</t>
        </is>
      </c>
      <c r="J103" s="435">
        <f>'规制工具'!C57</f>
        <v/>
      </c>
      <c r="K103" s="435">
        <f>'规制工具'!E57</f>
        <v/>
      </c>
      <c r="L103" s="435">
        <f>'规制工具'!F57</f>
        <v/>
      </c>
      <c r="M103" s="430" t="n"/>
    </row>
    <row r="104" ht="114" customHeight="1">
      <c r="A104" s="435">
        <f>'规制工具'!A58</f>
        <v/>
      </c>
      <c r="B104" s="435">
        <f>'规制工具'!D58</f>
        <v/>
      </c>
      <c r="C104" s="435">
        <f>'规制工具'!H58</f>
        <v/>
      </c>
      <c r="D104" s="435">
        <f>'规制工具'!G58</f>
        <v/>
      </c>
      <c r="E104" s="435">
        <f>'规制工具'!U58</f>
        <v/>
      </c>
      <c r="F104" s="435">
        <f>'规制工具'!Q58</f>
        <v/>
      </c>
      <c r="G104" s="435">
        <f>'规制工具'!R58</f>
        <v/>
      </c>
      <c r="H104" s="435">
        <f>'规制工具'!L58</f>
        <v/>
      </c>
      <c r="I104" s="435" t="inlineStr">
        <is>
          <t>规制工具</t>
        </is>
      </c>
      <c r="J104" s="435">
        <f>'规制工具'!C58</f>
        <v/>
      </c>
      <c r="K104" s="435">
        <f>'规制工具'!E58</f>
        <v/>
      </c>
      <c r="L104" s="435">
        <f>'规制工具'!F58</f>
        <v/>
      </c>
      <c r="M104" s="430" t="n"/>
    </row>
    <row r="105" ht="114" customHeight="1">
      <c r="A105" s="435">
        <f>'规制工具'!A59</f>
        <v/>
      </c>
      <c r="B105" s="435">
        <f>'规制工具'!D59</f>
        <v/>
      </c>
      <c r="C105" s="435">
        <f>'规制工具'!H59</f>
        <v/>
      </c>
      <c r="D105" s="435">
        <f>'规制工具'!G59</f>
        <v/>
      </c>
      <c r="E105" s="435">
        <f>'规制工具'!U59</f>
        <v/>
      </c>
      <c r="F105" s="435">
        <f>'规制工具'!Q59</f>
        <v/>
      </c>
      <c r="G105" s="435">
        <f>'规制工具'!R59</f>
        <v/>
      </c>
      <c r="H105" s="435">
        <f>'规制工具'!L59</f>
        <v/>
      </c>
      <c r="I105" s="435" t="inlineStr">
        <is>
          <t>规制工具</t>
        </is>
      </c>
      <c r="J105" s="435">
        <f>'规制工具'!C59</f>
        <v/>
      </c>
      <c r="K105" s="435">
        <f>'规制工具'!E59</f>
        <v/>
      </c>
      <c r="L105" s="435">
        <f>'规制工具'!F59</f>
        <v/>
      </c>
      <c r="M105" s="430" t="n"/>
    </row>
    <row r="106" ht="114" customHeight="1">
      <c r="A106" s="435">
        <f>'规制工具'!A60</f>
        <v/>
      </c>
      <c r="B106" s="435">
        <f>'规制工具'!D60</f>
        <v/>
      </c>
      <c r="C106" s="435">
        <f>'规制工具'!H60</f>
        <v/>
      </c>
      <c r="D106" s="435">
        <f>'规制工具'!G60</f>
        <v/>
      </c>
      <c r="E106" s="435">
        <f>'规制工具'!U60</f>
        <v/>
      </c>
      <c r="F106" s="435">
        <f>'规制工具'!Q60</f>
        <v/>
      </c>
      <c r="G106" s="435">
        <f>'规制工具'!R60</f>
        <v/>
      </c>
      <c r="H106" s="435">
        <f>'规制工具'!L60</f>
        <v/>
      </c>
      <c r="I106" s="435" t="inlineStr">
        <is>
          <t>规制工具</t>
        </is>
      </c>
      <c r="J106" s="435">
        <f>'规制工具'!C60</f>
        <v/>
      </c>
      <c r="K106" s="435">
        <f>'规制工具'!E60</f>
        <v/>
      </c>
      <c r="L106" s="435">
        <f>'规制工具'!F60</f>
        <v/>
      </c>
      <c r="M106" s="430" t="n"/>
    </row>
    <row r="107" ht="114" customHeight="1">
      <c r="A107" s="435">
        <f>'规制工具'!A61</f>
        <v/>
      </c>
      <c r="B107" s="435">
        <f>'规制工具'!D61</f>
        <v/>
      </c>
      <c r="C107" s="435">
        <f>'规制工具'!H61</f>
        <v/>
      </c>
      <c r="D107" s="435">
        <f>'规制工具'!G61</f>
        <v/>
      </c>
      <c r="E107" s="435">
        <f>'规制工具'!U61</f>
        <v/>
      </c>
      <c r="F107" s="435">
        <f>'规制工具'!Q61</f>
        <v/>
      </c>
      <c r="G107" s="435">
        <f>'规制工具'!R61</f>
        <v/>
      </c>
      <c r="H107" s="435">
        <f>'规制工具'!L61</f>
        <v/>
      </c>
      <c r="I107" s="435" t="inlineStr">
        <is>
          <t>规制工具</t>
        </is>
      </c>
      <c r="J107" s="435">
        <f>'规制工具'!C61</f>
        <v/>
      </c>
      <c r="K107" s="435">
        <f>'规制工具'!E61</f>
        <v/>
      </c>
      <c r="L107" s="435">
        <f>'规制工具'!F61</f>
        <v/>
      </c>
      <c r="M107" s="430" t="n"/>
    </row>
    <row r="108" ht="114" customHeight="1">
      <c r="A108" s="435">
        <f>'规制工具'!A62</f>
        <v/>
      </c>
      <c r="B108" s="435">
        <f>'规制工具'!D62</f>
        <v/>
      </c>
      <c r="C108" s="435">
        <f>'规制工具'!H62</f>
        <v/>
      </c>
      <c r="D108" s="435">
        <f>'规制工具'!G62</f>
        <v/>
      </c>
      <c r="E108" s="435">
        <f>'规制工具'!U62</f>
        <v/>
      </c>
      <c r="F108" s="435">
        <f>'规制工具'!Q62</f>
        <v/>
      </c>
      <c r="G108" s="435">
        <f>'规制工具'!R62</f>
        <v/>
      </c>
      <c r="H108" s="435">
        <f>'规制工具'!L62</f>
        <v/>
      </c>
      <c r="I108" s="435" t="inlineStr">
        <is>
          <t>规制工具</t>
        </is>
      </c>
      <c r="J108" s="435">
        <f>'规制工具'!C62</f>
        <v/>
      </c>
      <c r="K108" s="435">
        <f>'规制工具'!E62</f>
        <v/>
      </c>
      <c r="L108" s="435">
        <f>'规制工具'!F62</f>
        <v/>
      </c>
      <c r="M108" s="430" t="n"/>
    </row>
    <row r="109" ht="114" customHeight="1">
      <c r="A109" s="435">
        <f>'规制工具'!A63</f>
        <v/>
      </c>
      <c r="B109" s="435">
        <f>'规制工具'!D63</f>
        <v/>
      </c>
      <c r="C109" s="435">
        <f>'规制工具'!H63</f>
        <v/>
      </c>
      <c r="D109" s="435">
        <f>'规制工具'!G63</f>
        <v/>
      </c>
      <c r="E109" s="435">
        <f>'规制工具'!U63</f>
        <v/>
      </c>
      <c r="F109" s="435">
        <f>'规制工具'!Q63</f>
        <v/>
      </c>
      <c r="G109" s="435">
        <f>'规制工具'!R63</f>
        <v/>
      </c>
      <c r="H109" s="435">
        <f>'规制工具'!L63</f>
        <v/>
      </c>
      <c r="I109" s="435" t="inlineStr">
        <is>
          <t>规制工具</t>
        </is>
      </c>
      <c r="J109" s="435">
        <f>'规制工具'!C63</f>
        <v/>
      </c>
      <c r="K109" s="435">
        <f>'规制工具'!E63</f>
        <v/>
      </c>
      <c r="L109" s="435">
        <f>'规制工具'!F63</f>
        <v/>
      </c>
      <c r="M109" s="430" t="n"/>
    </row>
    <row r="110" ht="142.5" customHeight="1">
      <c r="A110" s="435">
        <f>'规制工具'!A64</f>
        <v/>
      </c>
      <c r="B110" s="435">
        <f>'规制工具'!D64</f>
        <v/>
      </c>
      <c r="C110" s="435">
        <f>'规制工具'!H64</f>
        <v/>
      </c>
      <c r="D110" s="435">
        <f>'规制工具'!G64</f>
        <v/>
      </c>
      <c r="E110" s="435">
        <f>'规制工具'!U64</f>
        <v/>
      </c>
      <c r="F110" s="435">
        <f>'规制工具'!Q64</f>
        <v/>
      </c>
      <c r="G110" s="435">
        <f>'规制工具'!R64</f>
        <v/>
      </c>
      <c r="H110" s="435">
        <f>'规制工具'!L64</f>
        <v/>
      </c>
      <c r="I110" s="435" t="inlineStr">
        <is>
          <t>规制工具</t>
        </is>
      </c>
      <c r="J110" s="435">
        <f>'规制工具'!C64</f>
        <v/>
      </c>
      <c r="K110" s="435">
        <f>'规制工具'!E64</f>
        <v/>
      </c>
      <c r="L110" s="435">
        <f>'规制工具'!F64</f>
        <v/>
      </c>
      <c r="M110" s="430" t="n"/>
    </row>
    <row r="111" ht="142.5" customHeight="1">
      <c r="A111" s="435">
        <f>'规制工具'!A65</f>
        <v/>
      </c>
      <c r="B111" s="435">
        <f>'规制工具'!D65</f>
        <v/>
      </c>
      <c r="C111" s="435">
        <f>'规制工具'!H65</f>
        <v/>
      </c>
      <c r="D111" s="435">
        <f>'规制工具'!G65</f>
        <v/>
      </c>
      <c r="E111" s="435">
        <f>'规制工具'!U65</f>
        <v/>
      </c>
      <c r="F111" s="435">
        <f>'规制工具'!Q65</f>
        <v/>
      </c>
      <c r="G111" s="435">
        <f>'规制工具'!R65</f>
        <v/>
      </c>
      <c r="H111" s="435">
        <f>'规制工具'!L65</f>
        <v/>
      </c>
      <c r="I111" s="435" t="inlineStr">
        <is>
          <t>规制工具</t>
        </is>
      </c>
      <c r="J111" s="435">
        <f>'规制工具'!C65</f>
        <v/>
      </c>
      <c r="K111" s="435">
        <f>'规制工具'!E65</f>
        <v/>
      </c>
      <c r="L111" s="435">
        <f>'规制工具'!F65</f>
        <v/>
      </c>
      <c r="M111" s="430" t="n"/>
    </row>
    <row r="112" ht="409.5" customHeight="1">
      <c r="A112" s="435">
        <f>'规制工具'!A66</f>
        <v/>
      </c>
      <c r="B112" s="435">
        <f>'规制工具'!D66</f>
        <v/>
      </c>
      <c r="C112" s="435">
        <f>'规制工具'!H66</f>
        <v/>
      </c>
      <c r="D112" s="435">
        <f>'规制工具'!G66</f>
        <v/>
      </c>
      <c r="E112" s="435">
        <f>'规制工具'!U66</f>
        <v/>
      </c>
      <c r="F112" s="435">
        <f>'规制工具'!Q66</f>
        <v/>
      </c>
      <c r="G112" s="435">
        <f>'规制工具'!R66</f>
        <v/>
      </c>
      <c r="H112" s="435">
        <f>'规制工具'!L66</f>
        <v/>
      </c>
      <c r="I112" s="435" t="inlineStr">
        <is>
          <t>规制工具</t>
        </is>
      </c>
      <c r="J112" s="435">
        <f>'规制工具'!C66</f>
        <v/>
      </c>
      <c r="K112" s="435">
        <f>'规制工具'!E66</f>
        <v/>
      </c>
      <c r="L112" s="435">
        <f>'规制工具'!F66</f>
        <v/>
      </c>
      <c r="M112" s="430" t="n"/>
    </row>
    <row r="113" ht="85.5" customHeight="1">
      <c r="A113" s="435">
        <f>'规制工具'!A67</f>
        <v/>
      </c>
      <c r="B113" s="435">
        <f>'规制工具'!D67</f>
        <v/>
      </c>
      <c r="C113" s="435">
        <f>'规制工具'!H67</f>
        <v/>
      </c>
      <c r="D113" s="435">
        <f>'规制工具'!G67</f>
        <v/>
      </c>
      <c r="E113" s="435">
        <f>'规制工具'!U67</f>
        <v/>
      </c>
      <c r="F113" s="435">
        <f>'规制工具'!Q67</f>
        <v/>
      </c>
      <c r="G113" s="435">
        <f>'规制工具'!R67</f>
        <v/>
      </c>
      <c r="H113" s="435">
        <f>'规制工具'!L67</f>
        <v/>
      </c>
      <c r="I113" s="435" t="inlineStr">
        <is>
          <t>规制工具</t>
        </is>
      </c>
      <c r="J113" s="435">
        <f>'规制工具'!C67</f>
        <v/>
      </c>
      <c r="K113" s="435">
        <f>'规制工具'!E67</f>
        <v/>
      </c>
      <c r="L113" s="435">
        <f>'规制工具'!F67</f>
        <v/>
      </c>
      <c r="M113" s="430" t="n"/>
    </row>
    <row r="114" ht="85.5" customHeight="1">
      <c r="A114" s="435">
        <f>'规制工具'!A68</f>
        <v/>
      </c>
      <c r="B114" s="435">
        <f>'规制工具'!D68</f>
        <v/>
      </c>
      <c r="C114" s="435">
        <f>'规制工具'!H68</f>
        <v/>
      </c>
      <c r="D114" s="435">
        <f>'规制工具'!G68</f>
        <v/>
      </c>
      <c r="E114" s="435">
        <f>'规制工具'!U68</f>
        <v/>
      </c>
      <c r="F114" s="435">
        <f>'规制工具'!Q68</f>
        <v/>
      </c>
      <c r="G114" s="435">
        <f>'规制工具'!R68</f>
        <v/>
      </c>
      <c r="H114" s="435">
        <f>'规制工具'!L68</f>
        <v/>
      </c>
      <c r="I114" s="435" t="inlineStr">
        <is>
          <t>规制工具</t>
        </is>
      </c>
      <c r="J114" s="435">
        <f>'规制工具'!C68</f>
        <v/>
      </c>
      <c r="K114" s="435">
        <f>'规制工具'!E68</f>
        <v/>
      </c>
      <c r="L114" s="435">
        <f>'规制工具'!F68</f>
        <v/>
      </c>
      <c r="M114" s="430" t="n"/>
    </row>
    <row r="115" ht="85.5" customHeight="1">
      <c r="A115" s="435">
        <f>'规制工具'!A69</f>
        <v/>
      </c>
      <c r="B115" s="435">
        <f>'规制工具'!D69</f>
        <v/>
      </c>
      <c r="C115" s="435">
        <f>'规制工具'!H69</f>
        <v/>
      </c>
      <c r="D115" s="435">
        <f>'规制工具'!G69</f>
        <v/>
      </c>
      <c r="E115" s="435">
        <f>'规制工具'!U69</f>
        <v/>
      </c>
      <c r="F115" s="435">
        <f>'规制工具'!Q69</f>
        <v/>
      </c>
      <c r="G115" s="435">
        <f>'规制工具'!R69</f>
        <v/>
      </c>
      <c r="H115" s="435">
        <f>'规制工具'!L69</f>
        <v/>
      </c>
      <c r="I115" s="435" t="inlineStr">
        <is>
          <t>规制工具</t>
        </is>
      </c>
      <c r="J115" s="435">
        <f>'规制工具'!C69</f>
        <v/>
      </c>
      <c r="K115" s="435">
        <f>'规制工具'!E69</f>
        <v/>
      </c>
      <c r="L115" s="435">
        <f>'规制工具'!F69</f>
        <v/>
      </c>
      <c r="M115" s="430" t="n"/>
    </row>
    <row r="116" ht="85.5" customHeight="1">
      <c r="A116" s="435">
        <f>'规制工具'!A70</f>
        <v/>
      </c>
      <c r="B116" s="435">
        <f>'规制工具'!D70</f>
        <v/>
      </c>
      <c r="C116" s="435">
        <f>'规制工具'!H70</f>
        <v/>
      </c>
      <c r="D116" s="435">
        <f>'规制工具'!G70</f>
        <v/>
      </c>
      <c r="E116" s="435">
        <f>'规制工具'!U70</f>
        <v/>
      </c>
      <c r="F116" s="435">
        <f>'规制工具'!Q70</f>
        <v/>
      </c>
      <c r="G116" s="435">
        <f>'规制工具'!R70</f>
        <v/>
      </c>
      <c r="H116" s="435">
        <f>'规制工具'!L70</f>
        <v/>
      </c>
      <c r="I116" s="435" t="inlineStr">
        <is>
          <t>规制工具</t>
        </is>
      </c>
      <c r="J116" s="435">
        <f>'规制工具'!C70</f>
        <v/>
      </c>
      <c r="K116" s="435">
        <f>'规制工具'!E70</f>
        <v/>
      </c>
      <c r="L116" s="435">
        <f>'规制工具'!F70</f>
        <v/>
      </c>
      <c r="M116" s="430" t="n"/>
    </row>
    <row r="117" ht="85.5" customHeight="1">
      <c r="A117" s="435">
        <f>'规制工具'!A71</f>
        <v/>
      </c>
      <c r="B117" s="435">
        <f>'规制工具'!D71</f>
        <v/>
      </c>
      <c r="C117" s="435">
        <f>'规制工具'!H71</f>
        <v/>
      </c>
      <c r="D117" s="435">
        <f>'规制工具'!G71</f>
        <v/>
      </c>
      <c r="E117" s="435">
        <f>'规制工具'!U71</f>
        <v/>
      </c>
      <c r="F117" s="435">
        <f>'规制工具'!Q71</f>
        <v/>
      </c>
      <c r="G117" s="435">
        <f>'规制工具'!R71</f>
        <v/>
      </c>
      <c r="H117" s="435">
        <f>'规制工具'!L71</f>
        <v/>
      </c>
      <c r="I117" s="435" t="inlineStr">
        <is>
          <t>规制工具</t>
        </is>
      </c>
      <c r="J117" s="435">
        <f>'规制工具'!C71</f>
        <v/>
      </c>
      <c r="K117" s="435">
        <f>'规制工具'!E71</f>
        <v/>
      </c>
      <c r="L117" s="435">
        <f>'规制工具'!F71</f>
        <v/>
      </c>
      <c r="M117" s="430" t="n"/>
    </row>
    <row r="118" ht="85.5" customHeight="1">
      <c r="A118" s="435">
        <f>'规制工具'!A72</f>
        <v/>
      </c>
      <c r="B118" s="435">
        <f>'规制工具'!D72</f>
        <v/>
      </c>
      <c r="C118" s="435">
        <f>'规制工具'!H72</f>
        <v/>
      </c>
      <c r="D118" s="435">
        <f>'规制工具'!G72</f>
        <v/>
      </c>
      <c r="E118" s="435">
        <f>'规制工具'!U72</f>
        <v/>
      </c>
      <c r="F118" s="435">
        <f>'规制工具'!Q72</f>
        <v/>
      </c>
      <c r="G118" s="435">
        <f>'规制工具'!R72</f>
        <v/>
      </c>
      <c r="H118" s="435">
        <f>'规制工具'!L72</f>
        <v/>
      </c>
      <c r="I118" s="435" t="inlineStr">
        <is>
          <t>规制工具</t>
        </is>
      </c>
      <c r="J118" s="435">
        <f>'规制工具'!C72</f>
        <v/>
      </c>
      <c r="K118" s="435">
        <f>'规制工具'!E72</f>
        <v/>
      </c>
      <c r="L118" s="435">
        <f>'规制工具'!F72</f>
        <v/>
      </c>
      <c r="M118" s="430" t="n"/>
    </row>
    <row r="119" ht="85.5" customHeight="1">
      <c r="A119" s="435">
        <f>'规制工具'!A73</f>
        <v/>
      </c>
      <c r="B119" s="435">
        <f>'规制工具'!D73</f>
        <v/>
      </c>
      <c r="C119" s="435">
        <f>'规制工具'!H73</f>
        <v/>
      </c>
      <c r="D119" s="435">
        <f>'规制工具'!G73</f>
        <v/>
      </c>
      <c r="E119" s="435">
        <f>'规制工具'!U73</f>
        <v/>
      </c>
      <c r="F119" s="435">
        <f>'规制工具'!Q73</f>
        <v/>
      </c>
      <c r="G119" s="435">
        <f>'规制工具'!R73</f>
        <v/>
      </c>
      <c r="H119" s="435">
        <f>'规制工具'!L73</f>
        <v/>
      </c>
      <c r="I119" s="435" t="inlineStr">
        <is>
          <t>规制工具</t>
        </is>
      </c>
      <c r="J119" s="435">
        <f>'规制工具'!C73</f>
        <v/>
      </c>
      <c r="K119" s="435">
        <f>'规制工具'!E73</f>
        <v/>
      </c>
      <c r="L119" s="435">
        <f>'规制工具'!F73</f>
        <v/>
      </c>
      <c r="M119" s="430" t="n"/>
    </row>
    <row r="120" ht="85.5" customHeight="1">
      <c r="A120" s="435">
        <f>'规制工具'!A74</f>
        <v/>
      </c>
      <c r="B120" s="435">
        <f>'规制工具'!D74</f>
        <v/>
      </c>
      <c r="C120" s="435">
        <f>'规制工具'!H74</f>
        <v/>
      </c>
      <c r="D120" s="435">
        <f>'规制工具'!G74</f>
        <v/>
      </c>
      <c r="E120" s="435">
        <f>'规制工具'!U74</f>
        <v/>
      </c>
      <c r="F120" s="435">
        <f>'规制工具'!Q74</f>
        <v/>
      </c>
      <c r="G120" s="435">
        <f>'规制工具'!R74</f>
        <v/>
      </c>
      <c r="H120" s="435">
        <f>'规制工具'!L74</f>
        <v/>
      </c>
      <c r="I120" s="435" t="inlineStr">
        <is>
          <t>规制工具</t>
        </is>
      </c>
      <c r="J120" s="435">
        <f>'规制工具'!C74</f>
        <v/>
      </c>
      <c r="K120" s="435">
        <f>'规制工具'!E74</f>
        <v/>
      </c>
      <c r="L120" s="435">
        <f>'规制工具'!F74</f>
        <v/>
      </c>
      <c r="M120" s="430" t="n"/>
    </row>
    <row r="121" ht="85.5" customHeight="1">
      <c r="A121" s="435">
        <f>'规制工具'!A75</f>
        <v/>
      </c>
      <c r="B121" s="435">
        <f>'规制工具'!D75</f>
        <v/>
      </c>
      <c r="C121" s="435">
        <f>'规制工具'!H75</f>
        <v/>
      </c>
      <c r="D121" s="435">
        <f>'规制工具'!G75</f>
        <v/>
      </c>
      <c r="E121" s="435">
        <f>'规制工具'!U75</f>
        <v/>
      </c>
      <c r="F121" s="435">
        <f>'规制工具'!Q75</f>
        <v/>
      </c>
      <c r="G121" s="435">
        <f>'规制工具'!R75</f>
        <v/>
      </c>
      <c r="H121" s="435">
        <f>'规制工具'!L75</f>
        <v/>
      </c>
      <c r="I121" s="435" t="inlineStr">
        <is>
          <t>规制工具</t>
        </is>
      </c>
      <c r="J121" s="435">
        <f>'规制工具'!C75</f>
        <v/>
      </c>
      <c r="K121" s="435">
        <f>'规制工具'!E75</f>
        <v/>
      </c>
      <c r="L121" s="435">
        <f>'规制工具'!F75</f>
        <v/>
      </c>
      <c r="M121" s="430" t="n"/>
    </row>
    <row r="122" ht="85.5" customHeight="1">
      <c r="A122" s="435">
        <f>'规制工具'!A76</f>
        <v/>
      </c>
      <c r="B122" s="435">
        <f>'规制工具'!D76</f>
        <v/>
      </c>
      <c r="C122" s="435">
        <f>'规制工具'!H76</f>
        <v/>
      </c>
      <c r="D122" s="435">
        <f>'规制工具'!G76</f>
        <v/>
      </c>
      <c r="E122" s="435">
        <f>'规制工具'!U76</f>
        <v/>
      </c>
      <c r="F122" s="435">
        <f>'规制工具'!Q76</f>
        <v/>
      </c>
      <c r="G122" s="435">
        <f>'规制工具'!R76</f>
        <v/>
      </c>
      <c r="H122" s="435">
        <f>'规制工具'!L76</f>
        <v/>
      </c>
      <c r="I122" s="435" t="inlineStr">
        <is>
          <t>规制工具</t>
        </is>
      </c>
      <c r="J122" s="435">
        <f>'规制工具'!C76</f>
        <v/>
      </c>
      <c r="K122" s="435">
        <f>'规制工具'!E76</f>
        <v/>
      </c>
      <c r="L122" s="435">
        <f>'规制工具'!F76</f>
        <v/>
      </c>
      <c r="M122" s="430" t="n"/>
    </row>
    <row r="123" ht="85.5" customHeight="1">
      <c r="A123" s="435">
        <f>'规制工具'!A77</f>
        <v/>
      </c>
      <c r="B123" s="435">
        <f>'规制工具'!D77</f>
        <v/>
      </c>
      <c r="C123" s="435">
        <f>'规制工具'!H77</f>
        <v/>
      </c>
      <c r="D123" s="435">
        <f>'规制工具'!G77</f>
        <v/>
      </c>
      <c r="E123" s="435">
        <f>'规制工具'!U77</f>
        <v/>
      </c>
      <c r="F123" s="435">
        <f>'规制工具'!Q77</f>
        <v/>
      </c>
      <c r="G123" s="435">
        <f>'规制工具'!R77</f>
        <v/>
      </c>
      <c r="H123" s="435">
        <f>'规制工具'!L77</f>
        <v/>
      </c>
      <c r="I123" s="435" t="inlineStr">
        <is>
          <t>规制工具</t>
        </is>
      </c>
      <c r="J123" s="435">
        <f>'规制工具'!C77</f>
        <v/>
      </c>
      <c r="K123" s="435">
        <f>'规制工具'!E77</f>
        <v/>
      </c>
      <c r="L123" s="435">
        <f>'规制工具'!F77</f>
        <v/>
      </c>
      <c r="M123" s="430" t="n"/>
    </row>
    <row r="124" ht="85.5" customHeight="1">
      <c r="A124" s="435">
        <f>'规制工具'!A78</f>
        <v/>
      </c>
      <c r="B124" s="435">
        <f>'规制工具'!D78</f>
        <v/>
      </c>
      <c r="C124" s="435">
        <f>'规制工具'!H78</f>
        <v/>
      </c>
      <c r="D124" s="435">
        <f>'规制工具'!G78</f>
        <v/>
      </c>
      <c r="E124" s="435">
        <f>'规制工具'!U78</f>
        <v/>
      </c>
      <c r="F124" s="435">
        <f>'规制工具'!Q78</f>
        <v/>
      </c>
      <c r="G124" s="435">
        <f>'规制工具'!R78</f>
        <v/>
      </c>
      <c r="H124" s="435">
        <f>'规制工具'!L78</f>
        <v/>
      </c>
      <c r="I124" s="435" t="inlineStr">
        <is>
          <t>规制工具</t>
        </is>
      </c>
      <c r="J124" s="435">
        <f>'规制工具'!C78</f>
        <v/>
      </c>
      <c r="K124" s="435">
        <f>'规制工具'!E78</f>
        <v/>
      </c>
      <c r="L124" s="435">
        <f>'规制工具'!F78</f>
        <v/>
      </c>
      <c r="M124" s="430" t="n"/>
    </row>
    <row r="125" ht="85.5" customHeight="1">
      <c r="A125" s="435">
        <f>'规制工具'!A79</f>
        <v/>
      </c>
      <c r="B125" s="435">
        <f>'规制工具'!D79</f>
        <v/>
      </c>
      <c r="C125" s="435">
        <f>'规制工具'!H79</f>
        <v/>
      </c>
      <c r="D125" s="435">
        <f>'规制工具'!G79</f>
        <v/>
      </c>
      <c r="E125" s="435">
        <f>'规制工具'!U79</f>
        <v/>
      </c>
      <c r="F125" s="435">
        <f>'规制工具'!Q79</f>
        <v/>
      </c>
      <c r="G125" s="435">
        <f>'规制工具'!R79</f>
        <v/>
      </c>
      <c r="H125" s="435">
        <f>'规制工具'!L79</f>
        <v/>
      </c>
      <c r="I125" s="435" t="inlineStr">
        <is>
          <t>规制工具</t>
        </is>
      </c>
      <c r="J125" s="435">
        <f>'规制工具'!C79</f>
        <v/>
      </c>
      <c r="K125" s="435">
        <f>'规制工具'!E79</f>
        <v/>
      </c>
      <c r="L125" s="435">
        <f>'规制工具'!F79</f>
        <v/>
      </c>
      <c r="M125" s="430" t="n"/>
    </row>
    <row r="126" ht="85.5" customHeight="1">
      <c r="A126" s="435">
        <f>'规制工具'!A80</f>
        <v/>
      </c>
      <c r="B126" s="435">
        <f>'规制工具'!D80</f>
        <v/>
      </c>
      <c r="C126" s="435">
        <f>'规制工具'!H80</f>
        <v/>
      </c>
      <c r="D126" s="435">
        <f>'规制工具'!G80</f>
        <v/>
      </c>
      <c r="E126" s="435">
        <f>'规制工具'!U80</f>
        <v/>
      </c>
      <c r="F126" s="435">
        <f>'规制工具'!Q80</f>
        <v/>
      </c>
      <c r="G126" s="435">
        <f>'规制工具'!R80</f>
        <v/>
      </c>
      <c r="H126" s="435">
        <f>'规制工具'!L80</f>
        <v/>
      </c>
      <c r="I126" s="435" t="inlineStr">
        <is>
          <t>规制工具</t>
        </is>
      </c>
      <c r="J126" s="435">
        <f>'规制工具'!C80</f>
        <v/>
      </c>
      <c r="K126" s="435">
        <f>'规制工具'!E80</f>
        <v/>
      </c>
      <c r="L126" s="435">
        <f>'规制工具'!F80</f>
        <v/>
      </c>
      <c r="M126" s="430" t="n"/>
    </row>
    <row r="127" ht="85.5" customHeight="1">
      <c r="A127" s="435">
        <f>'规制工具'!A81</f>
        <v/>
      </c>
      <c r="B127" s="435">
        <f>'规制工具'!D81</f>
        <v/>
      </c>
      <c r="C127" s="435">
        <f>'规制工具'!H81</f>
        <v/>
      </c>
      <c r="D127" s="435">
        <f>'规制工具'!G81</f>
        <v/>
      </c>
      <c r="E127" s="435">
        <f>'规制工具'!U81</f>
        <v/>
      </c>
      <c r="F127" s="435">
        <f>'规制工具'!Q81</f>
        <v/>
      </c>
      <c r="G127" s="435">
        <f>'规制工具'!R81</f>
        <v/>
      </c>
      <c r="H127" s="435">
        <f>'规制工具'!L81</f>
        <v/>
      </c>
      <c r="I127" s="435" t="inlineStr">
        <is>
          <t>规制工具</t>
        </is>
      </c>
      <c r="J127" s="435">
        <f>'规制工具'!C81</f>
        <v/>
      </c>
      <c r="K127" s="435">
        <f>'规制工具'!E81</f>
        <v/>
      </c>
      <c r="L127" s="435">
        <f>'规制工具'!F81</f>
        <v/>
      </c>
      <c r="M127" s="430" t="n"/>
    </row>
    <row r="128" ht="85.5" customHeight="1">
      <c r="A128" s="435">
        <f>'规制工具'!A82</f>
        <v/>
      </c>
      <c r="B128" s="435">
        <f>'规制工具'!D82</f>
        <v/>
      </c>
      <c r="C128" s="435">
        <f>'规制工具'!H82</f>
        <v/>
      </c>
      <c r="D128" s="435">
        <f>'规制工具'!G82</f>
        <v/>
      </c>
      <c r="E128" s="435">
        <f>'规制工具'!U82</f>
        <v/>
      </c>
      <c r="F128" s="435">
        <f>'规制工具'!Q82</f>
        <v/>
      </c>
      <c r="G128" s="435">
        <f>'规制工具'!R82</f>
        <v/>
      </c>
      <c r="H128" s="435">
        <f>'规制工具'!L82</f>
        <v/>
      </c>
      <c r="I128" s="435" t="inlineStr">
        <is>
          <t>规制工具</t>
        </is>
      </c>
      <c r="J128" s="435">
        <f>'规制工具'!C82</f>
        <v/>
      </c>
      <c r="K128" s="435">
        <f>'规制工具'!E82</f>
        <v/>
      </c>
      <c r="L128" s="435">
        <f>'规制工具'!F82</f>
        <v/>
      </c>
      <c r="M128" s="430" t="n"/>
    </row>
    <row r="129" ht="85.5" customHeight="1">
      <c r="A129" s="435">
        <f>'规制工具'!A83</f>
        <v/>
      </c>
      <c r="B129" s="435">
        <f>'规制工具'!D83</f>
        <v/>
      </c>
      <c r="C129" s="435">
        <f>'规制工具'!H83</f>
        <v/>
      </c>
      <c r="D129" s="435">
        <f>'规制工具'!G83</f>
        <v/>
      </c>
      <c r="E129" s="435">
        <f>'规制工具'!U83</f>
        <v/>
      </c>
      <c r="F129" s="435">
        <f>'规制工具'!Q83</f>
        <v/>
      </c>
      <c r="G129" s="435">
        <f>'规制工具'!R83</f>
        <v/>
      </c>
      <c r="H129" s="435">
        <f>'规制工具'!L83</f>
        <v/>
      </c>
      <c r="I129" s="435" t="inlineStr">
        <is>
          <t>规制工具</t>
        </is>
      </c>
      <c r="J129" s="435">
        <f>'规制工具'!C83</f>
        <v/>
      </c>
      <c r="K129" s="435">
        <f>'规制工具'!E83</f>
        <v/>
      </c>
      <c r="L129" s="435">
        <f>'规制工具'!F83</f>
        <v/>
      </c>
      <c r="M129" s="430" t="n"/>
    </row>
    <row r="130" ht="85.5" customHeight="1">
      <c r="A130" s="435">
        <f>'规制工具'!A84</f>
        <v/>
      </c>
      <c r="B130" s="435">
        <f>'规制工具'!D84</f>
        <v/>
      </c>
      <c r="C130" s="435">
        <f>'规制工具'!H84</f>
        <v/>
      </c>
      <c r="D130" s="435">
        <f>'规制工具'!G84</f>
        <v/>
      </c>
      <c r="E130" s="435">
        <f>'规制工具'!U84</f>
        <v/>
      </c>
      <c r="F130" s="435">
        <f>'规制工具'!Q84</f>
        <v/>
      </c>
      <c r="G130" s="435">
        <f>'规制工具'!R84</f>
        <v/>
      </c>
      <c r="H130" s="435">
        <f>'规制工具'!L84</f>
        <v/>
      </c>
      <c r="I130" s="435" t="inlineStr">
        <is>
          <t>规制工具</t>
        </is>
      </c>
      <c r="J130" s="435">
        <f>'规制工具'!C84</f>
        <v/>
      </c>
      <c r="K130" s="435">
        <f>'规制工具'!E84</f>
        <v/>
      </c>
      <c r="L130" s="435">
        <f>'规制工具'!F84</f>
        <v/>
      </c>
      <c r="M130" s="430" t="n"/>
    </row>
    <row r="131" ht="85.5" customHeight="1">
      <c r="A131" s="435">
        <f>'规制工具'!A85</f>
        <v/>
      </c>
      <c r="B131" s="435">
        <f>'规制工具'!D85</f>
        <v/>
      </c>
      <c r="C131" s="435">
        <f>'规制工具'!H85</f>
        <v/>
      </c>
      <c r="D131" s="435">
        <f>'规制工具'!G85</f>
        <v/>
      </c>
      <c r="E131" s="435">
        <f>'规制工具'!U85</f>
        <v/>
      </c>
      <c r="F131" s="435">
        <f>'规制工具'!Q85</f>
        <v/>
      </c>
      <c r="G131" s="435">
        <f>'规制工具'!R85</f>
        <v/>
      </c>
      <c r="H131" s="435">
        <f>'规制工具'!L85</f>
        <v/>
      </c>
      <c r="I131" s="435" t="inlineStr">
        <is>
          <t>规制工具</t>
        </is>
      </c>
      <c r="J131" s="435">
        <f>'规制工具'!C85</f>
        <v/>
      </c>
      <c r="K131" s="435">
        <f>'规制工具'!E85</f>
        <v/>
      </c>
      <c r="L131" s="435">
        <f>'规制工具'!F85</f>
        <v/>
      </c>
      <c r="M131" s="430" t="n"/>
    </row>
    <row r="132" ht="85.5" customHeight="1">
      <c r="A132" s="435">
        <f>'规制工具'!A86</f>
        <v/>
      </c>
      <c r="B132" s="435">
        <f>'规制工具'!D86</f>
        <v/>
      </c>
      <c r="C132" s="435">
        <f>'规制工具'!H86</f>
        <v/>
      </c>
      <c r="D132" s="435">
        <f>'规制工具'!G86</f>
        <v/>
      </c>
      <c r="E132" s="435">
        <f>'规制工具'!U86</f>
        <v/>
      </c>
      <c r="F132" s="435">
        <f>'规制工具'!Q86</f>
        <v/>
      </c>
      <c r="G132" s="435">
        <f>'规制工具'!R86</f>
        <v/>
      </c>
      <c r="H132" s="435">
        <f>'规制工具'!L86</f>
        <v/>
      </c>
      <c r="I132" s="435" t="inlineStr">
        <is>
          <t>规制工具</t>
        </is>
      </c>
      <c r="J132" s="435">
        <f>'规制工具'!C86</f>
        <v/>
      </c>
      <c r="K132" s="435">
        <f>'规制工具'!E86</f>
        <v/>
      </c>
      <c r="L132" s="435">
        <f>'规制工具'!F86</f>
        <v/>
      </c>
      <c r="M132" s="430" t="n"/>
    </row>
    <row r="133" ht="85.5" customHeight="1">
      <c r="A133" s="435">
        <f>'规制工具'!A87</f>
        <v/>
      </c>
      <c r="B133" s="435">
        <f>'规制工具'!D87</f>
        <v/>
      </c>
      <c r="C133" s="435">
        <f>'规制工具'!H87</f>
        <v/>
      </c>
      <c r="D133" s="435">
        <f>'规制工具'!G87</f>
        <v/>
      </c>
      <c r="E133" s="435">
        <f>'规制工具'!U87</f>
        <v/>
      </c>
      <c r="F133" s="435">
        <f>'规制工具'!Q87</f>
        <v/>
      </c>
      <c r="G133" s="435">
        <f>'规制工具'!R87</f>
        <v/>
      </c>
      <c r="H133" s="435">
        <f>'规制工具'!L87</f>
        <v/>
      </c>
      <c r="I133" s="435" t="inlineStr">
        <is>
          <t>规制工具</t>
        </is>
      </c>
      <c r="J133" s="435">
        <f>'规制工具'!C87</f>
        <v/>
      </c>
      <c r="K133" s="435">
        <f>'规制工具'!E87</f>
        <v/>
      </c>
      <c r="L133" s="435">
        <f>'规制工具'!F87</f>
        <v/>
      </c>
      <c r="M133" s="430" t="n"/>
    </row>
    <row r="134" ht="85.5" customHeight="1">
      <c r="A134" s="435">
        <f>'规制工具'!A88</f>
        <v/>
      </c>
      <c r="B134" s="435">
        <f>'规制工具'!D88</f>
        <v/>
      </c>
      <c r="C134" s="435">
        <f>'规制工具'!H88</f>
        <v/>
      </c>
      <c r="D134" s="435">
        <f>'规制工具'!G88</f>
        <v/>
      </c>
      <c r="E134" s="435">
        <f>'规制工具'!U88</f>
        <v/>
      </c>
      <c r="F134" s="435">
        <f>'规制工具'!Q88</f>
        <v/>
      </c>
      <c r="G134" s="435">
        <f>'规制工具'!R88</f>
        <v/>
      </c>
      <c r="H134" s="435">
        <f>'规制工具'!L88</f>
        <v/>
      </c>
      <c r="I134" s="435" t="inlineStr">
        <is>
          <t>规制工具</t>
        </is>
      </c>
      <c r="J134" s="435">
        <f>'规制工具'!C88</f>
        <v/>
      </c>
      <c r="K134" s="435">
        <f>'规制工具'!E88</f>
        <v/>
      </c>
      <c r="L134" s="435">
        <f>'规制工具'!F88</f>
        <v/>
      </c>
      <c r="M134" s="430" t="n"/>
    </row>
    <row r="135" ht="85.5" customHeight="1">
      <c r="A135" s="435">
        <f>'规制工具'!A89</f>
        <v/>
      </c>
      <c r="B135" s="435">
        <f>'规制工具'!D89</f>
        <v/>
      </c>
      <c r="C135" s="435">
        <f>'规制工具'!H89</f>
        <v/>
      </c>
      <c r="D135" s="435">
        <f>'规制工具'!G89</f>
        <v/>
      </c>
      <c r="E135" s="435">
        <f>'规制工具'!U89</f>
        <v/>
      </c>
      <c r="F135" s="435">
        <f>'规制工具'!Q89</f>
        <v/>
      </c>
      <c r="G135" s="435">
        <f>'规制工具'!R89</f>
        <v/>
      </c>
      <c r="H135" s="435">
        <f>'规制工具'!L89</f>
        <v/>
      </c>
      <c r="I135" s="435" t="inlineStr">
        <is>
          <t>规制工具</t>
        </is>
      </c>
      <c r="J135" s="435">
        <f>'规制工具'!C89</f>
        <v/>
      </c>
      <c r="K135" s="435">
        <f>'规制工具'!E89</f>
        <v/>
      </c>
      <c r="L135" s="435">
        <f>'规制工具'!F89</f>
        <v/>
      </c>
      <c r="M135" s="430" t="n"/>
    </row>
    <row r="136" ht="85.5" customHeight="1">
      <c r="A136" s="435">
        <f>'规制工具'!A90</f>
        <v/>
      </c>
      <c r="B136" s="435">
        <f>'规制工具'!D90</f>
        <v/>
      </c>
      <c r="C136" s="435">
        <f>'规制工具'!H90</f>
        <v/>
      </c>
      <c r="D136" s="435">
        <f>'规制工具'!G90</f>
        <v/>
      </c>
      <c r="E136" s="435">
        <f>'规制工具'!U90</f>
        <v/>
      </c>
      <c r="F136" s="435">
        <f>'规制工具'!Q90</f>
        <v/>
      </c>
      <c r="G136" s="435">
        <f>'规制工具'!R90</f>
        <v/>
      </c>
      <c r="H136" s="435">
        <f>'规制工具'!L90</f>
        <v/>
      </c>
      <c r="I136" s="435" t="inlineStr">
        <is>
          <t>规制工具</t>
        </is>
      </c>
      <c r="J136" s="435">
        <f>'规制工具'!C90</f>
        <v/>
      </c>
      <c r="K136" s="435">
        <f>'规制工具'!E90</f>
        <v/>
      </c>
      <c r="L136" s="435">
        <f>'规制工具'!F90</f>
        <v/>
      </c>
      <c r="M136" s="430" t="n"/>
    </row>
    <row r="137" ht="85.5" customHeight="1">
      <c r="A137" s="435">
        <f>'规制工具'!A91</f>
        <v/>
      </c>
      <c r="B137" s="435">
        <f>'规制工具'!D91</f>
        <v/>
      </c>
      <c r="C137" s="435">
        <f>'规制工具'!H91</f>
        <v/>
      </c>
      <c r="D137" s="435">
        <f>'规制工具'!G91</f>
        <v/>
      </c>
      <c r="E137" s="435">
        <f>'规制工具'!U91</f>
        <v/>
      </c>
      <c r="F137" s="435">
        <f>'规制工具'!Q91</f>
        <v/>
      </c>
      <c r="G137" s="435">
        <f>'规制工具'!R91</f>
        <v/>
      </c>
      <c r="H137" s="435">
        <f>'规制工具'!L91</f>
        <v/>
      </c>
      <c r="I137" s="435" t="inlineStr">
        <is>
          <t>规制工具</t>
        </is>
      </c>
      <c r="J137" s="435">
        <f>'规制工具'!C91</f>
        <v/>
      </c>
      <c r="K137" s="435">
        <f>'规制工具'!E91</f>
        <v/>
      </c>
      <c r="L137" s="435">
        <f>'规制工具'!F91</f>
        <v/>
      </c>
      <c r="M137" s="430" t="n"/>
    </row>
    <row r="138" ht="99.75" customHeight="1">
      <c r="A138" s="435">
        <f>'规制工具'!A92</f>
        <v/>
      </c>
      <c r="B138" s="435">
        <f>'规制工具'!D92</f>
        <v/>
      </c>
      <c r="C138" s="435">
        <f>'规制工具'!H92</f>
        <v/>
      </c>
      <c r="D138" s="435">
        <f>'规制工具'!G92</f>
        <v/>
      </c>
      <c r="E138" s="435">
        <f>'规制工具'!U92</f>
        <v/>
      </c>
      <c r="F138" s="435">
        <f>'规制工具'!Q92</f>
        <v/>
      </c>
      <c r="G138" s="435">
        <f>'规制工具'!R92</f>
        <v/>
      </c>
      <c r="H138" s="435">
        <f>'规制工具'!L92</f>
        <v/>
      </c>
      <c r="I138" s="435" t="inlineStr">
        <is>
          <t>规制工具</t>
        </is>
      </c>
      <c r="J138" s="435">
        <f>'规制工具'!C92</f>
        <v/>
      </c>
      <c r="K138" s="435">
        <f>'规制工具'!E92</f>
        <v/>
      </c>
      <c r="L138" s="435">
        <f>'规制工具'!F92</f>
        <v/>
      </c>
      <c r="M138" s="430" t="n"/>
    </row>
    <row r="139" ht="85.5" customHeight="1">
      <c r="A139" s="435">
        <f>'规制工具'!A93</f>
        <v/>
      </c>
      <c r="B139" s="435">
        <f>'规制工具'!D93</f>
        <v/>
      </c>
      <c r="C139" s="435">
        <f>'规制工具'!H93</f>
        <v/>
      </c>
      <c r="D139" s="435">
        <f>'规制工具'!G93</f>
        <v/>
      </c>
      <c r="E139" s="435">
        <f>'规制工具'!U93</f>
        <v/>
      </c>
      <c r="F139" s="435">
        <f>'规制工具'!Q93</f>
        <v/>
      </c>
      <c r="G139" s="435">
        <f>'规制工具'!R93</f>
        <v/>
      </c>
      <c r="H139" s="435">
        <f>'规制工具'!L93</f>
        <v/>
      </c>
      <c r="I139" s="435" t="inlineStr">
        <is>
          <t>规制工具</t>
        </is>
      </c>
      <c r="J139" s="435">
        <f>'规制工具'!C93</f>
        <v/>
      </c>
      <c r="K139" s="435">
        <f>'规制工具'!E93</f>
        <v/>
      </c>
      <c r="L139" s="435">
        <f>'规制工具'!F93</f>
        <v/>
      </c>
      <c r="M139" s="430" t="n"/>
    </row>
    <row r="140" ht="99.75" customHeight="1">
      <c r="A140" s="435">
        <f>'规制工具'!A94</f>
        <v/>
      </c>
      <c r="B140" s="435">
        <f>'规制工具'!D94</f>
        <v/>
      </c>
      <c r="C140" s="435">
        <f>'规制工具'!H94</f>
        <v/>
      </c>
      <c r="D140" s="435">
        <f>'规制工具'!G94</f>
        <v/>
      </c>
      <c r="E140" s="435">
        <f>'规制工具'!U94</f>
        <v/>
      </c>
      <c r="F140" s="435">
        <f>'规制工具'!Q94</f>
        <v/>
      </c>
      <c r="G140" s="435">
        <f>'规制工具'!R94</f>
        <v/>
      </c>
      <c r="H140" s="435">
        <f>'规制工具'!L94</f>
        <v/>
      </c>
      <c r="I140" s="435" t="inlineStr">
        <is>
          <t>规制工具</t>
        </is>
      </c>
      <c r="J140" s="435">
        <f>'规制工具'!C94</f>
        <v/>
      </c>
      <c r="K140" s="435">
        <f>'规制工具'!E94</f>
        <v/>
      </c>
      <c r="L140" s="435">
        <f>'规制工具'!F94</f>
        <v/>
      </c>
      <c r="M140" s="430" t="n"/>
    </row>
    <row r="141" ht="85.5" customHeight="1">
      <c r="A141" s="435">
        <f>'规制工具'!A95</f>
        <v/>
      </c>
      <c r="B141" s="435">
        <f>'规制工具'!D95</f>
        <v/>
      </c>
      <c r="C141" s="435">
        <f>'规制工具'!H95</f>
        <v/>
      </c>
      <c r="D141" s="435">
        <f>'规制工具'!G95</f>
        <v/>
      </c>
      <c r="E141" s="435">
        <f>'规制工具'!U95</f>
        <v/>
      </c>
      <c r="F141" s="435">
        <f>'规制工具'!Q95</f>
        <v/>
      </c>
      <c r="G141" s="435">
        <f>'规制工具'!R95</f>
        <v/>
      </c>
      <c r="H141" s="435">
        <f>'规制工具'!L95</f>
        <v/>
      </c>
      <c r="I141" s="435" t="inlineStr">
        <is>
          <t>规制工具</t>
        </is>
      </c>
      <c r="J141" s="435">
        <f>'规制工具'!C95</f>
        <v/>
      </c>
      <c r="K141" s="435">
        <f>'规制工具'!E95</f>
        <v/>
      </c>
      <c r="L141" s="435">
        <f>'规制工具'!F95</f>
        <v/>
      </c>
      <c r="M141" s="430" t="n"/>
    </row>
    <row r="142" ht="85.5" customHeight="1">
      <c r="A142" s="435">
        <f>'规制工具'!A96</f>
        <v/>
      </c>
      <c r="B142" s="435">
        <f>'规制工具'!D96</f>
        <v/>
      </c>
      <c r="C142" s="435">
        <f>'规制工具'!H96</f>
        <v/>
      </c>
      <c r="D142" s="435">
        <f>'规制工具'!G96</f>
        <v/>
      </c>
      <c r="E142" s="435">
        <f>'规制工具'!U96</f>
        <v/>
      </c>
      <c r="F142" s="435">
        <f>'规制工具'!Q96</f>
        <v/>
      </c>
      <c r="G142" s="435">
        <f>'规制工具'!R96</f>
        <v/>
      </c>
      <c r="H142" s="435">
        <f>'规制工具'!L96</f>
        <v/>
      </c>
      <c r="I142" s="435" t="inlineStr">
        <is>
          <t>规制工具</t>
        </is>
      </c>
      <c r="J142" s="435">
        <f>'规制工具'!C96</f>
        <v/>
      </c>
      <c r="K142" s="435">
        <f>'规制工具'!E96</f>
        <v/>
      </c>
      <c r="L142" s="435">
        <f>'规制工具'!F96</f>
        <v/>
      </c>
      <c r="M142" s="430" t="n"/>
    </row>
    <row r="143" ht="85.5" customHeight="1">
      <c r="A143" s="435">
        <f>'规制工具'!A97</f>
        <v/>
      </c>
      <c r="B143" s="435">
        <f>'规制工具'!D97</f>
        <v/>
      </c>
      <c r="C143" s="435">
        <f>'规制工具'!H97</f>
        <v/>
      </c>
      <c r="D143" s="435">
        <f>'规制工具'!G97</f>
        <v/>
      </c>
      <c r="E143" s="435">
        <f>'规制工具'!U97</f>
        <v/>
      </c>
      <c r="F143" s="435">
        <f>'规制工具'!Q97</f>
        <v/>
      </c>
      <c r="G143" s="435">
        <f>'规制工具'!R97</f>
        <v/>
      </c>
      <c r="H143" s="435">
        <f>'规制工具'!L97</f>
        <v/>
      </c>
      <c r="I143" s="435" t="inlineStr">
        <is>
          <t>规制工具</t>
        </is>
      </c>
      <c r="J143" s="435">
        <f>'规制工具'!C97</f>
        <v/>
      </c>
      <c r="K143" s="435">
        <f>'规制工具'!E97</f>
        <v/>
      </c>
      <c r="L143" s="435">
        <f>'规制工具'!F97</f>
        <v/>
      </c>
      <c r="M143" s="430" t="n"/>
    </row>
    <row r="144" ht="85.5" customHeight="1">
      <c r="A144" s="435">
        <f>'规制工具'!A98</f>
        <v/>
      </c>
      <c r="B144" s="435">
        <f>'规制工具'!D98</f>
        <v/>
      </c>
      <c r="C144" s="435">
        <f>'规制工具'!H98</f>
        <v/>
      </c>
      <c r="D144" s="435">
        <f>'规制工具'!G98</f>
        <v/>
      </c>
      <c r="E144" s="435">
        <f>'规制工具'!U98</f>
        <v/>
      </c>
      <c r="F144" s="435">
        <f>'规制工具'!Q98</f>
        <v/>
      </c>
      <c r="G144" s="435">
        <f>'规制工具'!R98</f>
        <v/>
      </c>
      <c r="H144" s="435">
        <f>'规制工具'!L98</f>
        <v/>
      </c>
      <c r="I144" s="435" t="inlineStr">
        <is>
          <t>规制工具</t>
        </is>
      </c>
      <c r="J144" s="435">
        <f>'规制工具'!C98</f>
        <v/>
      </c>
      <c r="K144" s="435">
        <f>'规制工具'!E98</f>
        <v/>
      </c>
      <c r="L144" s="435">
        <f>'规制工具'!F98</f>
        <v/>
      </c>
      <c r="M144" s="430" t="n"/>
    </row>
    <row r="145" ht="85.5" customHeight="1">
      <c r="A145" s="435">
        <f>'规制工具'!A99</f>
        <v/>
      </c>
      <c r="B145" s="435">
        <f>'规制工具'!D99</f>
        <v/>
      </c>
      <c r="C145" s="435">
        <f>'规制工具'!H99</f>
        <v/>
      </c>
      <c r="D145" s="435">
        <f>'规制工具'!G99</f>
        <v/>
      </c>
      <c r="E145" s="435">
        <f>'规制工具'!U99</f>
        <v/>
      </c>
      <c r="F145" s="435">
        <f>'规制工具'!Q99</f>
        <v/>
      </c>
      <c r="G145" s="435">
        <f>'规制工具'!R99</f>
        <v/>
      </c>
      <c r="H145" s="435">
        <f>'规制工具'!L99</f>
        <v/>
      </c>
      <c r="I145" s="435" t="inlineStr">
        <is>
          <t>规制工具</t>
        </is>
      </c>
      <c r="J145" s="435">
        <f>'规制工具'!C99</f>
        <v/>
      </c>
      <c r="K145" s="435">
        <f>'规制工具'!E99</f>
        <v/>
      </c>
      <c r="L145" s="435">
        <f>'规制工具'!F99</f>
        <v/>
      </c>
      <c r="M145" s="430" t="n"/>
    </row>
    <row r="146" ht="85.5" customHeight="1">
      <c r="A146" s="435">
        <f>'规制工具'!A100</f>
        <v/>
      </c>
      <c r="B146" s="435">
        <f>'规制工具'!D100</f>
        <v/>
      </c>
      <c r="C146" s="435">
        <f>'规制工具'!H100</f>
        <v/>
      </c>
      <c r="D146" s="435">
        <f>'规制工具'!G100</f>
        <v/>
      </c>
      <c r="E146" s="435">
        <f>'规制工具'!U100</f>
        <v/>
      </c>
      <c r="F146" s="435">
        <f>'规制工具'!Q100</f>
        <v/>
      </c>
      <c r="G146" s="435">
        <f>'规制工具'!R100</f>
        <v/>
      </c>
      <c r="H146" s="435">
        <f>'规制工具'!L100</f>
        <v/>
      </c>
      <c r="I146" s="435" t="inlineStr">
        <is>
          <t>规制工具</t>
        </is>
      </c>
      <c r="J146" s="435">
        <f>'规制工具'!C100</f>
        <v/>
      </c>
      <c r="K146" s="435">
        <f>'规制工具'!E100</f>
        <v/>
      </c>
      <c r="L146" s="435">
        <f>'规制工具'!F100</f>
        <v/>
      </c>
      <c r="M146" s="430" t="n"/>
    </row>
    <row r="147" ht="85.5" customHeight="1">
      <c r="A147" s="435">
        <f>'规制工具'!A101</f>
        <v/>
      </c>
      <c r="B147" s="435">
        <f>'规制工具'!D101</f>
        <v/>
      </c>
      <c r="C147" s="435">
        <f>'规制工具'!H101</f>
        <v/>
      </c>
      <c r="D147" s="435">
        <f>'规制工具'!G101</f>
        <v/>
      </c>
      <c r="E147" s="435">
        <f>'规制工具'!U101</f>
        <v/>
      </c>
      <c r="F147" s="435">
        <f>'规制工具'!Q101</f>
        <v/>
      </c>
      <c r="G147" s="435">
        <f>'规制工具'!R101</f>
        <v/>
      </c>
      <c r="H147" s="435">
        <f>'规制工具'!L101</f>
        <v/>
      </c>
      <c r="I147" s="435" t="inlineStr">
        <is>
          <t>规制工具</t>
        </is>
      </c>
      <c r="J147" s="435">
        <f>'规制工具'!C101</f>
        <v/>
      </c>
      <c r="K147" s="435">
        <f>'规制工具'!E101</f>
        <v/>
      </c>
      <c r="L147" s="435">
        <f>'规制工具'!F101</f>
        <v/>
      </c>
      <c r="M147" s="430" t="n"/>
    </row>
    <row r="148" ht="85.5" customHeight="1">
      <c r="A148" s="435">
        <f>'规制工具'!A102</f>
        <v/>
      </c>
      <c r="B148" s="435">
        <f>'规制工具'!D102</f>
        <v/>
      </c>
      <c r="C148" s="435">
        <f>'规制工具'!H102</f>
        <v/>
      </c>
      <c r="D148" s="435">
        <f>'规制工具'!G102</f>
        <v/>
      </c>
      <c r="E148" s="435">
        <f>'规制工具'!U102</f>
        <v/>
      </c>
      <c r="F148" s="435">
        <f>'规制工具'!Q102</f>
        <v/>
      </c>
      <c r="G148" s="435">
        <f>'规制工具'!R102</f>
        <v/>
      </c>
      <c r="H148" s="435">
        <f>'规制工具'!L102</f>
        <v/>
      </c>
      <c r="I148" s="435" t="inlineStr">
        <is>
          <t>规制工具</t>
        </is>
      </c>
      <c r="J148" s="435">
        <f>'规制工具'!C102</f>
        <v/>
      </c>
      <c r="K148" s="435">
        <f>'规制工具'!E102</f>
        <v/>
      </c>
      <c r="L148" s="435">
        <f>'规制工具'!F102</f>
        <v/>
      </c>
      <c r="M148" s="430" t="n"/>
    </row>
    <row r="149" ht="85.5" customHeight="1">
      <c r="A149" s="435">
        <f>'规制工具'!A103</f>
        <v/>
      </c>
      <c r="B149" s="435">
        <f>'规制工具'!D103</f>
        <v/>
      </c>
      <c r="C149" s="435">
        <f>'规制工具'!H103</f>
        <v/>
      </c>
      <c r="D149" s="435">
        <f>'规制工具'!G103</f>
        <v/>
      </c>
      <c r="E149" s="435">
        <f>'规制工具'!U103</f>
        <v/>
      </c>
      <c r="F149" s="435">
        <f>'规制工具'!Q103</f>
        <v/>
      </c>
      <c r="G149" s="435">
        <f>'规制工具'!R103</f>
        <v/>
      </c>
      <c r="H149" s="435">
        <f>'规制工具'!L103</f>
        <v/>
      </c>
      <c r="I149" s="435" t="inlineStr">
        <is>
          <t>规制工具</t>
        </is>
      </c>
      <c r="J149" s="435">
        <f>'规制工具'!C103</f>
        <v/>
      </c>
      <c r="K149" s="435">
        <f>'规制工具'!E103</f>
        <v/>
      </c>
      <c r="L149" s="435">
        <f>'规制工具'!F103</f>
        <v/>
      </c>
      <c r="M149" s="430" t="n"/>
    </row>
    <row r="150" ht="85.5" customHeight="1">
      <c r="A150" s="435">
        <f>'规制工具'!A104</f>
        <v/>
      </c>
      <c r="B150" s="435">
        <f>'规制工具'!D104</f>
        <v/>
      </c>
      <c r="C150" s="435">
        <f>'规制工具'!H104</f>
        <v/>
      </c>
      <c r="D150" s="435">
        <f>'规制工具'!G104</f>
        <v/>
      </c>
      <c r="E150" s="435">
        <f>'规制工具'!U104</f>
        <v/>
      </c>
      <c r="F150" s="435">
        <f>'规制工具'!Q104</f>
        <v/>
      </c>
      <c r="G150" s="435">
        <f>'规制工具'!R104</f>
        <v/>
      </c>
      <c r="H150" s="435">
        <f>'规制工具'!L104</f>
        <v/>
      </c>
      <c r="I150" s="435" t="inlineStr">
        <is>
          <t>规制工具</t>
        </is>
      </c>
      <c r="J150" s="435">
        <f>'规制工具'!C104</f>
        <v/>
      </c>
      <c r="K150" s="435">
        <f>'规制工具'!E104</f>
        <v/>
      </c>
      <c r="L150" s="435">
        <f>'规制工具'!F104</f>
        <v/>
      </c>
      <c r="M150" s="430" t="n"/>
    </row>
    <row r="151" ht="85.5" customHeight="1">
      <c r="A151" s="435">
        <f>'规制工具'!A105</f>
        <v/>
      </c>
      <c r="B151" s="435">
        <f>'规制工具'!D105</f>
        <v/>
      </c>
      <c r="C151" s="435">
        <f>'规制工具'!H105</f>
        <v/>
      </c>
      <c r="D151" s="435">
        <f>'规制工具'!G105</f>
        <v/>
      </c>
      <c r="E151" s="435">
        <f>'规制工具'!U105</f>
        <v/>
      </c>
      <c r="F151" s="435">
        <f>'规制工具'!Q105</f>
        <v/>
      </c>
      <c r="G151" s="435">
        <f>'规制工具'!R105</f>
        <v/>
      </c>
      <c r="H151" s="435">
        <f>'规制工具'!L105</f>
        <v/>
      </c>
      <c r="I151" s="435" t="inlineStr">
        <is>
          <t>规制工具</t>
        </is>
      </c>
      <c r="J151" s="435">
        <f>'规制工具'!C105</f>
        <v/>
      </c>
      <c r="K151" s="435">
        <f>'规制工具'!E105</f>
        <v/>
      </c>
      <c r="L151" s="435">
        <f>'规制工具'!F105</f>
        <v/>
      </c>
      <c r="M151" s="430" t="n"/>
    </row>
    <row r="152" ht="85.5" customHeight="1">
      <c r="A152" s="435">
        <f>'规制工具'!A106</f>
        <v/>
      </c>
      <c r="B152" s="435">
        <f>'规制工具'!D106</f>
        <v/>
      </c>
      <c r="C152" s="435">
        <f>'规制工具'!H106</f>
        <v/>
      </c>
      <c r="D152" s="435">
        <f>'规制工具'!G106</f>
        <v/>
      </c>
      <c r="E152" s="435">
        <f>'规制工具'!U106</f>
        <v/>
      </c>
      <c r="F152" s="435">
        <f>'规制工具'!Q106</f>
        <v/>
      </c>
      <c r="G152" s="435">
        <f>'规制工具'!R106</f>
        <v/>
      </c>
      <c r="H152" s="435">
        <f>'规制工具'!L106</f>
        <v/>
      </c>
      <c r="I152" s="435" t="inlineStr">
        <is>
          <t>规制工具</t>
        </is>
      </c>
      <c r="J152" s="435">
        <f>'规制工具'!C106</f>
        <v/>
      </c>
      <c r="K152" s="435">
        <f>'规制工具'!E106</f>
        <v/>
      </c>
      <c r="L152" s="435">
        <f>'规制工具'!F106</f>
        <v/>
      </c>
      <c r="M152" s="430" t="n"/>
    </row>
    <row r="153" ht="85.5" customHeight="1">
      <c r="A153" s="435">
        <f>'规制工具'!A107</f>
        <v/>
      </c>
      <c r="B153" s="435">
        <f>'规制工具'!D107</f>
        <v/>
      </c>
      <c r="C153" s="435">
        <f>'规制工具'!H107</f>
        <v/>
      </c>
      <c r="D153" s="435">
        <f>'规制工具'!G107</f>
        <v/>
      </c>
      <c r="E153" s="435">
        <f>'规制工具'!U107</f>
        <v/>
      </c>
      <c r="F153" s="435">
        <f>'规制工具'!Q107</f>
        <v/>
      </c>
      <c r="G153" s="435">
        <f>'规制工具'!R107</f>
        <v/>
      </c>
      <c r="H153" s="435">
        <f>'规制工具'!L107</f>
        <v/>
      </c>
      <c r="I153" s="435" t="inlineStr">
        <is>
          <t>规制工具</t>
        </is>
      </c>
      <c r="J153" s="435">
        <f>'规制工具'!C107</f>
        <v/>
      </c>
      <c r="K153" s="435">
        <f>'规制工具'!E107</f>
        <v/>
      </c>
      <c r="L153" s="435">
        <f>'规制工具'!F107</f>
        <v/>
      </c>
      <c r="M153" s="430" t="n"/>
    </row>
    <row r="154" ht="85.5" customHeight="1">
      <c r="A154" s="435">
        <f>'规制工具'!A108</f>
        <v/>
      </c>
      <c r="B154" s="435">
        <f>'规制工具'!D108</f>
        <v/>
      </c>
      <c r="C154" s="435">
        <f>'规制工具'!H108</f>
        <v/>
      </c>
      <c r="D154" s="435">
        <f>'规制工具'!G108</f>
        <v/>
      </c>
      <c r="E154" s="435">
        <f>'规制工具'!U108</f>
        <v/>
      </c>
      <c r="F154" s="435">
        <f>'规制工具'!Q108</f>
        <v/>
      </c>
      <c r="G154" s="435">
        <f>'规制工具'!R108</f>
        <v/>
      </c>
      <c r="H154" s="435">
        <f>'规制工具'!L108</f>
        <v/>
      </c>
      <c r="I154" s="435" t="inlineStr">
        <is>
          <t>规制工具</t>
        </is>
      </c>
      <c r="J154" s="435">
        <f>'规制工具'!C108</f>
        <v/>
      </c>
      <c r="K154" s="435">
        <f>'规制工具'!E108</f>
        <v/>
      </c>
      <c r="L154" s="435">
        <f>'规制工具'!F108</f>
        <v/>
      </c>
      <c r="M154" s="430" t="n"/>
    </row>
    <row r="155" ht="85.5" customHeight="1">
      <c r="A155" s="435">
        <f>'规制工具'!A109</f>
        <v/>
      </c>
      <c r="B155" s="435">
        <f>'规制工具'!D109</f>
        <v/>
      </c>
      <c r="C155" s="435">
        <f>'规制工具'!H109</f>
        <v/>
      </c>
      <c r="D155" s="435">
        <f>'规制工具'!G109</f>
        <v/>
      </c>
      <c r="E155" s="435">
        <f>'规制工具'!U109</f>
        <v/>
      </c>
      <c r="F155" s="435">
        <f>'规制工具'!Q109</f>
        <v/>
      </c>
      <c r="G155" s="435">
        <f>'规制工具'!R109</f>
        <v/>
      </c>
      <c r="H155" s="435">
        <f>'规制工具'!L109</f>
        <v/>
      </c>
      <c r="I155" s="435" t="inlineStr">
        <is>
          <t>规制工具</t>
        </is>
      </c>
      <c r="J155" s="435">
        <f>'规制工具'!C109</f>
        <v/>
      </c>
      <c r="K155" s="435">
        <f>'规制工具'!E109</f>
        <v/>
      </c>
      <c r="L155" s="435">
        <f>'规制工具'!F109</f>
        <v/>
      </c>
      <c r="M155" s="430" t="n"/>
    </row>
    <row r="156" ht="85.5" customHeight="1">
      <c r="A156" s="435">
        <f>'规制工具'!A110</f>
        <v/>
      </c>
      <c r="B156" s="435">
        <f>'规制工具'!D110</f>
        <v/>
      </c>
      <c r="C156" s="435">
        <f>'规制工具'!H110</f>
        <v/>
      </c>
      <c r="D156" s="435">
        <f>'规制工具'!G110</f>
        <v/>
      </c>
      <c r="E156" s="435">
        <f>'规制工具'!U110</f>
        <v/>
      </c>
      <c r="F156" s="435">
        <f>'规制工具'!Q110</f>
        <v/>
      </c>
      <c r="G156" s="435">
        <f>'规制工具'!R110</f>
        <v/>
      </c>
      <c r="H156" s="435">
        <f>'规制工具'!L110</f>
        <v/>
      </c>
      <c r="I156" s="435" t="inlineStr">
        <is>
          <t>规制工具</t>
        </is>
      </c>
      <c r="J156" s="435">
        <f>'规制工具'!C110</f>
        <v/>
      </c>
      <c r="K156" s="435">
        <f>'规制工具'!E110</f>
        <v/>
      </c>
      <c r="L156" s="435">
        <f>'规制工具'!F110</f>
        <v/>
      </c>
      <c r="M156" s="430" t="n"/>
    </row>
    <row r="157" ht="85.5" customHeight="1">
      <c r="A157" s="435">
        <f>'规制工具'!A111</f>
        <v/>
      </c>
      <c r="B157" s="435">
        <f>'规制工具'!D111</f>
        <v/>
      </c>
      <c r="C157" s="435">
        <f>'规制工具'!H111</f>
        <v/>
      </c>
      <c r="D157" s="435">
        <f>'规制工具'!G111</f>
        <v/>
      </c>
      <c r="E157" s="435">
        <f>'规制工具'!U111</f>
        <v/>
      </c>
      <c r="F157" s="435">
        <f>'规制工具'!Q111</f>
        <v/>
      </c>
      <c r="G157" s="435">
        <f>'规制工具'!R111</f>
        <v/>
      </c>
      <c r="H157" s="435">
        <f>'规制工具'!L111</f>
        <v/>
      </c>
      <c r="I157" s="435" t="inlineStr">
        <is>
          <t>规制工具</t>
        </is>
      </c>
      <c r="J157" s="435">
        <f>'规制工具'!C111</f>
        <v/>
      </c>
      <c r="K157" s="435">
        <f>'规制工具'!E111</f>
        <v/>
      </c>
      <c r="L157" s="435">
        <f>'规制工具'!F111</f>
        <v/>
      </c>
      <c r="M157" s="430" t="n"/>
    </row>
    <row r="158" ht="85.5" customHeight="1">
      <c r="A158" s="435">
        <f>'规制工具'!A112</f>
        <v/>
      </c>
      <c r="B158" s="435">
        <f>'规制工具'!D112</f>
        <v/>
      </c>
      <c r="C158" s="435">
        <f>'规制工具'!H112</f>
        <v/>
      </c>
      <c r="D158" s="435">
        <f>'规制工具'!G112</f>
        <v/>
      </c>
      <c r="E158" s="435">
        <f>'规制工具'!U112</f>
        <v/>
      </c>
      <c r="F158" s="435">
        <f>'规制工具'!Q112</f>
        <v/>
      </c>
      <c r="G158" s="435">
        <f>'规制工具'!R112</f>
        <v/>
      </c>
      <c r="H158" s="435">
        <f>'规制工具'!L112</f>
        <v/>
      </c>
      <c r="I158" s="435" t="inlineStr">
        <is>
          <t>规制工具</t>
        </is>
      </c>
      <c r="J158" s="435">
        <f>'规制工具'!C112</f>
        <v/>
      </c>
      <c r="K158" s="435">
        <f>'规制工具'!E112</f>
        <v/>
      </c>
      <c r="L158" s="435">
        <f>'规制工具'!F112</f>
        <v/>
      </c>
      <c r="M158" s="430" t="n"/>
    </row>
    <row r="159" ht="85.5" customHeight="1">
      <c r="A159" s="435">
        <f>'规制工具'!A113</f>
        <v/>
      </c>
      <c r="B159" s="435">
        <f>'规制工具'!D113</f>
        <v/>
      </c>
      <c r="C159" s="435">
        <f>'规制工具'!H113</f>
        <v/>
      </c>
      <c r="D159" s="435">
        <f>'规制工具'!G113</f>
        <v/>
      </c>
      <c r="E159" s="435">
        <f>'规制工具'!U113</f>
        <v/>
      </c>
      <c r="F159" s="435">
        <f>'规制工具'!Q113</f>
        <v/>
      </c>
      <c r="G159" s="435">
        <f>'规制工具'!R113</f>
        <v/>
      </c>
      <c r="H159" s="435">
        <f>'规制工具'!L113</f>
        <v/>
      </c>
      <c r="I159" s="435" t="inlineStr">
        <is>
          <t>规制工具</t>
        </is>
      </c>
      <c r="J159" s="435">
        <f>'规制工具'!C113</f>
        <v/>
      </c>
      <c r="K159" s="435">
        <f>'规制工具'!E113</f>
        <v/>
      </c>
      <c r="L159" s="435">
        <f>'规制工具'!F113</f>
        <v/>
      </c>
      <c r="M159" s="430" t="n"/>
    </row>
    <row r="160" ht="85.5" customHeight="1">
      <c r="A160" s="435">
        <f>'规制工具'!A114</f>
        <v/>
      </c>
      <c r="B160" s="435">
        <f>'规制工具'!D114</f>
        <v/>
      </c>
      <c r="C160" s="435">
        <f>'规制工具'!H114</f>
        <v/>
      </c>
      <c r="D160" s="435">
        <f>'规制工具'!G114</f>
        <v/>
      </c>
      <c r="E160" s="435">
        <f>'规制工具'!U114</f>
        <v/>
      </c>
      <c r="F160" s="435">
        <f>'规制工具'!Q114</f>
        <v/>
      </c>
      <c r="G160" s="435">
        <f>'规制工具'!R114</f>
        <v/>
      </c>
      <c r="H160" s="435">
        <f>'规制工具'!L114</f>
        <v/>
      </c>
      <c r="I160" s="435" t="inlineStr">
        <is>
          <t>规制工具</t>
        </is>
      </c>
      <c r="J160" s="435">
        <f>'规制工具'!C114</f>
        <v/>
      </c>
      <c r="K160" s="435">
        <f>'规制工具'!E114</f>
        <v/>
      </c>
      <c r="L160" s="435">
        <f>'规制工具'!F114</f>
        <v/>
      </c>
      <c r="M160" s="430" t="n"/>
    </row>
    <row r="161" ht="85.5" customHeight="1">
      <c r="A161" s="435">
        <f>'规制工具'!A115</f>
        <v/>
      </c>
      <c r="B161" s="435">
        <f>'规制工具'!D115</f>
        <v/>
      </c>
      <c r="C161" s="435">
        <f>'规制工具'!H115</f>
        <v/>
      </c>
      <c r="D161" s="435">
        <f>'规制工具'!G115</f>
        <v/>
      </c>
      <c r="E161" s="435">
        <f>'规制工具'!U115</f>
        <v/>
      </c>
      <c r="F161" s="435">
        <f>'规制工具'!Q115</f>
        <v/>
      </c>
      <c r="G161" s="435">
        <f>'规制工具'!R115</f>
        <v/>
      </c>
      <c r="H161" s="435">
        <f>'规制工具'!L115</f>
        <v/>
      </c>
      <c r="I161" s="435" t="inlineStr">
        <is>
          <t>规制工具</t>
        </is>
      </c>
      <c r="J161" s="435">
        <f>'规制工具'!C115</f>
        <v/>
      </c>
      <c r="K161" s="435">
        <f>'规制工具'!E115</f>
        <v/>
      </c>
      <c r="L161" s="435">
        <f>'规制工具'!F115</f>
        <v/>
      </c>
      <c r="M161" s="430" t="n"/>
    </row>
    <row r="162" ht="85.5" customHeight="1">
      <c r="A162" s="435">
        <f>'规制工具'!A116</f>
        <v/>
      </c>
      <c r="B162" s="435">
        <f>'规制工具'!D116</f>
        <v/>
      </c>
      <c r="C162" s="435">
        <f>'规制工具'!H116</f>
        <v/>
      </c>
      <c r="D162" s="435">
        <f>'规制工具'!G116</f>
        <v/>
      </c>
      <c r="E162" s="435">
        <f>'规制工具'!U116</f>
        <v/>
      </c>
      <c r="F162" s="435">
        <f>'规制工具'!Q116</f>
        <v/>
      </c>
      <c r="G162" s="435">
        <f>'规制工具'!R116</f>
        <v/>
      </c>
      <c r="H162" s="435">
        <f>'规制工具'!L116</f>
        <v/>
      </c>
      <c r="I162" s="435" t="inlineStr">
        <is>
          <t>规制工具</t>
        </is>
      </c>
      <c r="J162" s="435">
        <f>'规制工具'!C116</f>
        <v/>
      </c>
      <c r="K162" s="435">
        <f>'规制工具'!E116</f>
        <v/>
      </c>
      <c r="L162" s="435">
        <f>'规制工具'!F116</f>
        <v/>
      </c>
      <c r="M162" s="430" t="n"/>
    </row>
    <row r="163" ht="85.5" customHeight="1">
      <c r="A163" s="435">
        <f>'规制工具'!A117</f>
        <v/>
      </c>
      <c r="B163" s="435">
        <f>'规制工具'!D117</f>
        <v/>
      </c>
      <c r="C163" s="435">
        <f>'规制工具'!H117</f>
        <v/>
      </c>
      <c r="D163" s="435">
        <f>'规制工具'!G117</f>
        <v/>
      </c>
      <c r="E163" s="435">
        <f>'规制工具'!U117</f>
        <v/>
      </c>
      <c r="F163" s="435">
        <f>'规制工具'!Q117</f>
        <v/>
      </c>
      <c r="G163" s="435">
        <f>'规制工具'!R117</f>
        <v/>
      </c>
      <c r="H163" s="435">
        <f>'规制工具'!L117</f>
        <v/>
      </c>
      <c r="I163" s="435" t="inlineStr">
        <is>
          <t>规制工具</t>
        </is>
      </c>
      <c r="J163" s="435">
        <f>'规制工具'!C117</f>
        <v/>
      </c>
      <c r="K163" s="435">
        <f>'规制工具'!E117</f>
        <v/>
      </c>
      <c r="L163" s="435">
        <f>'规制工具'!F117</f>
        <v/>
      </c>
      <c r="M163" s="430" t="n"/>
    </row>
    <row r="164" ht="85.5" customHeight="1">
      <c r="A164" s="435">
        <f>'规制工具'!A118</f>
        <v/>
      </c>
      <c r="B164" s="435">
        <f>'规制工具'!D118</f>
        <v/>
      </c>
      <c r="C164" s="435">
        <f>'规制工具'!H118</f>
        <v/>
      </c>
      <c r="D164" s="435">
        <f>'规制工具'!G118</f>
        <v/>
      </c>
      <c r="E164" s="435">
        <f>'规制工具'!U118</f>
        <v/>
      </c>
      <c r="F164" s="435">
        <f>'规制工具'!Q118</f>
        <v/>
      </c>
      <c r="G164" s="435">
        <f>'规制工具'!R118</f>
        <v/>
      </c>
      <c r="H164" s="435">
        <f>'规制工具'!L118</f>
        <v/>
      </c>
      <c r="I164" s="435" t="inlineStr">
        <is>
          <t>规制工具</t>
        </is>
      </c>
      <c r="J164" s="435">
        <f>'规制工具'!C118</f>
        <v/>
      </c>
      <c r="K164" s="435">
        <f>'规制工具'!E118</f>
        <v/>
      </c>
      <c r="L164" s="435">
        <f>'规制工具'!F118</f>
        <v/>
      </c>
      <c r="M164" s="430" t="n"/>
    </row>
    <row r="165" ht="85.5" customHeight="1">
      <c r="A165" s="435">
        <f>'规制工具'!A119</f>
        <v/>
      </c>
      <c r="B165" s="435">
        <f>'规制工具'!D119</f>
        <v/>
      </c>
      <c r="C165" s="435">
        <f>'规制工具'!H119</f>
        <v/>
      </c>
      <c r="D165" s="435">
        <f>'规制工具'!G119</f>
        <v/>
      </c>
      <c r="E165" s="435">
        <f>'规制工具'!U119</f>
        <v/>
      </c>
      <c r="F165" s="435">
        <f>'规制工具'!Q119</f>
        <v/>
      </c>
      <c r="G165" s="435">
        <f>'规制工具'!R119</f>
        <v/>
      </c>
      <c r="H165" s="435">
        <f>'规制工具'!L119</f>
        <v/>
      </c>
      <c r="I165" s="435" t="inlineStr">
        <is>
          <t>规制工具</t>
        </is>
      </c>
      <c r="J165" s="435">
        <f>'规制工具'!C119</f>
        <v/>
      </c>
      <c r="K165" s="435">
        <f>'规制工具'!E119</f>
        <v/>
      </c>
      <c r="L165" s="435">
        <f>'规制工具'!F119</f>
        <v/>
      </c>
      <c r="M165" s="430" t="n"/>
    </row>
    <row r="166" ht="85.5" customHeight="1">
      <c r="A166" s="435">
        <f>'规制工具'!A120</f>
        <v/>
      </c>
      <c r="B166" s="435">
        <f>'规制工具'!D120</f>
        <v/>
      </c>
      <c r="C166" s="435">
        <f>'规制工具'!H120</f>
        <v/>
      </c>
      <c r="D166" s="435">
        <f>'规制工具'!G120</f>
        <v/>
      </c>
      <c r="E166" s="435">
        <f>'规制工具'!U120</f>
        <v/>
      </c>
      <c r="F166" s="435">
        <f>'规制工具'!Q120</f>
        <v/>
      </c>
      <c r="G166" s="435">
        <f>'规制工具'!R120</f>
        <v/>
      </c>
      <c r="H166" s="435">
        <f>'规制工具'!L120</f>
        <v/>
      </c>
      <c r="I166" s="435" t="inlineStr">
        <is>
          <t>规制工具</t>
        </is>
      </c>
      <c r="J166" s="435">
        <f>'规制工具'!C120</f>
        <v/>
      </c>
      <c r="K166" s="435">
        <f>'规制工具'!E120</f>
        <v/>
      </c>
      <c r="L166" s="435">
        <f>'规制工具'!F120</f>
        <v/>
      </c>
      <c r="M166" s="430" t="n"/>
    </row>
    <row r="167" ht="85.5" customHeight="1">
      <c r="A167" s="435">
        <f>'规制工具'!A121</f>
        <v/>
      </c>
      <c r="B167" s="435">
        <f>'规制工具'!D121</f>
        <v/>
      </c>
      <c r="C167" s="435">
        <f>'规制工具'!H121</f>
        <v/>
      </c>
      <c r="D167" s="435">
        <f>'规制工具'!G121</f>
        <v/>
      </c>
      <c r="E167" s="435">
        <f>'规制工具'!U121</f>
        <v/>
      </c>
      <c r="F167" s="435">
        <f>'规制工具'!Q121</f>
        <v/>
      </c>
      <c r="G167" s="435">
        <f>'规制工具'!R121</f>
        <v/>
      </c>
      <c r="H167" s="435">
        <f>'规制工具'!L121</f>
        <v/>
      </c>
      <c r="I167" s="435" t="inlineStr">
        <is>
          <t>规制工具</t>
        </is>
      </c>
      <c r="J167" s="435">
        <f>'规制工具'!C121</f>
        <v/>
      </c>
      <c r="K167" s="435">
        <f>'规制工具'!E121</f>
        <v/>
      </c>
      <c r="L167" s="435">
        <f>'规制工具'!F121</f>
        <v/>
      </c>
      <c r="M167" s="430" t="n"/>
    </row>
    <row r="168" ht="85.5" customHeight="1">
      <c r="A168" s="435">
        <f>'规制工具'!A122</f>
        <v/>
      </c>
      <c r="B168" s="435">
        <f>'规制工具'!D122</f>
        <v/>
      </c>
      <c r="C168" s="435">
        <f>'规制工具'!H122</f>
        <v/>
      </c>
      <c r="D168" s="435">
        <f>'规制工具'!G122</f>
        <v/>
      </c>
      <c r="E168" s="435">
        <f>'规制工具'!U122</f>
        <v/>
      </c>
      <c r="F168" s="435">
        <f>'规制工具'!Q122</f>
        <v/>
      </c>
      <c r="G168" s="435">
        <f>'规制工具'!R122</f>
        <v/>
      </c>
      <c r="H168" s="435">
        <f>'规制工具'!L122</f>
        <v/>
      </c>
      <c r="I168" s="435" t="inlineStr">
        <is>
          <t>规制工具</t>
        </is>
      </c>
      <c r="J168" s="435">
        <f>'规制工具'!C122</f>
        <v/>
      </c>
      <c r="K168" s="435">
        <f>'规制工具'!E122</f>
        <v/>
      </c>
      <c r="L168" s="435">
        <f>'规制工具'!F122</f>
        <v/>
      </c>
      <c r="M168" s="430" t="n"/>
    </row>
    <row r="169" ht="85.5" customHeight="1">
      <c r="A169" s="435">
        <f>'规制工具'!A123</f>
        <v/>
      </c>
      <c r="B169" s="435">
        <f>'规制工具'!D123</f>
        <v/>
      </c>
      <c r="C169" s="435">
        <f>'规制工具'!H123</f>
        <v/>
      </c>
      <c r="D169" s="435">
        <f>'规制工具'!G123</f>
        <v/>
      </c>
      <c r="E169" s="435">
        <f>'规制工具'!U123</f>
        <v/>
      </c>
      <c r="F169" s="435">
        <f>'规制工具'!Q123</f>
        <v/>
      </c>
      <c r="G169" s="435">
        <f>'规制工具'!R123</f>
        <v/>
      </c>
      <c r="H169" s="435">
        <f>'规制工具'!L123</f>
        <v/>
      </c>
      <c r="I169" s="435" t="inlineStr">
        <is>
          <t>规制工具</t>
        </is>
      </c>
      <c r="J169" s="435">
        <f>'规制工具'!C123</f>
        <v/>
      </c>
      <c r="K169" s="435">
        <f>'规制工具'!E123</f>
        <v/>
      </c>
      <c r="L169" s="435">
        <f>'规制工具'!F123</f>
        <v/>
      </c>
      <c r="M169" s="430" t="n"/>
    </row>
    <row r="170" ht="85.5" customHeight="1">
      <c r="A170" s="435">
        <f>'规制工具'!A124</f>
        <v/>
      </c>
      <c r="B170" s="435">
        <f>'规制工具'!D124</f>
        <v/>
      </c>
      <c r="C170" s="435">
        <f>'规制工具'!H124</f>
        <v/>
      </c>
      <c r="D170" s="435">
        <f>'规制工具'!G124</f>
        <v/>
      </c>
      <c r="E170" s="435">
        <f>'规制工具'!U124</f>
        <v/>
      </c>
      <c r="F170" s="435">
        <f>'规制工具'!Q124</f>
        <v/>
      </c>
      <c r="G170" s="435">
        <f>'规制工具'!R124</f>
        <v/>
      </c>
      <c r="H170" s="435">
        <f>'规制工具'!L124</f>
        <v/>
      </c>
      <c r="I170" s="435" t="inlineStr">
        <is>
          <t>规制工具</t>
        </is>
      </c>
      <c r="J170" s="435">
        <f>'规制工具'!C124</f>
        <v/>
      </c>
      <c r="K170" s="435">
        <f>'规制工具'!E124</f>
        <v/>
      </c>
      <c r="L170" s="435">
        <f>'规制工具'!F124</f>
        <v/>
      </c>
      <c r="M170" s="430" t="n"/>
    </row>
    <row r="171" ht="85.5" customHeight="1">
      <c r="A171" s="435">
        <f>'规制工具'!A125</f>
        <v/>
      </c>
      <c r="B171" s="435">
        <f>'规制工具'!D125</f>
        <v/>
      </c>
      <c r="C171" s="435">
        <f>'规制工具'!H125</f>
        <v/>
      </c>
      <c r="D171" s="435">
        <f>'规制工具'!G125</f>
        <v/>
      </c>
      <c r="E171" s="435">
        <f>'规制工具'!U125</f>
        <v/>
      </c>
      <c r="F171" s="435">
        <f>'规制工具'!Q125</f>
        <v/>
      </c>
      <c r="G171" s="435">
        <f>'规制工具'!R125</f>
        <v/>
      </c>
      <c r="H171" s="435">
        <f>'规制工具'!L125</f>
        <v/>
      </c>
      <c r="I171" s="435" t="inlineStr">
        <is>
          <t>规制工具</t>
        </is>
      </c>
      <c r="J171" s="435">
        <f>'规制工具'!C125</f>
        <v/>
      </c>
      <c r="K171" s="435">
        <f>'规制工具'!E125</f>
        <v/>
      </c>
      <c r="L171" s="435">
        <f>'规制工具'!F125</f>
        <v/>
      </c>
      <c r="M171" s="430" t="n"/>
    </row>
    <row r="172" ht="85.5" customHeight="1">
      <c r="A172" s="435">
        <f>'规制工具'!A126</f>
        <v/>
      </c>
      <c r="B172" s="435">
        <f>'规制工具'!D126</f>
        <v/>
      </c>
      <c r="C172" s="435">
        <f>'规制工具'!H126</f>
        <v/>
      </c>
      <c r="D172" s="435">
        <f>'规制工具'!G126</f>
        <v/>
      </c>
      <c r="E172" s="435">
        <f>'规制工具'!U126</f>
        <v/>
      </c>
      <c r="F172" s="435">
        <f>'规制工具'!Q126</f>
        <v/>
      </c>
      <c r="G172" s="435">
        <f>'规制工具'!R126</f>
        <v/>
      </c>
      <c r="H172" s="435">
        <f>'规制工具'!L126</f>
        <v/>
      </c>
      <c r="I172" s="435" t="inlineStr">
        <is>
          <t>规制工具</t>
        </is>
      </c>
      <c r="J172" s="435">
        <f>'规制工具'!C126</f>
        <v/>
      </c>
      <c r="K172" s="435">
        <f>'规制工具'!E126</f>
        <v/>
      </c>
      <c r="L172" s="435">
        <f>'规制工具'!F126</f>
        <v/>
      </c>
      <c r="M172" s="430" t="n"/>
    </row>
    <row r="173" ht="85.5" customHeight="1">
      <c r="A173" s="435">
        <f>'规制工具'!A127</f>
        <v/>
      </c>
      <c r="B173" s="435">
        <f>'规制工具'!D127</f>
        <v/>
      </c>
      <c r="C173" s="435">
        <f>'规制工具'!H127</f>
        <v/>
      </c>
      <c r="D173" s="435">
        <f>'规制工具'!G127</f>
        <v/>
      </c>
      <c r="E173" s="435">
        <f>'规制工具'!U127</f>
        <v/>
      </c>
      <c r="F173" s="435">
        <f>'规制工具'!Q127</f>
        <v/>
      </c>
      <c r="G173" s="435">
        <f>'规制工具'!R127</f>
        <v/>
      </c>
      <c r="H173" s="435">
        <f>'规制工具'!L127</f>
        <v/>
      </c>
      <c r="I173" s="435" t="inlineStr">
        <is>
          <t>规制工具</t>
        </is>
      </c>
      <c r="J173" s="435">
        <f>'规制工具'!C127</f>
        <v/>
      </c>
      <c r="K173" s="435">
        <f>'规制工具'!E127</f>
        <v/>
      </c>
      <c r="L173" s="435">
        <f>'规制工具'!F127</f>
        <v/>
      </c>
      <c r="M173" s="430" t="n"/>
    </row>
    <row r="174" ht="85.5" customHeight="1">
      <c r="A174" s="435">
        <f>'规制工具'!A128</f>
        <v/>
      </c>
      <c r="B174" s="435">
        <f>'规制工具'!D128</f>
        <v/>
      </c>
      <c r="C174" s="435">
        <f>'规制工具'!H128</f>
        <v/>
      </c>
      <c r="D174" s="435">
        <f>'规制工具'!G128</f>
        <v/>
      </c>
      <c r="E174" s="435">
        <f>'规制工具'!U128</f>
        <v/>
      </c>
      <c r="F174" s="435">
        <f>'规制工具'!Q128</f>
        <v/>
      </c>
      <c r="G174" s="435">
        <f>'规制工具'!R128</f>
        <v/>
      </c>
      <c r="H174" s="435">
        <f>'规制工具'!L128</f>
        <v/>
      </c>
      <c r="I174" s="435" t="inlineStr">
        <is>
          <t>规制工具</t>
        </is>
      </c>
      <c r="J174" s="435">
        <f>'规制工具'!C128</f>
        <v/>
      </c>
      <c r="K174" s="435">
        <f>'规制工具'!E128</f>
        <v/>
      </c>
      <c r="L174" s="435">
        <f>'规制工具'!F128</f>
        <v/>
      </c>
      <c r="M174" s="430" t="n"/>
    </row>
    <row r="175" ht="85.5" customHeight="1">
      <c r="A175" s="435">
        <f>'规制工具'!A129</f>
        <v/>
      </c>
      <c r="B175" s="435">
        <f>'规制工具'!D129</f>
        <v/>
      </c>
      <c r="C175" s="435">
        <f>'规制工具'!H129</f>
        <v/>
      </c>
      <c r="D175" s="435">
        <f>'规制工具'!G129</f>
        <v/>
      </c>
      <c r="E175" s="435">
        <f>'规制工具'!U129</f>
        <v/>
      </c>
      <c r="F175" s="435">
        <f>'规制工具'!Q129</f>
        <v/>
      </c>
      <c r="G175" s="435">
        <f>'规制工具'!R129</f>
        <v/>
      </c>
      <c r="H175" s="435">
        <f>'规制工具'!L129</f>
        <v/>
      </c>
      <c r="I175" s="435" t="inlineStr">
        <is>
          <t>规制工具</t>
        </is>
      </c>
      <c r="J175" s="435">
        <f>'规制工具'!C129</f>
        <v/>
      </c>
      <c r="K175" s="435">
        <f>'规制工具'!E129</f>
        <v/>
      </c>
      <c r="L175" s="435">
        <f>'规制工具'!F129</f>
        <v/>
      </c>
      <c r="M175" s="430" t="n"/>
    </row>
    <row r="176" ht="85.5" customHeight="1">
      <c r="A176" s="435">
        <f>'规制工具'!A130</f>
        <v/>
      </c>
      <c r="B176" s="435">
        <f>'规制工具'!D130</f>
        <v/>
      </c>
      <c r="C176" s="435">
        <f>'规制工具'!H130</f>
        <v/>
      </c>
      <c r="D176" s="435">
        <f>'规制工具'!G130</f>
        <v/>
      </c>
      <c r="E176" s="435">
        <f>'规制工具'!U130</f>
        <v/>
      </c>
      <c r="F176" s="435">
        <f>'规制工具'!Q130</f>
        <v/>
      </c>
      <c r="G176" s="435">
        <f>'规制工具'!R130</f>
        <v/>
      </c>
      <c r="H176" s="435">
        <f>'规制工具'!L130</f>
        <v/>
      </c>
      <c r="I176" s="435" t="inlineStr">
        <is>
          <t>规制工具</t>
        </is>
      </c>
      <c r="J176" s="435">
        <f>'规制工具'!C130</f>
        <v/>
      </c>
      <c r="K176" s="435">
        <f>'规制工具'!E130</f>
        <v/>
      </c>
      <c r="L176" s="435">
        <f>'规制工具'!F130</f>
        <v/>
      </c>
      <c r="M176" s="430" t="n"/>
    </row>
    <row r="177" ht="85.5" customHeight="1">
      <c r="A177" s="435">
        <f>'规制工具'!A131</f>
        <v/>
      </c>
      <c r="B177" s="435">
        <f>'规制工具'!D131</f>
        <v/>
      </c>
      <c r="C177" s="435">
        <f>'规制工具'!H131</f>
        <v/>
      </c>
      <c r="D177" s="435">
        <f>'规制工具'!G131</f>
        <v/>
      </c>
      <c r="E177" s="435">
        <f>'规制工具'!U131</f>
        <v/>
      </c>
      <c r="F177" s="435">
        <f>'规制工具'!Q131</f>
        <v/>
      </c>
      <c r="G177" s="435">
        <f>'规制工具'!R131</f>
        <v/>
      </c>
      <c r="H177" s="435">
        <f>'规制工具'!L131</f>
        <v/>
      </c>
      <c r="I177" s="435" t="inlineStr">
        <is>
          <t>规制工具</t>
        </is>
      </c>
      <c r="J177" s="435">
        <f>'规制工具'!C131</f>
        <v/>
      </c>
      <c r="K177" s="435">
        <f>'规制工具'!E131</f>
        <v/>
      </c>
      <c r="L177" s="435">
        <f>'规制工具'!F131</f>
        <v/>
      </c>
      <c r="M177" s="430" t="n"/>
    </row>
    <row r="178" ht="85.5" customHeight="1">
      <c r="A178" s="435">
        <f>'规制工具'!A132</f>
        <v/>
      </c>
      <c r="B178" s="435">
        <f>'规制工具'!D132</f>
        <v/>
      </c>
      <c r="C178" s="435">
        <f>'规制工具'!H132</f>
        <v/>
      </c>
      <c r="D178" s="435">
        <f>'规制工具'!G132</f>
        <v/>
      </c>
      <c r="E178" s="435">
        <f>'规制工具'!U132</f>
        <v/>
      </c>
      <c r="F178" s="435">
        <f>'规制工具'!Q132</f>
        <v/>
      </c>
      <c r="G178" s="435">
        <f>'规制工具'!R132</f>
        <v/>
      </c>
      <c r="H178" s="435">
        <f>'规制工具'!L132</f>
        <v/>
      </c>
      <c r="I178" s="435" t="inlineStr">
        <is>
          <t>规制工具</t>
        </is>
      </c>
      <c r="J178" s="435">
        <f>'规制工具'!C132</f>
        <v/>
      </c>
      <c r="K178" s="435">
        <f>'规制工具'!E132</f>
        <v/>
      </c>
      <c r="L178" s="435">
        <f>'规制工具'!F132</f>
        <v/>
      </c>
      <c r="M178" s="430" t="n"/>
    </row>
    <row r="179" ht="85.5" customHeight="1">
      <c r="A179" s="435">
        <f>'规制工具'!A133</f>
        <v/>
      </c>
      <c r="B179" s="435">
        <f>'规制工具'!D133</f>
        <v/>
      </c>
      <c r="C179" s="435">
        <f>'规制工具'!H133</f>
        <v/>
      </c>
      <c r="D179" s="435">
        <f>'规制工具'!G133</f>
        <v/>
      </c>
      <c r="E179" s="435">
        <f>'规制工具'!U133</f>
        <v/>
      </c>
      <c r="F179" s="435">
        <f>'规制工具'!Q133</f>
        <v/>
      </c>
      <c r="G179" s="435">
        <f>'规制工具'!R133</f>
        <v/>
      </c>
      <c r="H179" s="435">
        <f>'规制工具'!L133</f>
        <v/>
      </c>
      <c r="I179" s="435" t="inlineStr">
        <is>
          <t>规制工具</t>
        </is>
      </c>
      <c r="J179" s="435">
        <f>'规制工具'!C133</f>
        <v/>
      </c>
      <c r="K179" s="435">
        <f>'规制工具'!E133</f>
        <v/>
      </c>
      <c r="L179" s="435">
        <f>'规制工具'!F133</f>
        <v/>
      </c>
      <c r="M179" s="430" t="n"/>
    </row>
    <row r="180" ht="142.5" customHeight="1">
      <c r="A180" s="435">
        <f>'规制工具'!A134</f>
        <v/>
      </c>
      <c r="B180" s="435">
        <f>'规制工具'!D134</f>
        <v/>
      </c>
      <c r="C180" s="435">
        <f>'规制工具'!H134</f>
        <v/>
      </c>
      <c r="D180" s="435">
        <f>'规制工具'!G134</f>
        <v/>
      </c>
      <c r="E180" s="435">
        <f>'规制工具'!U134</f>
        <v/>
      </c>
      <c r="F180" s="435">
        <f>'规制工具'!Q134</f>
        <v/>
      </c>
      <c r="G180" s="435">
        <f>'规制工具'!R134</f>
        <v/>
      </c>
      <c r="H180" s="435">
        <f>'规制工具'!L134</f>
        <v/>
      </c>
      <c r="I180" s="435" t="inlineStr">
        <is>
          <t>规制工具</t>
        </is>
      </c>
      <c r="J180" s="435">
        <f>'规制工具'!C134</f>
        <v/>
      </c>
      <c r="K180" s="435">
        <f>'规制工具'!E134</f>
        <v/>
      </c>
      <c r="L180" s="435">
        <f>'规制工具'!F134</f>
        <v/>
      </c>
      <c r="M180" s="430" t="n"/>
    </row>
    <row r="181" ht="142.5" customHeight="1">
      <c r="A181" s="435">
        <f>'规制工具'!A135</f>
        <v/>
      </c>
      <c r="B181" s="435">
        <f>'规制工具'!D135</f>
        <v/>
      </c>
      <c r="C181" s="435">
        <f>'规制工具'!H135</f>
        <v/>
      </c>
      <c r="D181" s="435">
        <f>'规制工具'!G135</f>
        <v/>
      </c>
      <c r="E181" s="435">
        <f>'规制工具'!U135</f>
        <v/>
      </c>
      <c r="F181" s="435">
        <f>'规制工具'!Q135</f>
        <v/>
      </c>
      <c r="G181" s="435">
        <f>'规制工具'!R135</f>
        <v/>
      </c>
      <c r="H181" s="435">
        <f>'规制工具'!L135</f>
        <v/>
      </c>
      <c r="I181" s="435" t="inlineStr">
        <is>
          <t>规制工具</t>
        </is>
      </c>
      <c r="J181" s="435">
        <f>'规制工具'!C135</f>
        <v/>
      </c>
      <c r="K181" s="435">
        <f>'规制工具'!E135</f>
        <v/>
      </c>
      <c r="L181" s="435">
        <f>'规制工具'!F135</f>
        <v/>
      </c>
      <c r="M181" s="430" t="n"/>
    </row>
    <row r="182" ht="142.5" customHeight="1">
      <c r="A182" s="435">
        <f>'规制工具'!A136</f>
        <v/>
      </c>
      <c r="B182" s="435">
        <f>'规制工具'!D136</f>
        <v/>
      </c>
      <c r="C182" s="435">
        <f>'规制工具'!H136</f>
        <v/>
      </c>
      <c r="D182" s="435">
        <f>'规制工具'!G136</f>
        <v/>
      </c>
      <c r="E182" s="435">
        <f>'规制工具'!U136</f>
        <v/>
      </c>
      <c r="F182" s="435">
        <f>'规制工具'!Q136</f>
        <v/>
      </c>
      <c r="G182" s="435">
        <f>'规制工具'!R136</f>
        <v/>
      </c>
      <c r="H182" s="435">
        <f>'规制工具'!L136</f>
        <v/>
      </c>
      <c r="I182" s="435" t="inlineStr">
        <is>
          <t>规制工具</t>
        </is>
      </c>
      <c r="J182" s="435">
        <f>'规制工具'!C136</f>
        <v/>
      </c>
      <c r="K182" s="435">
        <f>'规制工具'!E136</f>
        <v/>
      </c>
      <c r="L182" s="435">
        <f>'规制工具'!F136</f>
        <v/>
      </c>
      <c r="M182" s="430" t="n"/>
    </row>
    <row r="183" ht="128.25" customHeight="1">
      <c r="A183" s="435">
        <f>'规制工具'!A137</f>
        <v/>
      </c>
      <c r="B183" s="435">
        <f>'规制工具'!D137</f>
        <v/>
      </c>
      <c r="C183" s="435">
        <f>'规制工具'!H137</f>
        <v/>
      </c>
      <c r="D183" s="435">
        <f>'规制工具'!G137</f>
        <v/>
      </c>
      <c r="E183" s="435">
        <f>'规制工具'!U137</f>
        <v/>
      </c>
      <c r="F183" s="435">
        <f>'规制工具'!Q137</f>
        <v/>
      </c>
      <c r="G183" s="435">
        <f>'规制工具'!R137</f>
        <v/>
      </c>
      <c r="H183" s="435">
        <f>'规制工具'!L137</f>
        <v/>
      </c>
      <c r="I183" s="435" t="inlineStr">
        <is>
          <t>规制工具</t>
        </is>
      </c>
      <c r="J183" s="435">
        <f>'规制工具'!C137</f>
        <v/>
      </c>
      <c r="K183" s="435">
        <f>'规制工具'!E137</f>
        <v/>
      </c>
      <c r="L183" s="435">
        <f>'规制工具'!F137</f>
        <v/>
      </c>
      <c r="M183" s="430" t="n"/>
    </row>
    <row r="184" ht="99.75" customHeight="1">
      <c r="A184" s="435">
        <f>'规制工具'!A138</f>
        <v/>
      </c>
      <c r="B184" s="435">
        <f>'规制工具'!D138</f>
        <v/>
      </c>
      <c r="C184" s="435">
        <f>'规制工具'!H138</f>
        <v/>
      </c>
      <c r="D184" s="435">
        <f>'规制工具'!G138</f>
        <v/>
      </c>
      <c r="E184" s="435">
        <f>'规制工具'!U138</f>
        <v/>
      </c>
      <c r="F184" s="435">
        <f>'规制工具'!Q138</f>
        <v/>
      </c>
      <c r="G184" s="435">
        <f>'规制工具'!R138</f>
        <v/>
      </c>
      <c r="H184" s="435">
        <f>'规制工具'!L138</f>
        <v/>
      </c>
      <c r="I184" s="435" t="inlineStr">
        <is>
          <t>规制工具</t>
        </is>
      </c>
      <c r="J184" s="435">
        <f>'规制工具'!C138</f>
        <v/>
      </c>
      <c r="K184" s="435">
        <f>'规制工具'!E138</f>
        <v/>
      </c>
      <c r="L184" s="435">
        <f>'规制工具'!F138</f>
        <v/>
      </c>
      <c r="M184" s="430" t="n"/>
    </row>
    <row r="185" ht="128.25" customHeight="1">
      <c r="A185" s="435">
        <f>'规制工具'!A139</f>
        <v/>
      </c>
      <c r="B185" s="435">
        <f>'规制工具'!D139</f>
        <v/>
      </c>
      <c r="C185" s="435">
        <f>'规制工具'!H139</f>
        <v/>
      </c>
      <c r="D185" s="435">
        <f>'规制工具'!G139</f>
        <v/>
      </c>
      <c r="E185" s="435">
        <f>'规制工具'!U139</f>
        <v/>
      </c>
      <c r="F185" s="435">
        <f>'规制工具'!Q139</f>
        <v/>
      </c>
      <c r="G185" s="435">
        <f>'规制工具'!R139</f>
        <v/>
      </c>
      <c r="H185" s="435">
        <f>'规制工具'!L139</f>
        <v/>
      </c>
      <c r="I185" s="435" t="inlineStr">
        <is>
          <t>规制工具</t>
        </is>
      </c>
      <c r="J185" s="435">
        <f>'规制工具'!C139</f>
        <v/>
      </c>
      <c r="K185" s="435">
        <f>'规制工具'!E139</f>
        <v/>
      </c>
      <c r="L185" s="435">
        <f>'规制工具'!F139</f>
        <v/>
      </c>
      <c r="M185" s="430" t="n"/>
    </row>
    <row r="186" ht="128.25" customHeight="1">
      <c r="A186" s="435">
        <f>'规制工具'!A140</f>
        <v/>
      </c>
      <c r="B186" s="435">
        <f>'规制工具'!D140</f>
        <v/>
      </c>
      <c r="C186" s="435">
        <f>'规制工具'!H140</f>
        <v/>
      </c>
      <c r="D186" s="435">
        <f>'规制工具'!G140</f>
        <v/>
      </c>
      <c r="E186" s="435">
        <f>'规制工具'!U140</f>
        <v/>
      </c>
      <c r="F186" s="435">
        <f>'规制工具'!Q140</f>
        <v/>
      </c>
      <c r="G186" s="435">
        <f>'规制工具'!R140</f>
        <v/>
      </c>
      <c r="H186" s="435">
        <f>'规制工具'!L140</f>
        <v/>
      </c>
      <c r="I186" s="435" t="inlineStr">
        <is>
          <t>规制工具</t>
        </is>
      </c>
      <c r="J186" s="435">
        <f>'规制工具'!C140</f>
        <v/>
      </c>
      <c r="K186" s="435">
        <f>'规制工具'!E140</f>
        <v/>
      </c>
      <c r="L186" s="435">
        <f>'规制工具'!F140</f>
        <v/>
      </c>
      <c r="M186" s="430" t="n"/>
    </row>
    <row r="187" ht="128.25" customHeight="1">
      <c r="A187" s="435">
        <f>'规制工具'!A141</f>
        <v/>
      </c>
      <c r="B187" s="435">
        <f>'规制工具'!D141</f>
        <v/>
      </c>
      <c r="C187" s="435">
        <f>'规制工具'!H141</f>
        <v/>
      </c>
      <c r="D187" s="435">
        <f>'规制工具'!G141</f>
        <v/>
      </c>
      <c r="E187" s="435">
        <f>'规制工具'!U141</f>
        <v/>
      </c>
      <c r="F187" s="435">
        <f>'规制工具'!Q141</f>
        <v/>
      </c>
      <c r="G187" s="435">
        <f>'规制工具'!R141</f>
        <v/>
      </c>
      <c r="H187" s="435">
        <f>'规制工具'!L141</f>
        <v/>
      </c>
      <c r="I187" s="435" t="inlineStr">
        <is>
          <t>规制工具</t>
        </is>
      </c>
      <c r="J187" s="435">
        <f>'规制工具'!C141</f>
        <v/>
      </c>
      <c r="K187" s="435">
        <f>'规制工具'!E141</f>
        <v/>
      </c>
      <c r="L187" s="435">
        <f>'规制工具'!F141</f>
        <v/>
      </c>
      <c r="M187" s="430" t="n"/>
    </row>
    <row r="188" ht="128.25" customHeight="1">
      <c r="A188" s="435">
        <f>'规制工具'!A142</f>
        <v/>
      </c>
      <c r="B188" s="435">
        <f>'规制工具'!D142</f>
        <v/>
      </c>
      <c r="C188" s="435">
        <f>'规制工具'!H142</f>
        <v/>
      </c>
      <c r="D188" s="435">
        <f>'规制工具'!G142</f>
        <v/>
      </c>
      <c r="E188" s="435">
        <f>'规制工具'!U142</f>
        <v/>
      </c>
      <c r="F188" s="435">
        <f>'规制工具'!Q142</f>
        <v/>
      </c>
      <c r="G188" s="435">
        <f>'规制工具'!R142</f>
        <v/>
      </c>
      <c r="H188" s="435">
        <f>'规制工具'!L142</f>
        <v/>
      </c>
      <c r="I188" s="435" t="inlineStr">
        <is>
          <t>规制工具</t>
        </is>
      </c>
      <c r="J188" s="435">
        <f>'规制工具'!C142</f>
        <v/>
      </c>
      <c r="K188" s="435">
        <f>'规制工具'!E142</f>
        <v/>
      </c>
      <c r="L188" s="435">
        <f>'规制工具'!F142</f>
        <v/>
      </c>
      <c r="M188" s="430" t="n"/>
    </row>
    <row r="189" ht="114" customHeight="1">
      <c r="A189" s="435">
        <f>'规制工具'!A143</f>
        <v/>
      </c>
      <c r="B189" s="435">
        <f>'规制工具'!D143</f>
        <v/>
      </c>
      <c r="C189" s="435">
        <f>'规制工具'!H143</f>
        <v/>
      </c>
      <c r="D189" s="435">
        <f>'规制工具'!G143</f>
        <v/>
      </c>
      <c r="E189" s="435">
        <f>'规制工具'!U143</f>
        <v/>
      </c>
      <c r="F189" s="435">
        <f>'规制工具'!Q143</f>
        <v/>
      </c>
      <c r="G189" s="435">
        <f>'规制工具'!R143</f>
        <v/>
      </c>
      <c r="H189" s="435">
        <f>'规制工具'!L143</f>
        <v/>
      </c>
      <c r="I189" s="435" t="inlineStr">
        <is>
          <t>规制工具</t>
        </is>
      </c>
      <c r="J189" s="435">
        <f>'规制工具'!C143</f>
        <v/>
      </c>
      <c r="K189" s="435">
        <f>'规制工具'!E143</f>
        <v/>
      </c>
      <c r="L189" s="435">
        <f>'规制工具'!F143</f>
        <v/>
      </c>
      <c r="M189" s="430" t="n"/>
    </row>
    <row r="190" ht="114" customHeight="1">
      <c r="A190" s="435">
        <f>'规制工具'!A144</f>
        <v/>
      </c>
      <c r="B190" s="435">
        <f>'规制工具'!D144</f>
        <v/>
      </c>
      <c r="C190" s="435">
        <f>'规制工具'!H144</f>
        <v/>
      </c>
      <c r="D190" s="435">
        <f>'规制工具'!G144</f>
        <v/>
      </c>
      <c r="E190" s="435">
        <f>'规制工具'!U144</f>
        <v/>
      </c>
      <c r="F190" s="435">
        <f>'规制工具'!Q144</f>
        <v/>
      </c>
      <c r="G190" s="435">
        <f>'规制工具'!R144</f>
        <v/>
      </c>
      <c r="H190" s="435">
        <f>'规制工具'!L144</f>
        <v/>
      </c>
      <c r="I190" s="435" t="inlineStr">
        <is>
          <t>规制工具</t>
        </is>
      </c>
      <c r="J190" s="435">
        <f>'规制工具'!C144</f>
        <v/>
      </c>
      <c r="K190" s="435">
        <f>'规制工具'!E144</f>
        <v/>
      </c>
      <c r="L190" s="435">
        <f>'规制工具'!F144</f>
        <v/>
      </c>
      <c r="M190" s="430" t="n"/>
    </row>
    <row r="191" ht="114" customHeight="1">
      <c r="A191" s="435">
        <f>'规制工具'!A145</f>
        <v/>
      </c>
      <c r="B191" s="435">
        <f>'规制工具'!D145</f>
        <v/>
      </c>
      <c r="C191" s="435">
        <f>'规制工具'!H145</f>
        <v/>
      </c>
      <c r="D191" s="435">
        <f>'规制工具'!G145</f>
        <v/>
      </c>
      <c r="E191" s="435">
        <f>'规制工具'!U145</f>
        <v/>
      </c>
      <c r="F191" s="435">
        <f>'规制工具'!Q145</f>
        <v/>
      </c>
      <c r="G191" s="435">
        <f>'规制工具'!R145</f>
        <v/>
      </c>
      <c r="H191" s="435">
        <f>'规制工具'!L145</f>
        <v/>
      </c>
      <c r="I191" s="435" t="inlineStr">
        <is>
          <t>规制工具</t>
        </is>
      </c>
      <c r="J191" s="435">
        <f>'规制工具'!C145</f>
        <v/>
      </c>
      <c r="K191" s="435">
        <f>'规制工具'!E145</f>
        <v/>
      </c>
      <c r="L191" s="435">
        <f>'规制工具'!F145</f>
        <v/>
      </c>
      <c r="M191" s="430" t="n"/>
    </row>
    <row r="192" ht="114" customHeight="1">
      <c r="A192" s="435">
        <f>'规制工具'!A146</f>
        <v/>
      </c>
      <c r="B192" s="435">
        <f>'规制工具'!D146</f>
        <v/>
      </c>
      <c r="C192" s="435">
        <f>'规制工具'!H146</f>
        <v/>
      </c>
      <c r="D192" s="435">
        <f>'规制工具'!G146</f>
        <v/>
      </c>
      <c r="E192" s="435">
        <f>'规制工具'!U146</f>
        <v/>
      </c>
      <c r="F192" s="435">
        <f>'规制工具'!Q146</f>
        <v/>
      </c>
      <c r="G192" s="435">
        <f>'规制工具'!R146</f>
        <v/>
      </c>
      <c r="H192" s="435">
        <f>'规制工具'!L146</f>
        <v/>
      </c>
      <c r="I192" s="435" t="inlineStr">
        <is>
          <t>规制工具</t>
        </is>
      </c>
      <c r="J192" s="435">
        <f>'规制工具'!C146</f>
        <v/>
      </c>
      <c r="K192" s="435">
        <f>'规制工具'!E146</f>
        <v/>
      </c>
      <c r="L192" s="435">
        <f>'规制工具'!F146</f>
        <v/>
      </c>
      <c r="M192" s="430" t="n"/>
    </row>
    <row r="193" ht="114" customHeight="1">
      <c r="A193" s="435">
        <f>'规制工具'!A147</f>
        <v/>
      </c>
      <c r="B193" s="435">
        <f>'规制工具'!D147</f>
        <v/>
      </c>
      <c r="C193" s="435">
        <f>'规制工具'!H147</f>
        <v/>
      </c>
      <c r="D193" s="435">
        <f>'规制工具'!G147</f>
        <v/>
      </c>
      <c r="E193" s="435">
        <f>'规制工具'!U147</f>
        <v/>
      </c>
      <c r="F193" s="435">
        <f>'规制工具'!Q147</f>
        <v/>
      </c>
      <c r="G193" s="435">
        <f>'规制工具'!R147</f>
        <v/>
      </c>
      <c r="H193" s="435">
        <f>'规制工具'!L147</f>
        <v/>
      </c>
      <c r="I193" s="435" t="inlineStr">
        <is>
          <t>规制工具</t>
        </is>
      </c>
      <c r="J193" s="435">
        <f>'规制工具'!C147</f>
        <v/>
      </c>
      <c r="K193" s="435">
        <f>'规制工具'!E147</f>
        <v/>
      </c>
      <c r="L193" s="435">
        <f>'规制工具'!F147</f>
        <v/>
      </c>
      <c r="M193" s="430" t="n"/>
    </row>
    <row r="194" ht="114" customHeight="1">
      <c r="A194" s="435">
        <f>'规制工具'!A148</f>
        <v/>
      </c>
      <c r="B194" s="435">
        <f>'规制工具'!D148</f>
        <v/>
      </c>
      <c r="C194" s="435">
        <f>'规制工具'!H148</f>
        <v/>
      </c>
      <c r="D194" s="435">
        <f>'规制工具'!G148</f>
        <v/>
      </c>
      <c r="E194" s="435">
        <f>'规制工具'!U148</f>
        <v/>
      </c>
      <c r="F194" s="435">
        <f>'规制工具'!Q148</f>
        <v/>
      </c>
      <c r="G194" s="435">
        <f>'规制工具'!R148</f>
        <v/>
      </c>
      <c r="H194" s="435">
        <f>'规制工具'!L148</f>
        <v/>
      </c>
      <c r="I194" s="435" t="inlineStr">
        <is>
          <t>规制工具</t>
        </is>
      </c>
      <c r="J194" s="435">
        <f>'规制工具'!C148</f>
        <v/>
      </c>
      <c r="K194" s="435">
        <f>'规制工具'!E148</f>
        <v/>
      </c>
      <c r="L194" s="435">
        <f>'规制工具'!F148</f>
        <v/>
      </c>
      <c r="M194" s="430" t="n"/>
    </row>
    <row r="195" ht="114" customHeight="1">
      <c r="A195" s="435">
        <f>'规制工具'!A149</f>
        <v/>
      </c>
      <c r="B195" s="435">
        <f>'规制工具'!D149</f>
        <v/>
      </c>
      <c r="C195" s="435">
        <f>'规制工具'!H149</f>
        <v/>
      </c>
      <c r="D195" s="435">
        <f>'规制工具'!G149</f>
        <v/>
      </c>
      <c r="E195" s="435">
        <f>'规制工具'!U149</f>
        <v/>
      </c>
      <c r="F195" s="435">
        <f>'规制工具'!Q149</f>
        <v/>
      </c>
      <c r="G195" s="435">
        <f>'规制工具'!R149</f>
        <v/>
      </c>
      <c r="H195" s="435">
        <f>'规制工具'!L149</f>
        <v/>
      </c>
      <c r="I195" s="435" t="inlineStr">
        <is>
          <t>规制工具</t>
        </is>
      </c>
      <c r="J195" s="435">
        <f>'规制工具'!C149</f>
        <v/>
      </c>
      <c r="K195" s="435">
        <f>'规制工具'!E149</f>
        <v/>
      </c>
      <c r="L195" s="435">
        <f>'规制工具'!F149</f>
        <v/>
      </c>
      <c r="M195" s="430" t="n"/>
    </row>
    <row r="196" ht="114" customHeight="1">
      <c r="A196" s="435">
        <f>'规制工具'!A150</f>
        <v/>
      </c>
      <c r="B196" s="435">
        <f>'规制工具'!D150</f>
        <v/>
      </c>
      <c r="C196" s="435">
        <f>'规制工具'!H150</f>
        <v/>
      </c>
      <c r="D196" s="435">
        <f>'规制工具'!G150</f>
        <v/>
      </c>
      <c r="E196" s="435">
        <f>'规制工具'!U150</f>
        <v/>
      </c>
      <c r="F196" s="435">
        <f>'规制工具'!Q150</f>
        <v/>
      </c>
      <c r="G196" s="435">
        <f>'规制工具'!R150</f>
        <v/>
      </c>
      <c r="H196" s="435">
        <f>'规制工具'!L150</f>
        <v/>
      </c>
      <c r="I196" s="435" t="inlineStr">
        <is>
          <t>规制工具</t>
        </is>
      </c>
      <c r="J196" s="435">
        <f>'规制工具'!C150</f>
        <v/>
      </c>
      <c r="K196" s="435">
        <f>'规制工具'!E150</f>
        <v/>
      </c>
      <c r="L196" s="435">
        <f>'规制工具'!F150</f>
        <v/>
      </c>
      <c r="M196" s="430" t="n"/>
    </row>
    <row r="197" ht="114" customHeight="1">
      <c r="A197" s="435">
        <f>'规制工具'!A151</f>
        <v/>
      </c>
      <c r="B197" s="435">
        <f>'规制工具'!D151</f>
        <v/>
      </c>
      <c r="C197" s="435">
        <f>'规制工具'!H151</f>
        <v/>
      </c>
      <c r="D197" s="435">
        <f>'规制工具'!G151</f>
        <v/>
      </c>
      <c r="E197" s="435">
        <f>'规制工具'!U151</f>
        <v/>
      </c>
      <c r="F197" s="435">
        <f>'规制工具'!Q151</f>
        <v/>
      </c>
      <c r="G197" s="435">
        <f>'规制工具'!R151</f>
        <v/>
      </c>
      <c r="H197" s="435">
        <f>'规制工具'!L151</f>
        <v/>
      </c>
      <c r="I197" s="435" t="inlineStr">
        <is>
          <t>规制工具</t>
        </is>
      </c>
      <c r="J197" s="435">
        <f>'规制工具'!C151</f>
        <v/>
      </c>
      <c r="K197" s="435">
        <f>'规制工具'!E151</f>
        <v/>
      </c>
      <c r="L197" s="435">
        <f>'规制工具'!F151</f>
        <v/>
      </c>
      <c r="M197" s="430" t="n"/>
    </row>
    <row r="198" ht="114" customHeight="1">
      <c r="A198" s="435">
        <f>'规制工具'!A152</f>
        <v/>
      </c>
      <c r="B198" s="435">
        <f>'规制工具'!D152</f>
        <v/>
      </c>
      <c r="C198" s="435">
        <f>'规制工具'!H152</f>
        <v/>
      </c>
      <c r="D198" s="435">
        <f>'规制工具'!G152</f>
        <v/>
      </c>
      <c r="E198" s="435">
        <f>'规制工具'!U152</f>
        <v/>
      </c>
      <c r="F198" s="435">
        <f>'规制工具'!Q152</f>
        <v/>
      </c>
      <c r="G198" s="435">
        <f>'规制工具'!R152</f>
        <v/>
      </c>
      <c r="H198" s="435">
        <f>'规制工具'!L152</f>
        <v/>
      </c>
      <c r="I198" s="435" t="inlineStr">
        <is>
          <t>规制工具</t>
        </is>
      </c>
      <c r="J198" s="435">
        <f>'规制工具'!C152</f>
        <v/>
      </c>
      <c r="K198" s="435">
        <f>'规制工具'!E152</f>
        <v/>
      </c>
      <c r="L198" s="435">
        <f>'规制工具'!F152</f>
        <v/>
      </c>
      <c r="M198" s="430" t="n"/>
    </row>
    <row r="199" ht="114" customHeight="1">
      <c r="A199" s="435">
        <f>'规制工具'!A153</f>
        <v/>
      </c>
      <c r="B199" s="435">
        <f>'规制工具'!D153</f>
        <v/>
      </c>
      <c r="C199" s="435">
        <f>'规制工具'!H153</f>
        <v/>
      </c>
      <c r="D199" s="435">
        <f>'规制工具'!G153</f>
        <v/>
      </c>
      <c r="E199" s="435">
        <f>'规制工具'!U153</f>
        <v/>
      </c>
      <c r="F199" s="435">
        <f>'规制工具'!Q153</f>
        <v/>
      </c>
      <c r="G199" s="435">
        <f>'规制工具'!R153</f>
        <v/>
      </c>
      <c r="H199" s="435">
        <f>'规制工具'!L153</f>
        <v/>
      </c>
      <c r="I199" s="435" t="inlineStr">
        <is>
          <t>规制工具</t>
        </is>
      </c>
      <c r="J199" s="435">
        <f>'规制工具'!C153</f>
        <v/>
      </c>
      <c r="K199" s="435">
        <f>'规制工具'!E153</f>
        <v/>
      </c>
      <c r="L199" s="435">
        <f>'规制工具'!F153</f>
        <v/>
      </c>
      <c r="M199" s="430" t="n"/>
    </row>
    <row r="200" ht="57" customHeight="1">
      <c r="A200" s="435">
        <f>'规制工具'!A154</f>
        <v/>
      </c>
      <c r="B200" s="435">
        <f>'规制工具'!D154</f>
        <v/>
      </c>
      <c r="C200" s="435">
        <f>'规制工具'!H154</f>
        <v/>
      </c>
      <c r="D200" s="435">
        <f>'规制工具'!G154</f>
        <v/>
      </c>
      <c r="E200" s="435">
        <f>'规制工具'!U154</f>
        <v/>
      </c>
      <c r="F200" s="435">
        <f>'规制工具'!Q154</f>
        <v/>
      </c>
      <c r="G200" s="435">
        <f>'规制工具'!R154</f>
        <v/>
      </c>
      <c r="H200" s="435">
        <f>'规制工具'!L154</f>
        <v/>
      </c>
      <c r="I200" s="435" t="inlineStr">
        <is>
          <t>规制工具</t>
        </is>
      </c>
      <c r="J200" s="435">
        <f>'规制工具'!C154</f>
        <v/>
      </c>
      <c r="K200" s="435">
        <f>'规制工具'!E154</f>
        <v/>
      </c>
      <c r="L200" s="435">
        <f>'规制工具'!F154</f>
        <v/>
      </c>
      <c r="M200" s="430" t="n"/>
    </row>
    <row r="201" ht="57" customHeight="1">
      <c r="A201" s="435">
        <f>'规制工具'!A155</f>
        <v/>
      </c>
      <c r="B201" s="435">
        <f>'规制工具'!D155</f>
        <v/>
      </c>
      <c r="C201" s="435">
        <f>'规制工具'!H155</f>
        <v/>
      </c>
      <c r="D201" s="435">
        <f>'规制工具'!G155</f>
        <v/>
      </c>
      <c r="E201" s="435">
        <f>'规制工具'!U155</f>
        <v/>
      </c>
      <c r="F201" s="435">
        <f>'规制工具'!Q155</f>
        <v/>
      </c>
      <c r="G201" s="435">
        <f>'规制工具'!R155</f>
        <v/>
      </c>
      <c r="H201" s="435">
        <f>'规制工具'!L155</f>
        <v/>
      </c>
      <c r="I201" s="435" t="inlineStr">
        <is>
          <t>规制工具</t>
        </is>
      </c>
      <c r="J201" s="435">
        <f>'规制工具'!C155</f>
        <v/>
      </c>
      <c r="K201" s="435">
        <f>'规制工具'!E155</f>
        <v/>
      </c>
      <c r="L201" s="435">
        <f>'规制工具'!F155</f>
        <v/>
      </c>
      <c r="M201" s="430" t="n"/>
    </row>
    <row r="202" ht="57" customHeight="1">
      <c r="A202" s="435">
        <f>'规制工具'!A156</f>
        <v/>
      </c>
      <c r="B202" s="435">
        <f>'规制工具'!D156</f>
        <v/>
      </c>
      <c r="C202" s="435">
        <f>'规制工具'!H156</f>
        <v/>
      </c>
      <c r="D202" s="435">
        <f>'规制工具'!G156</f>
        <v/>
      </c>
      <c r="E202" s="435">
        <f>'规制工具'!U156</f>
        <v/>
      </c>
      <c r="F202" s="435">
        <f>'规制工具'!Q156</f>
        <v/>
      </c>
      <c r="G202" s="435">
        <f>'规制工具'!R156</f>
        <v/>
      </c>
      <c r="H202" s="435">
        <f>'规制工具'!L156</f>
        <v/>
      </c>
      <c r="I202" s="435" t="inlineStr">
        <is>
          <t>规制工具</t>
        </is>
      </c>
      <c r="J202" s="435">
        <f>'规制工具'!C156</f>
        <v/>
      </c>
      <c r="K202" s="435">
        <f>'规制工具'!E156</f>
        <v/>
      </c>
      <c r="L202" s="435">
        <f>'规制工具'!F156</f>
        <v/>
      </c>
      <c r="M202" s="430" t="n"/>
    </row>
    <row r="203" ht="57" customHeight="1">
      <c r="A203" s="435">
        <f>'规制工具'!A157</f>
        <v/>
      </c>
      <c r="B203" s="435">
        <f>'规制工具'!D157</f>
        <v/>
      </c>
      <c r="C203" s="435">
        <f>'规制工具'!H157</f>
        <v/>
      </c>
      <c r="D203" s="435">
        <f>'规制工具'!G157</f>
        <v/>
      </c>
      <c r="E203" s="435">
        <f>'规制工具'!U157</f>
        <v/>
      </c>
      <c r="F203" s="435">
        <f>'规制工具'!Q157</f>
        <v/>
      </c>
      <c r="G203" s="435">
        <f>'规制工具'!R157</f>
        <v/>
      </c>
      <c r="H203" s="435">
        <f>'规制工具'!L157</f>
        <v/>
      </c>
      <c r="I203" s="435" t="inlineStr">
        <is>
          <t>规制工具</t>
        </is>
      </c>
      <c r="J203" s="435">
        <f>'规制工具'!C157</f>
        <v/>
      </c>
      <c r="K203" s="435">
        <f>'规制工具'!E157</f>
        <v/>
      </c>
      <c r="L203" s="435">
        <f>'规制工具'!F157</f>
        <v/>
      </c>
      <c r="M203" s="430" t="n"/>
    </row>
    <row r="204" ht="57" customHeight="1">
      <c r="A204" s="435">
        <f>'规制工具'!A158</f>
        <v/>
      </c>
      <c r="B204" s="435">
        <f>'规制工具'!D158</f>
        <v/>
      </c>
      <c r="C204" s="435">
        <f>'规制工具'!H158</f>
        <v/>
      </c>
      <c r="D204" s="435">
        <f>'规制工具'!G158</f>
        <v/>
      </c>
      <c r="E204" s="435">
        <f>'规制工具'!U158</f>
        <v/>
      </c>
      <c r="F204" s="435">
        <f>'规制工具'!Q158</f>
        <v/>
      </c>
      <c r="G204" s="435">
        <f>'规制工具'!R158</f>
        <v/>
      </c>
      <c r="H204" s="435">
        <f>'规制工具'!L158</f>
        <v/>
      </c>
      <c r="I204" s="435" t="inlineStr">
        <is>
          <t>规制工具</t>
        </is>
      </c>
      <c r="J204" s="435">
        <f>'规制工具'!C158</f>
        <v/>
      </c>
      <c r="K204" s="435">
        <f>'规制工具'!E158</f>
        <v/>
      </c>
      <c r="L204" s="435">
        <f>'规制工具'!F158</f>
        <v/>
      </c>
      <c r="M204" s="430" t="n"/>
    </row>
    <row r="205" ht="114" customHeight="1">
      <c r="A205" s="435">
        <f>'规制工具'!A159</f>
        <v/>
      </c>
      <c r="B205" s="435">
        <f>'规制工具'!D159</f>
        <v/>
      </c>
      <c r="C205" s="435">
        <f>'规制工具'!H159</f>
        <v/>
      </c>
      <c r="D205" s="435">
        <f>'规制工具'!G159</f>
        <v/>
      </c>
      <c r="E205" s="435">
        <f>'规制工具'!U159</f>
        <v/>
      </c>
      <c r="F205" s="435">
        <f>'规制工具'!Q159</f>
        <v/>
      </c>
      <c r="G205" s="435">
        <f>'规制工具'!R159</f>
        <v/>
      </c>
      <c r="H205" s="435">
        <f>'规制工具'!L159</f>
        <v/>
      </c>
      <c r="I205" s="435" t="inlineStr">
        <is>
          <t>规制工具</t>
        </is>
      </c>
      <c r="J205" s="435">
        <f>'规制工具'!C159</f>
        <v/>
      </c>
      <c r="K205" s="435">
        <f>'规制工具'!E159</f>
        <v/>
      </c>
      <c r="L205" s="435">
        <f>'规制工具'!F159</f>
        <v/>
      </c>
      <c r="M205" s="430" t="n"/>
    </row>
    <row r="206" ht="114" customHeight="1">
      <c r="A206" s="435">
        <f>'规制工具'!A160</f>
        <v/>
      </c>
      <c r="B206" s="435">
        <f>'规制工具'!D160</f>
        <v/>
      </c>
      <c r="C206" s="435">
        <f>'规制工具'!H160</f>
        <v/>
      </c>
      <c r="D206" s="435">
        <f>'规制工具'!G160</f>
        <v/>
      </c>
      <c r="E206" s="435">
        <f>'规制工具'!U160</f>
        <v/>
      </c>
      <c r="F206" s="435">
        <f>'规制工具'!Q160</f>
        <v/>
      </c>
      <c r="G206" s="435">
        <f>'规制工具'!R160</f>
        <v/>
      </c>
      <c r="H206" s="435">
        <f>'规制工具'!L160</f>
        <v/>
      </c>
      <c r="I206" s="435" t="inlineStr">
        <is>
          <t>规制工具</t>
        </is>
      </c>
      <c r="J206" s="435">
        <f>'规制工具'!C160</f>
        <v/>
      </c>
      <c r="K206" s="435">
        <f>'规制工具'!E160</f>
        <v/>
      </c>
      <c r="L206" s="435">
        <f>'规制工具'!F160</f>
        <v/>
      </c>
      <c r="M206" s="430" t="n"/>
    </row>
    <row r="207" ht="114" customHeight="1">
      <c r="A207" s="435">
        <f>'规制工具'!A161</f>
        <v/>
      </c>
      <c r="B207" s="435">
        <f>'规制工具'!D161</f>
        <v/>
      </c>
      <c r="C207" s="435">
        <f>'规制工具'!H161</f>
        <v/>
      </c>
      <c r="D207" s="435">
        <f>'规制工具'!G161</f>
        <v/>
      </c>
      <c r="E207" s="435">
        <f>'规制工具'!U161</f>
        <v/>
      </c>
      <c r="F207" s="435">
        <f>'规制工具'!Q161</f>
        <v/>
      </c>
      <c r="G207" s="435">
        <f>'规制工具'!R161</f>
        <v/>
      </c>
      <c r="H207" s="435">
        <f>'规制工具'!L161</f>
        <v/>
      </c>
      <c r="I207" s="435" t="inlineStr">
        <is>
          <t>规制工具</t>
        </is>
      </c>
      <c r="J207" s="435">
        <f>'规制工具'!C161</f>
        <v/>
      </c>
      <c r="K207" s="435">
        <f>'规制工具'!E161</f>
        <v/>
      </c>
      <c r="L207" s="435">
        <f>'规制工具'!F161</f>
        <v/>
      </c>
      <c r="M207" s="430" t="n"/>
    </row>
    <row r="208" ht="114" customHeight="1">
      <c r="A208" s="435">
        <f>'规制工具'!A162</f>
        <v/>
      </c>
      <c r="B208" s="435">
        <f>'规制工具'!D162</f>
        <v/>
      </c>
      <c r="C208" s="435">
        <f>'规制工具'!H162</f>
        <v/>
      </c>
      <c r="D208" s="435">
        <f>'规制工具'!G162</f>
        <v/>
      </c>
      <c r="E208" s="435">
        <f>'规制工具'!U162</f>
        <v/>
      </c>
      <c r="F208" s="435">
        <f>'规制工具'!Q162</f>
        <v/>
      </c>
      <c r="G208" s="435">
        <f>'规制工具'!R162</f>
        <v/>
      </c>
      <c r="H208" s="435">
        <f>'规制工具'!L162</f>
        <v/>
      </c>
      <c r="I208" s="435" t="inlineStr">
        <is>
          <t>规制工具</t>
        </is>
      </c>
      <c r="J208" s="435">
        <f>'规制工具'!C162</f>
        <v/>
      </c>
      <c r="K208" s="435">
        <f>'规制工具'!E162</f>
        <v/>
      </c>
      <c r="L208" s="435">
        <f>'规制工具'!F162</f>
        <v/>
      </c>
      <c r="M208" s="430" t="n"/>
    </row>
    <row r="209" ht="114" customHeight="1">
      <c r="A209" s="435">
        <f>'规制工具'!A163</f>
        <v/>
      </c>
      <c r="B209" s="435">
        <f>'规制工具'!D163</f>
        <v/>
      </c>
      <c r="C209" s="435">
        <f>'规制工具'!H163</f>
        <v/>
      </c>
      <c r="D209" s="435">
        <f>'规制工具'!G163</f>
        <v/>
      </c>
      <c r="E209" s="435">
        <f>'规制工具'!U163</f>
        <v/>
      </c>
      <c r="F209" s="435">
        <f>'规制工具'!Q163</f>
        <v/>
      </c>
      <c r="G209" s="435">
        <f>'规制工具'!R163</f>
        <v/>
      </c>
      <c r="H209" s="435">
        <f>'规制工具'!L163</f>
        <v/>
      </c>
      <c r="I209" s="435" t="inlineStr">
        <is>
          <t>规制工具</t>
        </is>
      </c>
      <c r="J209" s="435">
        <f>'规制工具'!C163</f>
        <v/>
      </c>
      <c r="K209" s="435">
        <f>'规制工具'!E163</f>
        <v/>
      </c>
      <c r="L209" s="435">
        <f>'规制工具'!F163</f>
        <v/>
      </c>
      <c r="M209" s="430" t="n"/>
    </row>
    <row r="210" ht="57" customHeight="1">
      <c r="A210" s="435">
        <f>'规制工具'!A164</f>
        <v/>
      </c>
      <c r="B210" s="435">
        <f>'规制工具'!D164</f>
        <v/>
      </c>
      <c r="C210" s="435">
        <f>'规制工具'!H164</f>
        <v/>
      </c>
      <c r="D210" s="435">
        <f>'规制工具'!G164</f>
        <v/>
      </c>
      <c r="E210" s="435">
        <f>'规制工具'!U164</f>
        <v/>
      </c>
      <c r="F210" s="435">
        <f>'规制工具'!Q164</f>
        <v/>
      </c>
      <c r="G210" s="435">
        <f>'规制工具'!R164</f>
        <v/>
      </c>
      <c r="H210" s="435">
        <f>'规制工具'!L164</f>
        <v/>
      </c>
      <c r="I210" s="435" t="inlineStr">
        <is>
          <t>规制工具</t>
        </is>
      </c>
      <c r="J210" s="435">
        <f>'规制工具'!C164</f>
        <v/>
      </c>
      <c r="K210" s="435">
        <f>'规制工具'!E164</f>
        <v/>
      </c>
      <c r="L210" s="435">
        <f>'规制工具'!F164</f>
        <v/>
      </c>
      <c r="M210" s="430" t="n"/>
    </row>
    <row r="211" ht="156.75" customHeight="1">
      <c r="A211" s="435">
        <f>'政府投资与消费'!A3</f>
        <v/>
      </c>
      <c r="B211" s="435">
        <f>'政府投资与消费'!D3</f>
        <v/>
      </c>
      <c r="C211" s="435">
        <f>'政府投资与消费'!H3</f>
        <v/>
      </c>
      <c r="D211" s="435">
        <f>'政府投资与消费'!G3</f>
        <v/>
      </c>
      <c r="E211" s="435">
        <f>'政府投资与消费'!U3</f>
        <v/>
      </c>
      <c r="F211" s="435">
        <f>'政府投资与消费'!Q3</f>
        <v/>
      </c>
      <c r="G211" s="435">
        <f>'政府投资与消费'!R3</f>
        <v/>
      </c>
      <c r="H211" s="435">
        <f>'政府投资与消费'!L3</f>
        <v/>
      </c>
      <c r="I211" s="435" t="inlineStr">
        <is>
          <t>政府投资与消费</t>
        </is>
      </c>
      <c r="J211" s="435">
        <f>'政府投资与消费'!C3</f>
        <v/>
      </c>
      <c r="K211" s="435">
        <f>'政府投资与消费'!E3</f>
        <v/>
      </c>
      <c r="L211" s="435">
        <f>'政府投资与消费'!F3</f>
        <v/>
      </c>
      <c r="M211" s="430" t="n"/>
    </row>
    <row r="212" ht="185.25" customHeight="1">
      <c r="A212" s="435">
        <f>'政府投资与消费'!A4</f>
        <v/>
      </c>
      <c r="B212" s="435">
        <f>'政府投资与消费'!D4</f>
        <v/>
      </c>
      <c r="C212" s="435">
        <f>'政府投资与消费'!H4</f>
        <v/>
      </c>
      <c r="D212" s="435">
        <f>'政府投资与消费'!G4</f>
        <v/>
      </c>
      <c r="E212" s="435">
        <f>'政府投资与消费'!U4</f>
        <v/>
      </c>
      <c r="F212" s="435">
        <f>'政府投资与消费'!Q4</f>
        <v/>
      </c>
      <c r="G212" s="435">
        <f>'政府投资与消费'!R4</f>
        <v/>
      </c>
      <c r="H212" s="435">
        <f>'政府投资与消费'!L4</f>
        <v/>
      </c>
      <c r="I212" s="435" t="inlineStr">
        <is>
          <t>政府投资与消费</t>
        </is>
      </c>
      <c r="J212" s="435">
        <f>'政府投资与消费'!C4</f>
        <v/>
      </c>
      <c r="K212" s="435">
        <f>'政府投资与消费'!E4</f>
        <v/>
      </c>
      <c r="L212" s="435">
        <f>'政府投资与消费'!F4</f>
        <v/>
      </c>
      <c r="M212" s="430" t="n"/>
    </row>
    <row r="213" ht="85.5" customHeight="1">
      <c r="A213" s="435">
        <f>'政府投资与消费'!A5</f>
        <v/>
      </c>
      <c r="B213" s="435">
        <f>'政府投资与消费'!D5</f>
        <v/>
      </c>
      <c r="C213" s="435">
        <f>'政府投资与消费'!H5</f>
        <v/>
      </c>
      <c r="D213" s="435">
        <f>'政府投资与消费'!G5</f>
        <v/>
      </c>
      <c r="E213" s="435">
        <f>'政府投资与消费'!U5</f>
        <v/>
      </c>
      <c r="F213" s="435">
        <f>'政府投资与消费'!Q5</f>
        <v/>
      </c>
      <c r="G213" s="435">
        <f>'政府投资与消费'!R5</f>
        <v/>
      </c>
      <c r="H213" s="435">
        <f>'政府投资与消费'!L5</f>
        <v/>
      </c>
      <c r="I213" s="435" t="inlineStr">
        <is>
          <t>政府投资与消费</t>
        </is>
      </c>
      <c r="J213" s="435">
        <f>'政府投资与消费'!C5</f>
        <v/>
      </c>
      <c r="K213" s="435">
        <f>'政府投资与消费'!E5</f>
        <v/>
      </c>
      <c r="L213" s="435">
        <f>'政府投资与消费'!F5</f>
        <v/>
      </c>
      <c r="M213" s="430" t="n"/>
    </row>
    <row r="214" ht="185.25" customHeight="1">
      <c r="A214" s="435">
        <f>'政府投资与消费'!A6</f>
        <v/>
      </c>
      <c r="B214" s="435">
        <f>'政府投资与消费'!D6</f>
        <v/>
      </c>
      <c r="C214" s="435">
        <f>'政府投资与消费'!H6</f>
        <v/>
      </c>
      <c r="D214" s="435">
        <f>'政府投资与消费'!G6</f>
        <v/>
      </c>
      <c r="E214" s="435">
        <f>'政府投资与消费'!U6</f>
        <v/>
      </c>
      <c r="F214" s="435">
        <f>'政府投资与消费'!Q6</f>
        <v/>
      </c>
      <c r="G214" s="435">
        <f>'政府投资与消费'!R6</f>
        <v/>
      </c>
      <c r="H214" s="435">
        <f>'政府投资与消费'!L6</f>
        <v/>
      </c>
      <c r="I214" s="435" t="inlineStr">
        <is>
          <t>政府投资与消费</t>
        </is>
      </c>
      <c r="J214" s="435">
        <f>'政府投资与消费'!C6</f>
        <v/>
      </c>
      <c r="K214" s="435">
        <f>'政府投资与消费'!E6</f>
        <v/>
      </c>
      <c r="L214" s="435">
        <f>'政府投资与消费'!F6</f>
        <v/>
      </c>
      <c r="M214" s="430" t="n"/>
    </row>
    <row r="215" ht="57" customHeight="1">
      <c r="A215" s="435">
        <f>'政府投资与消费'!A7</f>
        <v/>
      </c>
      <c r="B215" s="435">
        <f>'政府投资与消费'!D7</f>
        <v/>
      </c>
      <c r="C215" s="435">
        <f>'政府投资与消费'!H7</f>
        <v/>
      </c>
      <c r="D215" s="435">
        <f>'政府投资与消费'!G7</f>
        <v/>
      </c>
      <c r="E215" s="435">
        <f>'政府投资与消费'!U7</f>
        <v/>
      </c>
      <c r="F215" s="435">
        <f>'政府投资与消费'!Q7</f>
        <v/>
      </c>
      <c r="G215" s="435">
        <f>'政府投资与消费'!R7</f>
        <v/>
      </c>
      <c r="H215" s="435">
        <f>'政府投资与消费'!L7</f>
        <v/>
      </c>
      <c r="I215" s="435" t="inlineStr">
        <is>
          <t>政府投资与消费</t>
        </is>
      </c>
      <c r="J215" s="435">
        <f>'政府投资与消费'!C7</f>
        <v/>
      </c>
      <c r="K215" s="435">
        <f>'政府投资与消费'!E7</f>
        <v/>
      </c>
      <c r="L215" s="435">
        <f>'政府投资与消费'!F7</f>
        <v/>
      </c>
      <c r="M215" s="430" t="n"/>
    </row>
    <row r="216" ht="71.25" customHeight="1">
      <c r="A216" s="435">
        <f>'政府投资与消费'!A8</f>
        <v/>
      </c>
      <c r="B216" s="435">
        <f>'政府投资与消费'!D8</f>
        <v/>
      </c>
      <c r="C216" s="435">
        <f>'政府投资与消费'!H8</f>
        <v/>
      </c>
      <c r="D216" s="435">
        <f>'政府投资与消费'!G8</f>
        <v/>
      </c>
      <c r="E216" s="435">
        <f>'政府投资与消费'!U8</f>
        <v/>
      </c>
      <c r="F216" s="435">
        <f>'政府投资与消费'!Q8</f>
        <v/>
      </c>
      <c r="G216" s="435">
        <f>'政府投资与消费'!R8</f>
        <v/>
      </c>
      <c r="H216" s="435">
        <f>'政府投资与消费'!L8</f>
        <v/>
      </c>
      <c r="I216" s="435" t="inlineStr">
        <is>
          <t>政府投资与消费</t>
        </is>
      </c>
      <c r="J216" s="435">
        <f>'政府投资与消费'!C8</f>
        <v/>
      </c>
      <c r="K216" s="435">
        <f>'政府投资与消费'!E8</f>
        <v/>
      </c>
      <c r="L216" s="435">
        <f>'政府投资与消费'!F8</f>
        <v/>
      </c>
      <c r="M216" s="430" t="n"/>
    </row>
    <row r="217" ht="114" customHeight="1">
      <c r="A217" s="435">
        <f>'政府投资与消费'!A9</f>
        <v/>
      </c>
      <c r="B217" s="435">
        <f>'政府投资与消费'!D9</f>
        <v/>
      </c>
      <c r="C217" s="435">
        <f>'政府投资与消费'!H9</f>
        <v/>
      </c>
      <c r="D217" s="435">
        <f>'政府投资与消费'!G9</f>
        <v/>
      </c>
      <c r="E217" s="435">
        <f>'政府投资与消费'!U9</f>
        <v/>
      </c>
      <c r="F217" s="435">
        <f>'政府投资与消费'!Q9</f>
        <v/>
      </c>
      <c r="G217" s="435">
        <f>'政府投资与消费'!R9</f>
        <v/>
      </c>
      <c r="H217" s="435">
        <f>'政府投资与消费'!L9</f>
        <v/>
      </c>
      <c r="I217" s="435" t="inlineStr">
        <is>
          <t>政府投资与消费</t>
        </is>
      </c>
      <c r="J217" s="435">
        <f>'政府投资与消费'!C9</f>
        <v/>
      </c>
      <c r="K217" s="435">
        <f>'政府投资与消费'!E9</f>
        <v/>
      </c>
      <c r="L217" s="435">
        <f>'政府投资与消费'!F9</f>
        <v/>
      </c>
      <c r="M217" s="430" t="n"/>
    </row>
    <row r="218" ht="384.75" customHeight="1">
      <c r="A218" s="435">
        <f>'政府投资与消费'!A10</f>
        <v/>
      </c>
      <c r="B218" s="435">
        <f>'政府投资与消费'!D10</f>
        <v/>
      </c>
      <c r="C218" s="435">
        <f>'政府投资与消费'!H10</f>
        <v/>
      </c>
      <c r="D218" s="435">
        <f>'政府投资与消费'!G10</f>
        <v/>
      </c>
      <c r="E218" s="435">
        <f>'政府投资与消费'!U10</f>
        <v/>
      </c>
      <c r="F218" s="435">
        <f>'政府投资与消费'!Q10</f>
        <v/>
      </c>
      <c r="G218" s="435">
        <f>'政府投资与消费'!R10</f>
        <v/>
      </c>
      <c r="H218" s="435">
        <f>'政府投资与消费'!L10</f>
        <v/>
      </c>
      <c r="I218" s="435" t="inlineStr">
        <is>
          <t>政府投资与消费</t>
        </is>
      </c>
      <c r="J218" s="435">
        <f>'政府投资与消费'!C10</f>
        <v/>
      </c>
      <c r="K218" s="435">
        <f>'政府投资与消费'!E10</f>
        <v/>
      </c>
      <c r="L218" s="435">
        <f>'政府投资与消费'!F10</f>
        <v/>
      </c>
      <c r="M218" s="430" t="n"/>
    </row>
    <row r="219" ht="99.75" customHeight="1">
      <c r="A219" s="435">
        <f>'政府投资与消费'!A11</f>
        <v/>
      </c>
      <c r="B219" s="435">
        <f>'政府投资与消费'!D11</f>
        <v/>
      </c>
      <c r="C219" s="435">
        <f>'政府投资与消费'!H11</f>
        <v/>
      </c>
      <c r="D219" s="435">
        <f>'政府投资与消费'!G11</f>
        <v/>
      </c>
      <c r="E219" s="435">
        <f>'政府投资与消费'!U11</f>
        <v/>
      </c>
      <c r="F219" s="435">
        <f>'政府投资与消费'!Q11</f>
        <v/>
      </c>
      <c r="G219" s="435">
        <f>'政府投资与消费'!R11</f>
        <v/>
      </c>
      <c r="H219" s="435">
        <f>'政府投资与消费'!L11</f>
        <v/>
      </c>
      <c r="I219" s="435" t="inlineStr">
        <is>
          <t>政府投资与消费</t>
        </is>
      </c>
      <c r="J219" s="435">
        <f>'政府投资与消费'!C11</f>
        <v/>
      </c>
      <c r="K219" s="435">
        <f>'政府投资与消费'!E11</f>
        <v/>
      </c>
      <c r="L219" s="435">
        <f>'政府投资与消费'!F11</f>
        <v/>
      </c>
      <c r="M219" s="430" t="n"/>
    </row>
    <row r="220" ht="114" customHeight="1">
      <c r="A220" s="435">
        <f>'政府投资与消费'!A12</f>
        <v/>
      </c>
      <c r="B220" s="435">
        <f>'政府投资与消费'!D12</f>
        <v/>
      </c>
      <c r="C220" s="435">
        <f>'政府投资与消费'!H12</f>
        <v/>
      </c>
      <c r="D220" s="435">
        <f>'政府投资与消费'!G12</f>
        <v/>
      </c>
      <c r="E220" s="435">
        <f>'政府投资与消费'!U12</f>
        <v/>
      </c>
      <c r="F220" s="435">
        <f>'政府投资与消费'!Q12</f>
        <v/>
      </c>
      <c r="G220" s="435">
        <f>'政府投资与消费'!R12</f>
        <v/>
      </c>
      <c r="H220" s="435">
        <f>'政府投资与消费'!L12</f>
        <v/>
      </c>
      <c r="I220" s="435" t="inlineStr">
        <is>
          <t>政府投资与消费</t>
        </is>
      </c>
      <c r="J220" s="435">
        <f>'政府投资与消费'!C12</f>
        <v/>
      </c>
      <c r="K220" s="435">
        <f>'政府投资与消费'!E12</f>
        <v/>
      </c>
      <c r="L220" s="435">
        <f>'政府投资与消费'!F12</f>
        <v/>
      </c>
      <c r="M220" s="430" t="n"/>
    </row>
    <row r="221" ht="242.25" customHeight="1">
      <c r="A221" s="435">
        <f>'政府投资与消费'!A13</f>
        <v/>
      </c>
      <c r="B221" s="435">
        <f>'政府投资与消费'!D13</f>
        <v/>
      </c>
      <c r="C221" s="435">
        <f>'政府投资与消费'!H13</f>
        <v/>
      </c>
      <c r="D221" s="435">
        <f>'政府投资与消费'!G13</f>
        <v/>
      </c>
      <c r="E221" s="435">
        <f>'政府投资与消费'!U13</f>
        <v/>
      </c>
      <c r="F221" s="435">
        <f>'政府投资与消费'!Q13</f>
        <v/>
      </c>
      <c r="G221" s="435">
        <f>'政府投资与消费'!R13</f>
        <v/>
      </c>
      <c r="H221" s="435">
        <f>'政府投资与消费'!L13</f>
        <v/>
      </c>
      <c r="I221" s="435" t="inlineStr">
        <is>
          <t>政府投资与消费</t>
        </is>
      </c>
      <c r="J221" s="435">
        <f>'政府投资与消费'!C13</f>
        <v/>
      </c>
      <c r="K221" s="435">
        <f>'政府投资与消费'!E13</f>
        <v/>
      </c>
      <c r="L221" s="435">
        <f>'政府投资与消费'!F13</f>
        <v/>
      </c>
      <c r="M221" s="430" t="n"/>
    </row>
    <row r="222" ht="142.5" customHeight="1">
      <c r="A222" s="435">
        <f>'政府投资与消费'!A14</f>
        <v/>
      </c>
      <c r="B222" s="435">
        <f>'政府投资与消费'!D14</f>
        <v/>
      </c>
      <c r="C222" s="435">
        <f>'政府投资与消费'!H14</f>
        <v/>
      </c>
      <c r="D222" s="435">
        <f>'政府投资与消费'!G14</f>
        <v/>
      </c>
      <c r="E222" s="435">
        <f>'政府投资与消费'!U14</f>
        <v/>
      </c>
      <c r="F222" s="435">
        <f>'政府投资与消费'!Q14</f>
        <v/>
      </c>
      <c r="G222" s="435">
        <f>'政府投资与消费'!R14</f>
        <v/>
      </c>
      <c r="H222" s="435">
        <f>'政府投资与消费'!L14</f>
        <v/>
      </c>
      <c r="I222" s="435" t="inlineStr">
        <is>
          <t>政府投资与消费</t>
        </is>
      </c>
      <c r="J222" s="435">
        <f>'政府投资与消费'!C14</f>
        <v/>
      </c>
      <c r="K222" s="435">
        <f>'政府投资与消费'!E14</f>
        <v/>
      </c>
      <c r="L222" s="435">
        <f>'政府投资与消费'!F14</f>
        <v/>
      </c>
      <c r="M222" s="430" t="n"/>
    </row>
    <row r="223" ht="114" customHeight="1">
      <c r="A223" s="435">
        <f>'政府投资与消费'!A15</f>
        <v/>
      </c>
      <c r="B223" s="435">
        <f>'政府投资与消费'!D15</f>
        <v/>
      </c>
      <c r="C223" s="435">
        <f>'政府投资与消费'!H15</f>
        <v/>
      </c>
      <c r="D223" s="435">
        <f>'政府投资与消费'!G15</f>
        <v/>
      </c>
      <c r="E223" s="435">
        <f>'政府投资与消费'!U15</f>
        <v/>
      </c>
      <c r="F223" s="435">
        <f>'政府投资与消费'!Q15</f>
        <v/>
      </c>
      <c r="G223" s="435">
        <f>'政府投资与消费'!R15</f>
        <v/>
      </c>
      <c r="H223" s="435">
        <f>'政府投资与消费'!L15</f>
        <v/>
      </c>
      <c r="I223" s="435" t="inlineStr">
        <is>
          <t>政府投资与消费</t>
        </is>
      </c>
      <c r="J223" s="435">
        <f>'政府投资与消费'!C15</f>
        <v/>
      </c>
      <c r="K223" s="435">
        <f>'政府投资与消费'!E15</f>
        <v/>
      </c>
      <c r="L223" s="435">
        <f>'政府投资与消费'!F15</f>
        <v/>
      </c>
      <c r="M223" s="430" t="n"/>
    </row>
    <row r="224" ht="99.75" customHeight="1">
      <c r="A224" s="435">
        <f>'政府投资与消费'!A16</f>
        <v/>
      </c>
      <c r="B224" s="435">
        <f>'政府投资与消费'!D16</f>
        <v/>
      </c>
      <c r="C224" s="435">
        <f>'政府投资与消费'!H16</f>
        <v/>
      </c>
      <c r="D224" s="435">
        <f>'政府投资与消费'!G16</f>
        <v/>
      </c>
      <c r="E224" s="435">
        <f>'政府投资与消费'!U16</f>
        <v/>
      </c>
      <c r="F224" s="435">
        <f>'政府投资与消费'!Q16</f>
        <v/>
      </c>
      <c r="G224" s="435">
        <f>'政府投资与消费'!R16</f>
        <v/>
      </c>
      <c r="H224" s="435">
        <f>'政府投资与消费'!L16</f>
        <v/>
      </c>
      <c r="I224" s="435" t="inlineStr">
        <is>
          <t>政府投资与消费</t>
        </is>
      </c>
      <c r="J224" s="435">
        <f>'政府投资与消费'!C16</f>
        <v/>
      </c>
      <c r="K224" s="435">
        <f>'政府投资与消费'!E16</f>
        <v/>
      </c>
      <c r="L224" s="435">
        <f>'政府投资与消费'!F16</f>
        <v/>
      </c>
      <c r="M224" s="430" t="n"/>
    </row>
    <row r="225" ht="142.5" customHeight="1">
      <c r="A225" s="435">
        <f>'政府投资与消费'!A17</f>
        <v/>
      </c>
      <c r="B225" s="435">
        <f>'政府投资与消费'!D17</f>
        <v/>
      </c>
      <c r="C225" s="435">
        <f>'政府投资与消费'!H17</f>
        <v/>
      </c>
      <c r="D225" s="435">
        <f>'政府投资与消费'!G17</f>
        <v/>
      </c>
      <c r="E225" s="435">
        <f>'政府投资与消费'!U17</f>
        <v/>
      </c>
      <c r="F225" s="435">
        <f>'政府投资与消费'!Q17</f>
        <v/>
      </c>
      <c r="G225" s="435">
        <f>'政府投资与消费'!R17</f>
        <v/>
      </c>
      <c r="H225" s="435">
        <f>'政府投资与消费'!L17</f>
        <v/>
      </c>
      <c r="I225" s="435" t="inlineStr">
        <is>
          <t>政府投资与消费</t>
        </is>
      </c>
      <c r="J225" s="435">
        <f>'政府投资与消费'!C17</f>
        <v/>
      </c>
      <c r="K225" s="435">
        <f>'政府投资与消费'!E17</f>
        <v/>
      </c>
      <c r="L225" s="435">
        <f>'政府投资与消费'!F17</f>
        <v/>
      </c>
      <c r="M225" s="430" t="n"/>
    </row>
    <row r="226" ht="128.25" customHeight="1">
      <c r="A226" s="435">
        <f>'政府投资与消费'!A18</f>
        <v/>
      </c>
      <c r="B226" s="435">
        <f>'政府投资与消费'!D18</f>
        <v/>
      </c>
      <c r="C226" s="435">
        <f>'政府投资与消费'!H18</f>
        <v/>
      </c>
      <c r="D226" s="435">
        <f>'政府投资与消费'!G18</f>
        <v/>
      </c>
      <c r="E226" s="435">
        <f>'政府投资与消费'!U18</f>
        <v/>
      </c>
      <c r="F226" s="435">
        <f>'政府投资与消费'!Q18</f>
        <v/>
      </c>
      <c r="G226" s="435">
        <f>'政府投资与消费'!R18</f>
        <v/>
      </c>
      <c r="H226" s="435">
        <f>'政府投资与消费'!L18</f>
        <v/>
      </c>
      <c r="I226" s="435" t="inlineStr">
        <is>
          <t>政府投资与消费</t>
        </is>
      </c>
      <c r="J226" s="435">
        <f>'政府投资与消费'!C18</f>
        <v/>
      </c>
      <c r="K226" s="435">
        <f>'政府投资与消费'!E18</f>
        <v/>
      </c>
      <c r="L226" s="435">
        <f>'政府投资与消费'!F18</f>
        <v/>
      </c>
      <c r="M226" s="430" t="n"/>
    </row>
    <row r="227" ht="71.25" customHeight="1">
      <c r="A227" s="435">
        <f>'政府投资与消费'!A19</f>
        <v/>
      </c>
      <c r="B227" s="435">
        <f>'政府投资与消费'!D19</f>
        <v/>
      </c>
      <c r="C227" s="435">
        <f>'政府投资与消费'!H19</f>
        <v/>
      </c>
      <c r="D227" s="435">
        <f>'政府投资与消费'!G19</f>
        <v/>
      </c>
      <c r="E227" s="435">
        <f>'政府投资与消费'!U19</f>
        <v/>
      </c>
      <c r="F227" s="435">
        <f>'政府投资与消费'!Q19</f>
        <v/>
      </c>
      <c r="G227" s="435">
        <f>'政府投资与消费'!R19</f>
        <v/>
      </c>
      <c r="H227" s="435">
        <f>'政府投资与消费'!L19</f>
        <v/>
      </c>
      <c r="I227" s="435" t="inlineStr">
        <is>
          <t>政府投资与消费</t>
        </is>
      </c>
      <c r="J227" s="435">
        <f>'政府投资与消费'!C19</f>
        <v/>
      </c>
      <c r="K227" s="435">
        <f>'政府投资与消费'!E19</f>
        <v/>
      </c>
      <c r="L227" s="435">
        <f>'政府投资与消费'!F19</f>
        <v/>
      </c>
      <c r="M227" s="430" t="n"/>
    </row>
    <row r="228" ht="156.75" customHeight="1">
      <c r="A228" s="435">
        <f>'政府投资与消费'!A20</f>
        <v/>
      </c>
      <c r="B228" s="435">
        <f>'政府投资与消费'!D20</f>
        <v/>
      </c>
      <c r="C228" s="435">
        <f>'政府投资与消费'!H20</f>
        <v/>
      </c>
      <c r="D228" s="435">
        <f>'政府投资与消费'!G20</f>
        <v/>
      </c>
      <c r="E228" s="435">
        <f>'政府投资与消费'!U20</f>
        <v/>
      </c>
      <c r="F228" s="435">
        <f>'政府投资与消费'!Q20</f>
        <v/>
      </c>
      <c r="G228" s="435">
        <f>'政府投资与消费'!R20</f>
        <v/>
      </c>
      <c r="H228" s="435">
        <f>'政府投资与消费'!L20</f>
        <v/>
      </c>
      <c r="I228" s="435" t="inlineStr">
        <is>
          <t>政府投资与消费</t>
        </is>
      </c>
      <c r="J228" s="435">
        <f>'政府投资与消费'!C20</f>
        <v/>
      </c>
      <c r="K228" s="435">
        <f>'政府投资与消费'!E20</f>
        <v/>
      </c>
      <c r="L228" s="435">
        <f>'政府投资与消费'!F20</f>
        <v/>
      </c>
      <c r="M228" s="430" t="n"/>
    </row>
    <row r="229" ht="399" customHeight="1">
      <c r="A229" s="435">
        <f>'政府投资与消费'!A21</f>
        <v/>
      </c>
      <c r="B229" s="435">
        <f>'政府投资与消费'!D21</f>
        <v/>
      </c>
      <c r="C229" s="435">
        <f>'政府投资与消费'!H21</f>
        <v/>
      </c>
      <c r="D229" s="435">
        <f>'政府投资与消费'!G21</f>
        <v/>
      </c>
      <c r="E229" s="435">
        <f>'政府投资与消费'!U21</f>
        <v/>
      </c>
      <c r="F229" s="435">
        <f>'政府投资与消费'!Q21</f>
        <v/>
      </c>
      <c r="G229" s="435">
        <f>'政府投资与消费'!R21</f>
        <v/>
      </c>
      <c r="H229" s="435">
        <f>'政府投资与消费'!L21</f>
        <v/>
      </c>
      <c r="I229" s="435" t="inlineStr">
        <is>
          <t>政府投资与消费</t>
        </is>
      </c>
      <c r="J229" s="435">
        <f>'政府投资与消费'!C21</f>
        <v/>
      </c>
      <c r="K229" s="435">
        <f>'政府投资与消费'!E21</f>
        <v/>
      </c>
      <c r="L229" s="435">
        <f>'政府投资与消费'!F21</f>
        <v/>
      </c>
      <c r="M229" s="430" t="n"/>
    </row>
    <row r="230" ht="85.5" customHeight="1">
      <c r="A230" s="435">
        <f>'政府投资与消费'!A22</f>
        <v/>
      </c>
      <c r="B230" s="435">
        <f>'政府投资与消费'!D22</f>
        <v/>
      </c>
      <c r="C230" s="435">
        <f>'政府投资与消费'!H22</f>
        <v/>
      </c>
      <c r="D230" s="435">
        <f>'政府投资与消费'!G22</f>
        <v/>
      </c>
      <c r="E230" s="435">
        <f>'政府投资与消费'!U22</f>
        <v/>
      </c>
      <c r="F230" s="435">
        <f>'政府投资与消费'!Q22</f>
        <v/>
      </c>
      <c r="G230" s="435">
        <f>'政府投资与消费'!R22</f>
        <v/>
      </c>
      <c r="H230" s="435">
        <f>'政府投资与消费'!L22</f>
        <v/>
      </c>
      <c r="I230" s="435" t="inlineStr">
        <is>
          <t>政府投资与消费</t>
        </is>
      </c>
      <c r="J230" s="435">
        <f>'政府投资与消费'!C22</f>
        <v/>
      </c>
      <c r="K230" s="435">
        <f>'政府投资与消费'!E22</f>
        <v/>
      </c>
      <c r="L230" s="435">
        <f>'政府投资与消费'!F22</f>
        <v/>
      </c>
      <c r="M230" s="430" t="n"/>
    </row>
    <row r="231" ht="57" customHeight="1">
      <c r="A231" s="435">
        <f>'政府投资与消费'!A23</f>
        <v/>
      </c>
      <c r="B231" s="435">
        <f>'政府投资与消费'!D23</f>
        <v/>
      </c>
      <c r="C231" s="435">
        <f>'政府投资与消费'!H23</f>
        <v/>
      </c>
      <c r="D231" s="435">
        <f>'政府投资与消费'!G23</f>
        <v/>
      </c>
      <c r="E231" s="435">
        <f>'政府投资与消费'!U23</f>
        <v/>
      </c>
      <c r="F231" s="435">
        <f>'政府投资与消费'!Q23</f>
        <v/>
      </c>
      <c r="G231" s="435">
        <f>'政府投资与消费'!R23</f>
        <v/>
      </c>
      <c r="H231" s="435">
        <f>'政府投资与消费'!L23</f>
        <v/>
      </c>
      <c r="I231" s="435" t="inlineStr">
        <is>
          <t>政府投资与消费</t>
        </is>
      </c>
      <c r="J231" s="435">
        <f>'政府投资与消费'!C23</f>
        <v/>
      </c>
      <c r="K231" s="435">
        <f>'政府投资与消费'!E23</f>
        <v/>
      </c>
      <c r="L231" s="435">
        <f>'政府投资与消费'!F23</f>
        <v/>
      </c>
      <c r="M231" s="430" t="n"/>
    </row>
    <row r="232" ht="71.25" customHeight="1">
      <c r="A232" s="435">
        <f>'政府投资与消费'!A24</f>
        <v/>
      </c>
      <c r="B232" s="435">
        <f>'政府投资与消费'!D24</f>
        <v/>
      </c>
      <c r="C232" s="435">
        <f>'政府投资与消费'!H24</f>
        <v/>
      </c>
      <c r="D232" s="435">
        <f>'政府投资与消费'!G24</f>
        <v/>
      </c>
      <c r="E232" s="435">
        <f>'政府投资与消费'!U24</f>
        <v/>
      </c>
      <c r="F232" s="435">
        <f>'政府投资与消费'!Q24</f>
        <v/>
      </c>
      <c r="G232" s="435">
        <f>'政府投资与消费'!R24</f>
        <v/>
      </c>
      <c r="H232" s="435">
        <f>'政府投资与消费'!L24</f>
        <v/>
      </c>
      <c r="I232" s="435" t="inlineStr">
        <is>
          <t>政府投资与消费</t>
        </is>
      </c>
      <c r="J232" s="435">
        <f>'政府投资与消费'!C24</f>
        <v/>
      </c>
      <c r="K232" s="435">
        <f>'政府投资与消费'!E24</f>
        <v/>
      </c>
      <c r="L232" s="435">
        <f>'政府投资与消费'!F24</f>
        <v/>
      </c>
      <c r="M232" s="430" t="n"/>
    </row>
    <row r="233" ht="342" customHeight="1">
      <c r="A233" s="435">
        <f>'政府投资与消费'!A25</f>
        <v/>
      </c>
      <c r="B233" s="435">
        <f>'政府投资与消费'!D25</f>
        <v/>
      </c>
      <c r="C233" s="435">
        <f>'政府投资与消费'!H25</f>
        <v/>
      </c>
      <c r="D233" s="435">
        <f>'政府投资与消费'!G25</f>
        <v/>
      </c>
      <c r="E233" s="435">
        <f>'政府投资与消费'!U25</f>
        <v/>
      </c>
      <c r="F233" s="435">
        <f>'政府投资与消费'!Q25</f>
        <v/>
      </c>
      <c r="G233" s="435">
        <f>'政府投资与消费'!R25</f>
        <v/>
      </c>
      <c r="H233" s="435">
        <f>'政府投资与消费'!L25</f>
        <v/>
      </c>
      <c r="I233" s="435" t="inlineStr">
        <is>
          <t>政府投资与消费</t>
        </is>
      </c>
      <c r="J233" s="435">
        <f>'政府投资与消费'!C25</f>
        <v/>
      </c>
      <c r="K233" s="435">
        <f>'政府投资与消费'!E25</f>
        <v/>
      </c>
      <c r="L233" s="435">
        <f>'政府投资与消费'!F25</f>
        <v/>
      </c>
      <c r="M233" s="430" t="n"/>
    </row>
    <row r="234" ht="156.75" customHeight="1">
      <c r="A234" s="435">
        <f>'信息工具'!A3</f>
        <v/>
      </c>
      <c r="B234" s="435">
        <f>'信息工具'!D3</f>
        <v/>
      </c>
      <c r="C234" s="435">
        <f>'信息工具'!H3</f>
        <v/>
      </c>
      <c r="D234" s="435">
        <f>'信息工具'!G3</f>
        <v/>
      </c>
      <c r="E234" s="435">
        <f>'信息工具'!U3</f>
        <v/>
      </c>
      <c r="F234" s="435">
        <f>'信息工具'!Q3</f>
        <v/>
      </c>
      <c r="G234" s="435">
        <f>'信息工具'!R3</f>
        <v/>
      </c>
      <c r="H234" s="435">
        <f>'信息工具'!L3</f>
        <v/>
      </c>
      <c r="I234" s="435" t="inlineStr">
        <is>
          <t>信息工具</t>
        </is>
      </c>
      <c r="J234" s="435">
        <f>'信息工具'!C3</f>
        <v/>
      </c>
      <c r="K234" s="435">
        <f>'信息工具'!E3</f>
        <v/>
      </c>
      <c r="L234" s="435">
        <f>'信息工具'!F3</f>
        <v/>
      </c>
      <c r="M234" s="430" t="n"/>
    </row>
    <row r="235" ht="71.25" customHeight="1">
      <c r="A235" s="435">
        <f>'信息工具'!A4</f>
        <v/>
      </c>
      <c r="B235" s="435">
        <f>'信息工具'!D4</f>
        <v/>
      </c>
      <c r="C235" s="435">
        <f>'信息工具'!H4</f>
        <v/>
      </c>
      <c r="D235" s="435">
        <f>'信息工具'!G4</f>
        <v/>
      </c>
      <c r="E235" s="435">
        <f>'信息工具'!U4</f>
        <v/>
      </c>
      <c r="F235" s="435">
        <f>'信息工具'!Q4</f>
        <v/>
      </c>
      <c r="G235" s="435">
        <f>'信息工具'!R4</f>
        <v/>
      </c>
      <c r="H235" s="435">
        <f>'信息工具'!L4</f>
        <v/>
      </c>
      <c r="I235" s="435" t="inlineStr">
        <is>
          <t>信息工具</t>
        </is>
      </c>
      <c r="J235" s="435">
        <f>'信息工具'!C4</f>
        <v/>
      </c>
      <c r="K235" s="435">
        <f>'信息工具'!E4</f>
        <v/>
      </c>
      <c r="L235" s="435">
        <f>'信息工具'!F4</f>
        <v/>
      </c>
      <c r="M235" s="430" t="n"/>
    </row>
    <row r="236" ht="171" customHeight="1">
      <c r="A236" s="435">
        <f>'信息工具'!A5</f>
        <v/>
      </c>
      <c r="B236" s="435">
        <f>'信息工具'!D5</f>
        <v/>
      </c>
      <c r="C236" s="435">
        <f>'信息工具'!H5</f>
        <v/>
      </c>
      <c r="D236" s="435">
        <f>'信息工具'!G5</f>
        <v/>
      </c>
      <c r="E236" s="435">
        <f>'信息工具'!U5</f>
        <v/>
      </c>
      <c r="F236" s="435">
        <f>'信息工具'!Q5</f>
        <v/>
      </c>
      <c r="G236" s="435">
        <f>'信息工具'!R5</f>
        <v/>
      </c>
      <c r="H236" s="435">
        <f>'信息工具'!L5</f>
        <v/>
      </c>
      <c r="I236" s="435" t="inlineStr">
        <is>
          <t>信息工具</t>
        </is>
      </c>
      <c r="J236" s="435">
        <f>'信息工具'!C5</f>
        <v/>
      </c>
      <c r="K236" s="435">
        <f>'信息工具'!E5</f>
        <v/>
      </c>
      <c r="L236" s="435">
        <f>'信息工具'!F5</f>
        <v/>
      </c>
      <c r="M236" s="430" t="n"/>
    </row>
    <row r="237" ht="71.25" customHeight="1">
      <c r="A237" s="435">
        <f>'信息工具'!A6</f>
        <v/>
      </c>
      <c r="B237" s="435">
        <f>'信息工具'!D6</f>
        <v/>
      </c>
      <c r="C237" s="435">
        <f>'信息工具'!H6</f>
        <v/>
      </c>
      <c r="D237" s="435">
        <f>'信息工具'!G6</f>
        <v/>
      </c>
      <c r="E237" s="435">
        <f>'信息工具'!U6</f>
        <v/>
      </c>
      <c r="F237" s="435">
        <f>'信息工具'!Q6</f>
        <v/>
      </c>
      <c r="G237" s="435">
        <f>'信息工具'!R6</f>
        <v/>
      </c>
      <c r="H237" s="435">
        <f>'信息工具'!L6</f>
        <v/>
      </c>
      <c r="I237" s="435" t="inlineStr">
        <is>
          <t>信息工具</t>
        </is>
      </c>
      <c r="J237" s="435">
        <f>'信息工具'!C6</f>
        <v/>
      </c>
      <c r="K237" s="435">
        <f>'信息工具'!E6</f>
        <v/>
      </c>
      <c r="L237" s="435">
        <f>'信息工具'!F6</f>
        <v/>
      </c>
      <c r="M237" s="430" t="n"/>
    </row>
    <row r="238" ht="71.25" customHeight="1">
      <c r="A238" s="435">
        <f>'信息工具'!A7</f>
        <v/>
      </c>
      <c r="B238" s="435">
        <f>'信息工具'!D7</f>
        <v/>
      </c>
      <c r="C238" s="435">
        <f>'信息工具'!H7</f>
        <v/>
      </c>
      <c r="D238" s="435">
        <f>'信息工具'!G7</f>
        <v/>
      </c>
      <c r="E238" s="435">
        <f>'信息工具'!U7</f>
        <v/>
      </c>
      <c r="F238" s="435">
        <f>'信息工具'!Q7</f>
        <v/>
      </c>
      <c r="G238" s="435">
        <f>'信息工具'!R7</f>
        <v/>
      </c>
      <c r="H238" s="435">
        <f>'信息工具'!L7</f>
        <v/>
      </c>
      <c r="I238" s="435" t="inlineStr">
        <is>
          <t>信息工具</t>
        </is>
      </c>
      <c r="J238" s="435">
        <f>'信息工具'!C7</f>
        <v/>
      </c>
      <c r="K238" s="435">
        <f>'信息工具'!E7</f>
        <v/>
      </c>
      <c r="L238" s="435">
        <f>'信息工具'!F7</f>
        <v/>
      </c>
      <c r="M238" s="430" t="n"/>
    </row>
    <row r="239" ht="71.25" customHeight="1">
      <c r="A239" s="435">
        <f>'信息工具'!A8</f>
        <v/>
      </c>
      <c r="B239" s="435">
        <f>'信息工具'!D8</f>
        <v/>
      </c>
      <c r="C239" s="435">
        <f>'信息工具'!H8</f>
        <v/>
      </c>
      <c r="D239" s="435">
        <f>'信息工具'!G8</f>
        <v/>
      </c>
      <c r="E239" s="435">
        <f>'信息工具'!U8</f>
        <v/>
      </c>
      <c r="F239" s="435">
        <f>'信息工具'!Q8</f>
        <v/>
      </c>
      <c r="G239" s="435">
        <f>'信息工具'!R8</f>
        <v/>
      </c>
      <c r="H239" s="435">
        <f>'信息工具'!L8</f>
        <v/>
      </c>
      <c r="I239" s="435" t="inlineStr">
        <is>
          <t>信息工具</t>
        </is>
      </c>
      <c r="J239" s="435">
        <f>'信息工具'!C8</f>
        <v/>
      </c>
      <c r="K239" s="435">
        <f>'信息工具'!E8</f>
        <v/>
      </c>
      <c r="L239" s="435">
        <f>'信息工具'!F8</f>
        <v/>
      </c>
      <c r="M239" s="430" t="n"/>
    </row>
    <row r="240" ht="142.5" customHeight="1">
      <c r="A240" s="435">
        <f>'信息工具'!A9</f>
        <v/>
      </c>
      <c r="B240" s="435">
        <f>'信息工具'!D9</f>
        <v/>
      </c>
      <c r="C240" s="435">
        <f>'信息工具'!H9</f>
        <v/>
      </c>
      <c r="D240" s="435">
        <f>'信息工具'!G9</f>
        <v/>
      </c>
      <c r="E240" s="435">
        <f>'信息工具'!U9</f>
        <v/>
      </c>
      <c r="F240" s="435">
        <f>'信息工具'!Q9</f>
        <v/>
      </c>
      <c r="G240" s="435">
        <f>'信息工具'!R9</f>
        <v/>
      </c>
      <c r="H240" s="435">
        <f>'信息工具'!L9</f>
        <v/>
      </c>
      <c r="I240" s="435" t="inlineStr">
        <is>
          <t>信息工具</t>
        </is>
      </c>
      <c r="J240" s="435">
        <f>'信息工具'!C9</f>
        <v/>
      </c>
      <c r="K240" s="435">
        <f>'信息工具'!E9</f>
        <v/>
      </c>
      <c r="L240" s="435">
        <f>'信息工具'!F9</f>
        <v/>
      </c>
      <c r="M240" s="430" t="n"/>
    </row>
    <row r="241" ht="213.75" customHeight="1">
      <c r="A241" s="435">
        <f>'信息工具'!A10</f>
        <v/>
      </c>
      <c r="B241" s="435">
        <f>'信息工具'!D10</f>
        <v/>
      </c>
      <c r="C241" s="435">
        <f>'信息工具'!H10</f>
        <v/>
      </c>
      <c r="D241" s="435">
        <f>'信息工具'!G10</f>
        <v/>
      </c>
      <c r="E241" s="435">
        <f>'信息工具'!U10</f>
        <v/>
      </c>
      <c r="F241" s="435">
        <f>'信息工具'!Q10</f>
        <v/>
      </c>
      <c r="G241" s="435">
        <f>'信息工具'!R10</f>
        <v/>
      </c>
      <c r="H241" s="435">
        <f>'信息工具'!L10</f>
        <v/>
      </c>
      <c r="I241" s="435" t="inlineStr">
        <is>
          <t>信息工具</t>
        </is>
      </c>
      <c r="J241" s="435">
        <f>'信息工具'!C10</f>
        <v/>
      </c>
      <c r="K241" s="435">
        <f>'信息工具'!E10</f>
        <v/>
      </c>
      <c r="L241" s="435">
        <f>'信息工具'!F10</f>
        <v/>
      </c>
      <c r="M241" s="430" t="n"/>
    </row>
    <row r="242" ht="85.5" customHeight="1">
      <c r="A242" s="435">
        <f>'信息工具'!A11</f>
        <v/>
      </c>
      <c r="B242" s="435">
        <f>'信息工具'!D11</f>
        <v/>
      </c>
      <c r="C242" s="435">
        <f>'信息工具'!H11</f>
        <v/>
      </c>
      <c r="D242" s="435">
        <f>'信息工具'!G11</f>
        <v/>
      </c>
      <c r="E242" s="435">
        <f>'信息工具'!U11</f>
        <v/>
      </c>
      <c r="F242" s="435">
        <f>'信息工具'!Q11</f>
        <v/>
      </c>
      <c r="G242" s="435">
        <f>'信息工具'!R11</f>
        <v/>
      </c>
      <c r="H242" s="435">
        <f>'信息工具'!L11</f>
        <v/>
      </c>
      <c r="I242" s="435" t="inlineStr">
        <is>
          <t>信息工具</t>
        </is>
      </c>
      <c r="J242" s="435">
        <f>'信息工具'!C11</f>
        <v/>
      </c>
      <c r="K242" s="435">
        <f>'信息工具'!E11</f>
        <v/>
      </c>
      <c r="L242" s="435">
        <f>'信息工具'!F11</f>
        <v/>
      </c>
      <c r="M242" s="430" t="n"/>
    </row>
    <row r="243" ht="85.5" customHeight="1">
      <c r="A243" s="435">
        <f>'信息工具'!A12</f>
        <v/>
      </c>
      <c r="B243" s="435">
        <f>'信息工具'!D12</f>
        <v/>
      </c>
      <c r="C243" s="435">
        <f>'信息工具'!H12</f>
        <v/>
      </c>
      <c r="D243" s="435">
        <f>'信息工具'!G12</f>
        <v/>
      </c>
      <c r="E243" s="435">
        <f>'信息工具'!U12</f>
        <v/>
      </c>
      <c r="F243" s="435">
        <f>'信息工具'!Q12</f>
        <v/>
      </c>
      <c r="G243" s="435">
        <f>'信息工具'!R12</f>
        <v/>
      </c>
      <c r="H243" s="435">
        <f>'信息工具'!L12</f>
        <v/>
      </c>
      <c r="I243" s="435" t="inlineStr">
        <is>
          <t>信息工具</t>
        </is>
      </c>
      <c r="J243" s="435">
        <f>'信息工具'!C12</f>
        <v/>
      </c>
      <c r="K243" s="435">
        <f>'信息工具'!E12</f>
        <v/>
      </c>
      <c r="L243" s="435">
        <f>'信息工具'!F12</f>
        <v/>
      </c>
      <c r="M243" s="430" t="n"/>
    </row>
    <row r="244" ht="99.75" customHeight="1">
      <c r="A244" s="435">
        <f>'信息工具'!A13</f>
        <v/>
      </c>
      <c r="B244" s="435">
        <f>'信息工具'!D13</f>
        <v/>
      </c>
      <c r="C244" s="435">
        <f>'信息工具'!H13</f>
        <v/>
      </c>
      <c r="D244" s="435">
        <f>'信息工具'!G13</f>
        <v/>
      </c>
      <c r="E244" s="435">
        <f>'信息工具'!U13</f>
        <v/>
      </c>
      <c r="F244" s="435">
        <f>'信息工具'!Q13</f>
        <v/>
      </c>
      <c r="G244" s="435">
        <f>'信息工具'!R13</f>
        <v/>
      </c>
      <c r="H244" s="435">
        <f>'信息工具'!L13</f>
        <v/>
      </c>
      <c r="I244" s="435" t="inlineStr">
        <is>
          <t>信息工具</t>
        </is>
      </c>
      <c r="J244" s="435">
        <f>'信息工具'!C13</f>
        <v/>
      </c>
      <c r="K244" s="435">
        <f>'信息工具'!E13</f>
        <v/>
      </c>
      <c r="L244" s="435">
        <f>'信息工具'!F13</f>
        <v/>
      </c>
      <c r="M244" s="430" t="n"/>
    </row>
    <row r="245" ht="99.75" customHeight="1">
      <c r="A245" s="435">
        <f>'信息工具'!A14</f>
        <v/>
      </c>
      <c r="B245" s="435">
        <f>'信息工具'!D14</f>
        <v/>
      </c>
      <c r="C245" s="435">
        <f>'信息工具'!H14</f>
        <v/>
      </c>
      <c r="D245" s="435">
        <f>'信息工具'!G14</f>
        <v/>
      </c>
      <c r="E245" s="435">
        <f>'信息工具'!U14</f>
        <v/>
      </c>
      <c r="F245" s="435">
        <f>'信息工具'!Q14</f>
        <v/>
      </c>
      <c r="G245" s="435">
        <f>'信息工具'!R14</f>
        <v/>
      </c>
      <c r="H245" s="435">
        <f>'信息工具'!L14</f>
        <v/>
      </c>
      <c r="I245" s="435" t="inlineStr">
        <is>
          <t>信息工具</t>
        </is>
      </c>
      <c r="J245" s="435">
        <f>'信息工具'!C14</f>
        <v/>
      </c>
      <c r="K245" s="435">
        <f>'信息工具'!E14</f>
        <v/>
      </c>
      <c r="L245" s="435">
        <f>'信息工具'!F14</f>
        <v/>
      </c>
      <c r="M245" s="430" t="n"/>
    </row>
    <row r="246" ht="99.75" customHeight="1">
      <c r="A246" s="435">
        <f>'信息工具'!A15</f>
        <v/>
      </c>
      <c r="B246" s="435">
        <f>'信息工具'!D15</f>
        <v/>
      </c>
      <c r="C246" s="435">
        <f>'信息工具'!H15</f>
        <v/>
      </c>
      <c r="D246" s="435">
        <f>'信息工具'!G15</f>
        <v/>
      </c>
      <c r="E246" s="435">
        <f>'信息工具'!U15</f>
        <v/>
      </c>
      <c r="F246" s="435">
        <f>'信息工具'!Q15</f>
        <v/>
      </c>
      <c r="G246" s="435">
        <f>'信息工具'!R15</f>
        <v/>
      </c>
      <c r="H246" s="435">
        <f>'信息工具'!L15</f>
        <v/>
      </c>
      <c r="I246" s="435" t="inlineStr">
        <is>
          <t>信息工具</t>
        </is>
      </c>
      <c r="J246" s="435">
        <f>'信息工具'!C15</f>
        <v/>
      </c>
      <c r="K246" s="435">
        <f>'信息工具'!E15</f>
        <v/>
      </c>
      <c r="L246" s="435">
        <f>'信息工具'!F15</f>
        <v/>
      </c>
      <c r="M246" s="430" t="n"/>
    </row>
    <row r="247" ht="99.75" customHeight="1">
      <c r="A247" s="435">
        <f>'信息工具'!A16</f>
        <v/>
      </c>
      <c r="B247" s="435">
        <f>'信息工具'!D16</f>
        <v/>
      </c>
      <c r="C247" s="435">
        <f>'信息工具'!H16</f>
        <v/>
      </c>
      <c r="D247" s="435">
        <f>'信息工具'!G16</f>
        <v/>
      </c>
      <c r="E247" s="435">
        <f>'信息工具'!U16</f>
        <v/>
      </c>
      <c r="F247" s="435">
        <f>'信息工具'!Q16</f>
        <v/>
      </c>
      <c r="G247" s="435">
        <f>'信息工具'!R16</f>
        <v/>
      </c>
      <c r="H247" s="435">
        <f>'信息工具'!L16</f>
        <v/>
      </c>
      <c r="I247" s="435" t="inlineStr">
        <is>
          <t>信息工具</t>
        </is>
      </c>
      <c r="J247" s="435">
        <f>'信息工具'!C16</f>
        <v/>
      </c>
      <c r="K247" s="435">
        <f>'信息工具'!E16</f>
        <v/>
      </c>
      <c r="L247" s="435">
        <f>'信息工具'!F16</f>
        <v/>
      </c>
      <c r="M247" s="430" t="n"/>
    </row>
    <row r="248" ht="99.75" customHeight="1">
      <c r="A248" s="435">
        <f>'信息工具'!A17</f>
        <v/>
      </c>
      <c r="B248" s="435">
        <f>'信息工具'!D17</f>
        <v/>
      </c>
      <c r="C248" s="435">
        <f>'信息工具'!H17</f>
        <v/>
      </c>
      <c r="D248" s="435">
        <f>'信息工具'!G17</f>
        <v/>
      </c>
      <c r="E248" s="435">
        <f>'信息工具'!U17</f>
        <v/>
      </c>
      <c r="F248" s="435">
        <f>'信息工具'!Q17</f>
        <v/>
      </c>
      <c r="G248" s="435">
        <f>'信息工具'!R17</f>
        <v/>
      </c>
      <c r="H248" s="435">
        <f>'信息工具'!L17</f>
        <v/>
      </c>
      <c r="I248" s="435" t="inlineStr">
        <is>
          <t>信息工具</t>
        </is>
      </c>
      <c r="J248" s="435">
        <f>'信息工具'!C17</f>
        <v/>
      </c>
      <c r="K248" s="435">
        <f>'信息工具'!E17</f>
        <v/>
      </c>
      <c r="L248" s="435">
        <f>'信息工具'!F17</f>
        <v/>
      </c>
      <c r="M248" s="430" t="n"/>
    </row>
    <row r="249" ht="99.75" customHeight="1">
      <c r="A249" s="435">
        <f>'信息工具'!A18</f>
        <v/>
      </c>
      <c r="B249" s="435">
        <f>'信息工具'!D18</f>
        <v/>
      </c>
      <c r="C249" s="435">
        <f>'信息工具'!H18</f>
        <v/>
      </c>
      <c r="D249" s="435">
        <f>'信息工具'!G18</f>
        <v/>
      </c>
      <c r="E249" s="435">
        <f>'信息工具'!U18</f>
        <v/>
      </c>
      <c r="F249" s="435">
        <f>'信息工具'!Q18</f>
        <v/>
      </c>
      <c r="G249" s="435">
        <f>'信息工具'!R18</f>
        <v/>
      </c>
      <c r="H249" s="435">
        <f>'信息工具'!L18</f>
        <v/>
      </c>
      <c r="I249" s="435" t="inlineStr">
        <is>
          <t>信息工具</t>
        </is>
      </c>
      <c r="J249" s="435">
        <f>'信息工具'!C18</f>
        <v/>
      </c>
      <c r="K249" s="435">
        <f>'信息工具'!E18</f>
        <v/>
      </c>
      <c r="L249" s="435">
        <f>'信息工具'!F18</f>
        <v/>
      </c>
      <c r="M249" s="430" t="n"/>
    </row>
    <row r="250" ht="409.5" customHeight="1">
      <c r="A250" s="435">
        <f>'信息工具'!A19</f>
        <v/>
      </c>
      <c r="B250" s="435">
        <f>'信息工具'!D19</f>
        <v/>
      </c>
      <c r="C250" s="435">
        <f>'信息工具'!H19</f>
        <v/>
      </c>
      <c r="D250" s="435">
        <f>'信息工具'!G19</f>
        <v/>
      </c>
      <c r="E250" s="435">
        <f>'信息工具'!U19</f>
        <v/>
      </c>
      <c r="F250" s="435">
        <f>'信息工具'!Q19</f>
        <v/>
      </c>
      <c r="G250" s="435">
        <f>'信息工具'!R19</f>
        <v/>
      </c>
      <c r="H250" s="435">
        <f>'信息工具'!L19</f>
        <v/>
      </c>
      <c r="I250" s="435" t="inlineStr">
        <is>
          <t>信息工具</t>
        </is>
      </c>
      <c r="J250" s="435">
        <f>'信息工具'!C19</f>
        <v/>
      </c>
      <c r="K250" s="435">
        <f>'信息工具'!E19</f>
        <v/>
      </c>
      <c r="L250" s="435">
        <f>'信息工具'!F19</f>
        <v/>
      </c>
      <c r="M250" s="430" t="n"/>
    </row>
    <row r="251" ht="99.75" customHeight="1">
      <c r="A251" s="435">
        <f>'信息工具'!A20</f>
        <v/>
      </c>
      <c r="B251" s="435">
        <f>'信息工具'!D20</f>
        <v/>
      </c>
      <c r="C251" s="435">
        <f>'信息工具'!H20</f>
        <v/>
      </c>
      <c r="D251" s="435">
        <f>'信息工具'!G20</f>
        <v/>
      </c>
      <c r="E251" s="435">
        <f>'信息工具'!U20</f>
        <v/>
      </c>
      <c r="F251" s="435">
        <f>'信息工具'!Q20</f>
        <v/>
      </c>
      <c r="G251" s="435">
        <f>'信息工具'!R20</f>
        <v/>
      </c>
      <c r="H251" s="435">
        <f>'信息工具'!L20</f>
        <v/>
      </c>
      <c r="I251" s="435" t="inlineStr">
        <is>
          <t>信息工具</t>
        </is>
      </c>
      <c r="J251" s="435">
        <f>'信息工具'!C20</f>
        <v/>
      </c>
      <c r="K251" s="435">
        <f>'信息工具'!E20</f>
        <v/>
      </c>
      <c r="L251" s="435">
        <f>'信息工具'!F20</f>
        <v/>
      </c>
      <c r="M251" s="430" t="n"/>
    </row>
    <row r="252" ht="99.75" customHeight="1">
      <c r="A252" s="435">
        <f>'信息工具'!A21</f>
        <v/>
      </c>
      <c r="B252" s="435">
        <f>'信息工具'!D21</f>
        <v/>
      </c>
      <c r="C252" s="435">
        <f>'信息工具'!H21</f>
        <v/>
      </c>
      <c r="D252" s="435">
        <f>'信息工具'!G21</f>
        <v/>
      </c>
      <c r="E252" s="435">
        <f>'信息工具'!U21</f>
        <v/>
      </c>
      <c r="F252" s="435">
        <f>'信息工具'!Q21</f>
        <v/>
      </c>
      <c r="G252" s="435">
        <f>'信息工具'!R21</f>
        <v/>
      </c>
      <c r="H252" s="435">
        <f>'信息工具'!L21</f>
        <v/>
      </c>
      <c r="I252" s="435" t="inlineStr">
        <is>
          <t>信息工具</t>
        </is>
      </c>
      <c r="J252" s="435">
        <f>'信息工具'!C21</f>
        <v/>
      </c>
      <c r="K252" s="435">
        <f>'信息工具'!E21</f>
        <v/>
      </c>
      <c r="L252" s="435">
        <f>'信息工具'!F21</f>
        <v/>
      </c>
      <c r="M252" s="430" t="n"/>
    </row>
    <row r="253" ht="370.5" customHeight="1">
      <c r="A253" s="435">
        <f>'信息工具'!A22</f>
        <v/>
      </c>
      <c r="B253" s="435">
        <f>'信息工具'!D22</f>
        <v/>
      </c>
      <c r="C253" s="435">
        <f>'信息工具'!H22</f>
        <v/>
      </c>
      <c r="D253" s="435">
        <f>'信息工具'!G22</f>
        <v/>
      </c>
      <c r="E253" s="435">
        <f>'信息工具'!U22</f>
        <v/>
      </c>
      <c r="F253" s="435">
        <f>'信息工具'!Q22</f>
        <v/>
      </c>
      <c r="G253" s="435">
        <f>'信息工具'!R22</f>
        <v/>
      </c>
      <c r="H253" s="435">
        <f>'信息工具'!L22</f>
        <v/>
      </c>
      <c r="I253" s="435" t="inlineStr">
        <is>
          <t>信息工具</t>
        </is>
      </c>
      <c r="J253" s="435">
        <f>'信息工具'!C22</f>
        <v/>
      </c>
      <c r="K253" s="435">
        <f>'信息工具'!E22</f>
        <v/>
      </c>
      <c r="L253" s="435">
        <f>'信息工具'!F22</f>
        <v/>
      </c>
      <c r="M253" s="430" t="n"/>
    </row>
    <row r="254" ht="99.75" customHeight="1">
      <c r="A254" s="435">
        <f>'信息工具'!A23</f>
        <v/>
      </c>
      <c r="B254" s="435">
        <f>'信息工具'!D23</f>
        <v/>
      </c>
      <c r="C254" s="435">
        <f>'信息工具'!H23</f>
        <v/>
      </c>
      <c r="D254" s="435">
        <f>'信息工具'!G23</f>
        <v/>
      </c>
      <c r="E254" s="435">
        <f>'信息工具'!U23</f>
        <v/>
      </c>
      <c r="F254" s="435">
        <f>'信息工具'!Q23</f>
        <v/>
      </c>
      <c r="G254" s="435">
        <f>'信息工具'!R23</f>
        <v/>
      </c>
      <c r="H254" s="435">
        <f>'信息工具'!L23</f>
        <v/>
      </c>
      <c r="I254" s="435" t="inlineStr">
        <is>
          <t>信息工具</t>
        </is>
      </c>
      <c r="J254" s="435">
        <f>'信息工具'!C23</f>
        <v/>
      </c>
      <c r="K254" s="435">
        <f>'信息工具'!E23</f>
        <v/>
      </c>
      <c r="L254" s="435">
        <f>'信息工具'!F23</f>
        <v/>
      </c>
      <c r="M254" s="430" t="n"/>
    </row>
    <row r="255" ht="99.75" customHeight="1">
      <c r="A255" s="435">
        <f>'信息工具'!A24</f>
        <v/>
      </c>
      <c r="B255" s="435">
        <f>'信息工具'!D24</f>
        <v/>
      </c>
      <c r="C255" s="435">
        <f>'信息工具'!H24</f>
        <v/>
      </c>
      <c r="D255" s="435">
        <f>'信息工具'!G24</f>
        <v/>
      </c>
      <c r="E255" s="435">
        <f>'信息工具'!U24</f>
        <v/>
      </c>
      <c r="F255" s="435">
        <f>'信息工具'!Q24</f>
        <v/>
      </c>
      <c r="G255" s="435">
        <f>'信息工具'!R24</f>
        <v/>
      </c>
      <c r="H255" s="435">
        <f>'信息工具'!L24</f>
        <v/>
      </c>
      <c r="I255" s="435" t="inlineStr">
        <is>
          <t>信息工具</t>
        </is>
      </c>
      <c r="J255" s="435">
        <f>'信息工具'!C24</f>
        <v/>
      </c>
      <c r="K255" s="435">
        <f>'信息工具'!E24</f>
        <v/>
      </c>
      <c r="L255" s="435">
        <f>'信息工具'!F24</f>
        <v/>
      </c>
      <c r="M255" s="430" t="n"/>
    </row>
    <row r="256" ht="99.75" customHeight="1">
      <c r="A256" s="435">
        <f>'信息工具'!A25</f>
        <v/>
      </c>
      <c r="B256" s="435">
        <f>'信息工具'!D25</f>
        <v/>
      </c>
      <c r="C256" s="435">
        <f>'信息工具'!H25</f>
        <v/>
      </c>
      <c r="D256" s="435">
        <f>'信息工具'!G25</f>
        <v/>
      </c>
      <c r="E256" s="435">
        <f>'信息工具'!U25</f>
        <v/>
      </c>
      <c r="F256" s="435">
        <f>'信息工具'!Q25</f>
        <v/>
      </c>
      <c r="G256" s="435">
        <f>'信息工具'!R25</f>
        <v/>
      </c>
      <c r="H256" s="435">
        <f>'信息工具'!L25</f>
        <v/>
      </c>
      <c r="I256" s="435" t="inlineStr">
        <is>
          <t>信息工具</t>
        </is>
      </c>
      <c r="J256" s="435">
        <f>'信息工具'!C25</f>
        <v/>
      </c>
      <c r="K256" s="435">
        <f>'信息工具'!E25</f>
        <v/>
      </c>
      <c r="L256" s="435">
        <f>'信息工具'!F25</f>
        <v/>
      </c>
      <c r="M256" s="430" t="n"/>
    </row>
    <row r="257" ht="99.75" customHeight="1">
      <c r="A257" s="435">
        <f>'信息工具'!A26</f>
        <v/>
      </c>
      <c r="B257" s="435">
        <f>'信息工具'!D26</f>
        <v/>
      </c>
      <c r="C257" s="435">
        <f>'信息工具'!H26</f>
        <v/>
      </c>
      <c r="D257" s="435">
        <f>'信息工具'!G26</f>
        <v/>
      </c>
      <c r="E257" s="435">
        <f>'信息工具'!U26</f>
        <v/>
      </c>
      <c r="F257" s="435">
        <f>'信息工具'!Q26</f>
        <v/>
      </c>
      <c r="G257" s="435">
        <f>'信息工具'!R26</f>
        <v/>
      </c>
      <c r="H257" s="435">
        <f>'信息工具'!L26</f>
        <v/>
      </c>
      <c r="I257" s="435" t="inlineStr">
        <is>
          <t>信息工具</t>
        </is>
      </c>
      <c r="J257" s="435">
        <f>'信息工具'!C26</f>
        <v/>
      </c>
      <c r="K257" s="435">
        <f>'信息工具'!E26</f>
        <v/>
      </c>
      <c r="L257" s="435">
        <f>'信息工具'!F26</f>
        <v/>
      </c>
      <c r="M257" s="430" t="n"/>
    </row>
    <row r="258" ht="99.75" customHeight="1">
      <c r="A258" s="435">
        <f>'信息工具'!A27</f>
        <v/>
      </c>
      <c r="B258" s="435">
        <f>'信息工具'!D27</f>
        <v/>
      </c>
      <c r="C258" s="435">
        <f>'信息工具'!H27</f>
        <v/>
      </c>
      <c r="D258" s="435">
        <f>'信息工具'!G27</f>
        <v/>
      </c>
      <c r="E258" s="435">
        <f>'信息工具'!U27</f>
        <v/>
      </c>
      <c r="F258" s="435">
        <f>'信息工具'!Q27</f>
        <v/>
      </c>
      <c r="G258" s="435">
        <f>'信息工具'!R27</f>
        <v/>
      </c>
      <c r="H258" s="435">
        <f>'信息工具'!L27</f>
        <v/>
      </c>
      <c r="I258" s="435" t="inlineStr">
        <is>
          <t>信息工具</t>
        </is>
      </c>
      <c r="J258" s="435">
        <f>'信息工具'!C27</f>
        <v/>
      </c>
      <c r="K258" s="435">
        <f>'信息工具'!E27</f>
        <v/>
      </c>
      <c r="L258" s="435">
        <f>'信息工具'!F27</f>
        <v/>
      </c>
      <c r="M258" s="430" t="n"/>
    </row>
    <row r="259" ht="99.75" customHeight="1">
      <c r="A259" s="435">
        <f>'信息工具'!A28</f>
        <v/>
      </c>
      <c r="B259" s="435">
        <f>'信息工具'!D28</f>
        <v/>
      </c>
      <c r="C259" s="435">
        <f>'信息工具'!H28</f>
        <v/>
      </c>
      <c r="D259" s="435">
        <f>'信息工具'!G28</f>
        <v/>
      </c>
      <c r="E259" s="435">
        <f>'信息工具'!U28</f>
        <v/>
      </c>
      <c r="F259" s="435">
        <f>'信息工具'!Q28</f>
        <v/>
      </c>
      <c r="G259" s="435">
        <f>'信息工具'!R28</f>
        <v/>
      </c>
      <c r="H259" s="435">
        <f>'信息工具'!L28</f>
        <v/>
      </c>
      <c r="I259" s="435" t="inlineStr">
        <is>
          <t>信息工具</t>
        </is>
      </c>
      <c r="J259" s="435">
        <f>'信息工具'!C28</f>
        <v/>
      </c>
      <c r="K259" s="435">
        <f>'信息工具'!E28</f>
        <v/>
      </c>
      <c r="L259" s="435">
        <f>'信息工具'!F28</f>
        <v/>
      </c>
      <c r="M259" s="430" t="n"/>
    </row>
    <row r="260" ht="99.75" customHeight="1">
      <c r="A260" s="435">
        <f>'信息工具'!A29</f>
        <v/>
      </c>
      <c r="B260" s="435">
        <f>'信息工具'!D29</f>
        <v/>
      </c>
      <c r="C260" s="435">
        <f>'信息工具'!H29</f>
        <v/>
      </c>
      <c r="D260" s="435">
        <f>'信息工具'!G29</f>
        <v/>
      </c>
      <c r="E260" s="435">
        <f>'信息工具'!U29</f>
        <v/>
      </c>
      <c r="F260" s="435">
        <f>'信息工具'!Q29</f>
        <v/>
      </c>
      <c r="G260" s="435">
        <f>'信息工具'!R29</f>
        <v/>
      </c>
      <c r="H260" s="435">
        <f>'信息工具'!L29</f>
        <v/>
      </c>
      <c r="I260" s="435" t="inlineStr">
        <is>
          <t>信息工具</t>
        </is>
      </c>
      <c r="J260" s="435">
        <f>'信息工具'!C29</f>
        <v/>
      </c>
      <c r="K260" s="435">
        <f>'信息工具'!E29</f>
        <v/>
      </c>
      <c r="L260" s="435">
        <f>'信息工具'!F29</f>
        <v/>
      </c>
      <c r="M260" s="430" t="n"/>
    </row>
    <row r="261" ht="99.75" customHeight="1">
      <c r="A261" s="435">
        <f>'信息工具'!A30</f>
        <v/>
      </c>
      <c r="B261" s="435">
        <f>'信息工具'!D30</f>
        <v/>
      </c>
      <c r="C261" s="435">
        <f>'信息工具'!H30</f>
        <v/>
      </c>
      <c r="D261" s="435">
        <f>'信息工具'!G30</f>
        <v/>
      </c>
      <c r="E261" s="435">
        <f>'信息工具'!U30</f>
        <v/>
      </c>
      <c r="F261" s="435">
        <f>'信息工具'!Q30</f>
        <v/>
      </c>
      <c r="G261" s="435">
        <f>'信息工具'!R30</f>
        <v/>
      </c>
      <c r="H261" s="435">
        <f>'信息工具'!L30</f>
        <v/>
      </c>
      <c r="I261" s="435" t="inlineStr">
        <is>
          <t>信息工具</t>
        </is>
      </c>
      <c r="J261" s="435">
        <f>'信息工具'!C30</f>
        <v/>
      </c>
      <c r="K261" s="435">
        <f>'信息工具'!E30</f>
        <v/>
      </c>
      <c r="L261" s="435">
        <f>'信息工具'!F30</f>
        <v/>
      </c>
      <c r="M261" s="430" t="n"/>
    </row>
    <row r="262" ht="99.75" customHeight="1">
      <c r="A262" s="435">
        <f>'信息工具'!A31</f>
        <v/>
      </c>
      <c r="B262" s="435">
        <f>'信息工具'!D31</f>
        <v/>
      </c>
      <c r="C262" s="435">
        <f>'信息工具'!H31</f>
        <v/>
      </c>
      <c r="D262" s="435">
        <f>'信息工具'!G31</f>
        <v/>
      </c>
      <c r="E262" s="435">
        <f>'信息工具'!U31</f>
        <v/>
      </c>
      <c r="F262" s="435">
        <f>'信息工具'!Q31</f>
        <v/>
      </c>
      <c r="G262" s="435">
        <f>'信息工具'!R31</f>
        <v/>
      </c>
      <c r="H262" s="435">
        <f>'信息工具'!L31</f>
        <v/>
      </c>
      <c r="I262" s="435" t="inlineStr">
        <is>
          <t>信息工具</t>
        </is>
      </c>
      <c r="J262" s="435">
        <f>'信息工具'!C31</f>
        <v/>
      </c>
      <c r="K262" s="435">
        <f>'信息工具'!E31</f>
        <v/>
      </c>
      <c r="L262" s="435">
        <f>'信息工具'!F31</f>
        <v/>
      </c>
      <c r="M262" s="430" t="n"/>
    </row>
    <row r="263" ht="99.75" customHeight="1">
      <c r="A263" s="435">
        <f>'信息工具'!A32</f>
        <v/>
      </c>
      <c r="B263" s="435">
        <f>'信息工具'!D32</f>
        <v/>
      </c>
      <c r="C263" s="435">
        <f>'信息工具'!H32</f>
        <v/>
      </c>
      <c r="D263" s="435">
        <f>'信息工具'!G32</f>
        <v/>
      </c>
      <c r="E263" s="435">
        <f>'信息工具'!U32</f>
        <v/>
      </c>
      <c r="F263" s="435">
        <f>'信息工具'!Q32</f>
        <v/>
      </c>
      <c r="G263" s="435">
        <f>'信息工具'!R32</f>
        <v/>
      </c>
      <c r="H263" s="435">
        <f>'信息工具'!L32</f>
        <v/>
      </c>
      <c r="I263" s="435" t="inlineStr">
        <is>
          <t>信息工具</t>
        </is>
      </c>
      <c r="J263" s="435">
        <f>'信息工具'!C32</f>
        <v/>
      </c>
      <c r="K263" s="435">
        <f>'信息工具'!E32</f>
        <v/>
      </c>
      <c r="L263" s="435">
        <f>'信息工具'!F32</f>
        <v/>
      </c>
      <c r="M263" s="430" t="n"/>
    </row>
    <row r="264" ht="199.5" customHeight="1">
      <c r="A264" s="435">
        <f>'自愿措施'!A3</f>
        <v/>
      </c>
      <c r="B264" s="435">
        <f>'自愿措施'!D3</f>
        <v/>
      </c>
      <c r="C264" s="435">
        <f>'自愿措施'!H3</f>
        <v/>
      </c>
      <c r="D264" s="435">
        <f>'自愿措施'!G3</f>
        <v/>
      </c>
      <c r="E264" s="435">
        <f>'自愿措施'!U3</f>
        <v/>
      </c>
      <c r="F264" s="435">
        <f>'自愿措施'!Q3</f>
        <v/>
      </c>
      <c r="G264" s="435">
        <f>'自愿措施'!R3</f>
        <v/>
      </c>
      <c r="H264" s="435">
        <f>'自愿措施'!L3</f>
        <v/>
      </c>
      <c r="I264" s="435" t="inlineStr">
        <is>
          <t>自愿措施</t>
        </is>
      </c>
      <c r="J264" s="435">
        <f>'自愿措施'!C3</f>
        <v/>
      </c>
      <c r="K264" s="435">
        <f>'自愿措施'!E3</f>
        <v/>
      </c>
      <c r="L264" s="435">
        <f>'自愿措施'!F3</f>
        <v/>
      </c>
      <c r="M264" s="430" t="n"/>
    </row>
    <row r="265" ht="85.5" customHeight="1">
      <c r="A265" s="435">
        <f>'自愿措施'!A22</f>
        <v/>
      </c>
      <c r="B265" s="435">
        <f>'自愿措施'!D22</f>
        <v/>
      </c>
      <c r="C265" s="435">
        <f>'自愿措施'!H22</f>
        <v/>
      </c>
      <c r="D265" s="435">
        <f>'自愿措施'!G22</f>
        <v/>
      </c>
      <c r="E265" s="435">
        <f>'自愿措施'!U22</f>
        <v/>
      </c>
      <c r="F265" s="435">
        <f>'自愿措施'!Q22</f>
        <v/>
      </c>
      <c r="G265" s="435">
        <f>'自愿措施'!R22</f>
        <v/>
      </c>
      <c r="H265" s="435">
        <f>'自愿措施'!L22</f>
        <v/>
      </c>
      <c r="I265" s="435" t="inlineStr">
        <is>
          <t>自愿措施</t>
        </is>
      </c>
      <c r="J265" s="435">
        <f>'自愿措施'!C22</f>
        <v/>
      </c>
      <c r="K265" s="435">
        <f>'自愿措施'!E22</f>
        <v/>
      </c>
      <c r="L265" s="435">
        <f>'自愿措施'!F22</f>
        <v/>
      </c>
      <c r="M265" s="430" t="n"/>
    </row>
    <row r="266" ht="85.5" customHeight="1">
      <c r="A266" s="435">
        <f>'自愿措施'!A23</f>
        <v/>
      </c>
      <c r="B266" s="435">
        <f>'自愿措施'!D23</f>
        <v/>
      </c>
      <c r="C266" s="435">
        <f>'自愿措施'!H23</f>
        <v/>
      </c>
      <c r="D266" s="435">
        <f>'自愿措施'!G23</f>
        <v/>
      </c>
      <c r="E266" s="435">
        <f>'自愿措施'!U23</f>
        <v/>
      </c>
      <c r="F266" s="435">
        <f>'自愿措施'!Q23</f>
        <v/>
      </c>
      <c r="G266" s="435">
        <f>'自愿措施'!R23</f>
        <v/>
      </c>
      <c r="H266" s="435">
        <f>'自愿措施'!L23</f>
        <v/>
      </c>
      <c r="I266" s="435" t="inlineStr">
        <is>
          <t>自愿措施</t>
        </is>
      </c>
      <c r="J266" s="435">
        <f>'自愿措施'!C23</f>
        <v/>
      </c>
      <c r="K266" s="435">
        <f>'自愿措施'!E23</f>
        <v/>
      </c>
      <c r="L266" s="435">
        <f>'自愿措施'!F23</f>
        <v/>
      </c>
      <c r="M266" s="430" t="n"/>
    </row>
    <row r="267" ht="85.5" customHeight="1">
      <c r="A267" s="435">
        <f>'自愿措施'!A24</f>
        <v/>
      </c>
      <c r="B267" s="435">
        <f>'自愿措施'!D24</f>
        <v/>
      </c>
      <c r="C267" s="435">
        <f>'自愿措施'!H24</f>
        <v/>
      </c>
      <c r="D267" s="435">
        <f>'自愿措施'!G24</f>
        <v/>
      </c>
      <c r="E267" s="435">
        <f>'自愿措施'!U24</f>
        <v/>
      </c>
      <c r="F267" s="435">
        <f>'自愿措施'!Q24</f>
        <v/>
      </c>
      <c r="G267" s="435">
        <f>'自愿措施'!R24</f>
        <v/>
      </c>
      <c r="H267" s="435">
        <f>'自愿措施'!L24</f>
        <v/>
      </c>
      <c r="I267" s="435" t="inlineStr">
        <is>
          <t>自愿措施</t>
        </is>
      </c>
      <c r="J267" s="435">
        <f>'自愿措施'!C24</f>
        <v/>
      </c>
      <c r="K267" s="435">
        <f>'自愿措施'!E24</f>
        <v/>
      </c>
      <c r="L267" s="435">
        <f>'自愿措施'!F24</f>
        <v/>
      </c>
      <c r="M267" s="430" t="n"/>
    </row>
    <row r="268" ht="85.5" customHeight="1">
      <c r="A268" s="435">
        <f>'自愿措施'!A25</f>
        <v/>
      </c>
      <c r="B268" s="435">
        <f>'自愿措施'!D25</f>
        <v/>
      </c>
      <c r="C268" s="435">
        <f>'自愿措施'!H25</f>
        <v/>
      </c>
      <c r="D268" s="435">
        <f>'自愿措施'!G25</f>
        <v/>
      </c>
      <c r="E268" s="435">
        <f>'自愿措施'!U25</f>
        <v/>
      </c>
      <c r="F268" s="435">
        <f>'自愿措施'!Q25</f>
        <v/>
      </c>
      <c r="G268" s="435">
        <f>'自愿措施'!R25</f>
        <v/>
      </c>
      <c r="H268" s="435">
        <f>'自愿措施'!L25</f>
        <v/>
      </c>
      <c r="I268" s="435" t="inlineStr">
        <is>
          <t>自愿措施</t>
        </is>
      </c>
      <c r="J268" s="435">
        <f>'自愿措施'!C25</f>
        <v/>
      </c>
      <c r="K268" s="435">
        <f>'自愿措施'!E25</f>
        <v/>
      </c>
      <c r="L268" s="435">
        <f>'自愿措施'!F25</f>
        <v/>
      </c>
      <c r="M268" s="430" t="n"/>
    </row>
    <row r="269" ht="85.5" customHeight="1">
      <c r="A269" s="435">
        <f>'自愿措施'!A26</f>
        <v/>
      </c>
      <c r="B269" s="435">
        <f>'自愿措施'!D26</f>
        <v/>
      </c>
      <c r="C269" s="435">
        <f>'自愿措施'!H26</f>
        <v/>
      </c>
      <c r="D269" s="435">
        <f>'自愿措施'!G26</f>
        <v/>
      </c>
      <c r="E269" s="435">
        <f>'自愿措施'!U26</f>
        <v/>
      </c>
      <c r="F269" s="435">
        <f>'自愿措施'!Q26</f>
        <v/>
      </c>
      <c r="G269" s="435">
        <f>'自愿措施'!R26</f>
        <v/>
      </c>
      <c r="H269" s="435">
        <f>'自愿措施'!L26</f>
        <v/>
      </c>
      <c r="I269" s="435" t="inlineStr">
        <is>
          <t>自愿措施</t>
        </is>
      </c>
      <c r="J269" s="435">
        <f>'自愿措施'!C26</f>
        <v/>
      </c>
      <c r="K269" s="435">
        <f>'自愿措施'!E26</f>
        <v/>
      </c>
      <c r="L269" s="435">
        <f>'自愿措施'!F26</f>
        <v/>
      </c>
      <c r="M269" s="430" t="n"/>
    </row>
    <row r="270" ht="85.5" customHeight="1">
      <c r="A270" s="435">
        <f>'自愿措施'!A27</f>
        <v/>
      </c>
      <c r="B270" s="435">
        <f>'自愿措施'!D27</f>
        <v/>
      </c>
      <c r="C270" s="435">
        <f>'自愿措施'!H27</f>
        <v/>
      </c>
      <c r="D270" s="435">
        <f>'自愿措施'!G27</f>
        <v/>
      </c>
      <c r="E270" s="435">
        <f>'自愿措施'!U27</f>
        <v/>
      </c>
      <c r="F270" s="435">
        <f>'自愿措施'!Q27</f>
        <v/>
      </c>
      <c r="G270" s="435">
        <f>'自愿措施'!R27</f>
        <v/>
      </c>
      <c r="H270" s="435">
        <f>'自愿措施'!L27</f>
        <v/>
      </c>
      <c r="I270" s="435" t="inlineStr">
        <is>
          <t>自愿措施</t>
        </is>
      </c>
      <c r="J270" s="435">
        <f>'自愿措施'!C27</f>
        <v/>
      </c>
      <c r="K270" s="435">
        <f>'自愿措施'!E27</f>
        <v/>
      </c>
      <c r="L270" s="435">
        <f>'自愿措施'!F27</f>
        <v/>
      </c>
      <c r="M270" s="430" t="n"/>
    </row>
    <row r="271" ht="85.5" customHeight="1">
      <c r="A271" s="435">
        <f>'自愿措施'!A28</f>
        <v/>
      </c>
      <c r="B271" s="435">
        <f>'自愿措施'!D28</f>
        <v/>
      </c>
      <c r="C271" s="435">
        <f>'自愿措施'!H28</f>
        <v/>
      </c>
      <c r="D271" s="435">
        <f>'自愿措施'!G28</f>
        <v/>
      </c>
      <c r="E271" s="435">
        <f>'自愿措施'!U28</f>
        <v/>
      </c>
      <c r="F271" s="435">
        <f>'自愿措施'!Q28</f>
        <v/>
      </c>
      <c r="G271" s="435">
        <f>'自愿措施'!R28</f>
        <v/>
      </c>
      <c r="H271" s="435">
        <f>'自愿措施'!L28</f>
        <v/>
      </c>
      <c r="I271" s="435" t="inlineStr">
        <is>
          <t>自愿措施</t>
        </is>
      </c>
      <c r="J271" s="435">
        <f>'自愿措施'!C28</f>
        <v/>
      </c>
      <c r="K271" s="435">
        <f>'自愿措施'!E28</f>
        <v/>
      </c>
      <c r="L271" s="435">
        <f>'自愿措施'!F28</f>
        <v/>
      </c>
      <c r="M271" s="430" t="n"/>
    </row>
    <row r="272" ht="85.5" customHeight="1">
      <c r="A272" s="435">
        <f>'自愿措施'!A29</f>
        <v/>
      </c>
      <c r="B272" s="435">
        <f>'自愿措施'!D29</f>
        <v/>
      </c>
      <c r="C272" s="435">
        <f>'自愿措施'!H29</f>
        <v/>
      </c>
      <c r="D272" s="435">
        <f>'自愿措施'!G29</f>
        <v/>
      </c>
      <c r="E272" s="435">
        <f>'自愿措施'!U29</f>
        <v/>
      </c>
      <c r="F272" s="435">
        <f>'自愿措施'!Q29</f>
        <v/>
      </c>
      <c r="G272" s="435">
        <f>'自愿措施'!R29</f>
        <v/>
      </c>
      <c r="H272" s="435">
        <f>'自愿措施'!L29</f>
        <v/>
      </c>
      <c r="I272" s="435" t="inlineStr">
        <is>
          <t>自愿措施</t>
        </is>
      </c>
      <c r="J272" s="435">
        <f>'自愿措施'!C29</f>
        <v/>
      </c>
      <c r="K272" s="435">
        <f>'自愿措施'!E29</f>
        <v/>
      </c>
      <c r="L272" s="435">
        <f>'自愿措施'!F29</f>
        <v/>
      </c>
      <c r="M272" s="430" t="n"/>
    </row>
    <row r="273" ht="85.5" customHeight="1">
      <c r="A273" s="435">
        <f>'自愿措施'!A30</f>
        <v/>
      </c>
      <c r="B273" s="435">
        <f>'自愿措施'!D30</f>
        <v/>
      </c>
      <c r="C273" s="435">
        <f>'自愿措施'!H30</f>
        <v/>
      </c>
      <c r="D273" s="435">
        <f>'自愿措施'!G30</f>
        <v/>
      </c>
      <c r="E273" s="435">
        <f>'自愿措施'!U30</f>
        <v/>
      </c>
      <c r="F273" s="435">
        <f>'自愿措施'!Q30</f>
        <v/>
      </c>
      <c r="G273" s="435">
        <f>'自愿措施'!R30</f>
        <v/>
      </c>
      <c r="H273" s="435">
        <f>'自愿措施'!L30</f>
        <v/>
      </c>
      <c r="I273" s="435" t="inlineStr">
        <is>
          <t>自愿措施</t>
        </is>
      </c>
      <c r="J273" s="435">
        <f>'自愿措施'!C30</f>
        <v/>
      </c>
      <c r="K273" s="435">
        <f>'自愿措施'!E30</f>
        <v/>
      </c>
      <c r="L273" s="435">
        <f>'自愿措施'!F30</f>
        <v/>
      </c>
      <c r="M273" s="430" t="n"/>
    </row>
    <row r="274" ht="85.5" customHeight="1">
      <c r="A274" s="435">
        <f>'自愿措施'!A33</f>
        <v/>
      </c>
      <c r="B274" s="435">
        <f>'自愿措施'!D33</f>
        <v/>
      </c>
      <c r="C274" s="435">
        <f>'自愿措施'!H33</f>
        <v/>
      </c>
      <c r="D274" s="435">
        <f>'自愿措施'!G33</f>
        <v/>
      </c>
      <c r="E274" s="435">
        <f>'自愿措施'!U33</f>
        <v/>
      </c>
      <c r="F274" s="435">
        <f>'自愿措施'!Q33</f>
        <v/>
      </c>
      <c r="G274" s="435">
        <f>'自愿措施'!R33</f>
        <v/>
      </c>
      <c r="H274" s="435">
        <f>'自愿措施'!L33</f>
        <v/>
      </c>
      <c r="I274" s="435" t="inlineStr">
        <is>
          <t>自愿措施</t>
        </is>
      </c>
      <c r="J274" s="435">
        <f>'自愿措施'!C33</f>
        <v/>
      </c>
      <c r="K274" s="435">
        <f>'自愿措施'!E33</f>
        <v/>
      </c>
      <c r="L274" s="435">
        <f>'自愿措施'!F33</f>
        <v/>
      </c>
      <c r="M274" s="430" t="n"/>
    </row>
    <row r="275" ht="85.5" customHeight="1">
      <c r="A275" s="435">
        <f>'自愿措施'!A34</f>
        <v/>
      </c>
      <c r="B275" s="435">
        <f>'自愿措施'!D34</f>
        <v/>
      </c>
      <c r="C275" s="435">
        <f>'自愿措施'!H34</f>
        <v/>
      </c>
      <c r="D275" s="435">
        <f>'自愿措施'!G34</f>
        <v/>
      </c>
      <c r="E275" s="435">
        <f>'自愿措施'!U34</f>
        <v/>
      </c>
      <c r="F275" s="435">
        <f>'自愿措施'!Q34</f>
        <v/>
      </c>
      <c r="G275" s="435">
        <f>'自愿措施'!R34</f>
        <v/>
      </c>
      <c r="H275" s="435">
        <f>'自愿措施'!L34</f>
        <v/>
      </c>
      <c r="I275" s="435" t="inlineStr">
        <is>
          <t>自愿措施</t>
        </is>
      </c>
      <c r="J275" s="435">
        <f>'自愿措施'!C34</f>
        <v/>
      </c>
      <c r="K275" s="435">
        <f>'自愿措施'!E34</f>
        <v/>
      </c>
      <c r="L275" s="435">
        <f>'自愿措施'!F34</f>
        <v/>
      </c>
      <c r="M275" s="430" t="n"/>
    </row>
    <row r="276" ht="85.5" customHeight="1">
      <c r="A276" s="435">
        <f>'自愿措施'!A35</f>
        <v/>
      </c>
      <c r="B276" s="435">
        <f>'自愿措施'!D35</f>
        <v/>
      </c>
      <c r="C276" s="435">
        <f>'自愿措施'!H35</f>
        <v/>
      </c>
      <c r="D276" s="435">
        <f>'自愿措施'!G35</f>
        <v/>
      </c>
      <c r="E276" s="435">
        <f>'自愿措施'!U35</f>
        <v/>
      </c>
      <c r="F276" s="435">
        <f>'自愿措施'!Q35</f>
        <v/>
      </c>
      <c r="G276" s="435">
        <f>'自愿措施'!R35</f>
        <v/>
      </c>
      <c r="H276" s="435">
        <f>'自愿措施'!L35</f>
        <v/>
      </c>
      <c r="I276" s="435" t="inlineStr">
        <is>
          <t>自愿措施</t>
        </is>
      </c>
      <c r="J276" s="435">
        <f>'自愿措施'!C35</f>
        <v/>
      </c>
      <c r="K276" s="435">
        <f>'自愿措施'!E35</f>
        <v/>
      </c>
      <c r="L276" s="435">
        <f>'自愿措施'!F35</f>
        <v/>
      </c>
      <c r="M276" s="430" t="n"/>
    </row>
    <row r="277" ht="85.5" customHeight="1">
      <c r="A277" s="435">
        <f>'自愿措施'!A36</f>
        <v/>
      </c>
      <c r="B277" s="435">
        <f>'自愿措施'!D36</f>
        <v/>
      </c>
      <c r="C277" s="435">
        <f>'自愿措施'!H36</f>
        <v/>
      </c>
      <c r="D277" s="435">
        <f>'自愿措施'!G36</f>
        <v/>
      </c>
      <c r="E277" s="435">
        <f>'自愿措施'!U36</f>
        <v/>
      </c>
      <c r="F277" s="435">
        <f>'自愿措施'!Q36</f>
        <v/>
      </c>
      <c r="G277" s="435">
        <f>'自愿措施'!R36</f>
        <v/>
      </c>
      <c r="H277" s="435">
        <f>'自愿措施'!L36</f>
        <v/>
      </c>
      <c r="I277" s="435" t="inlineStr">
        <is>
          <t>自愿措施</t>
        </is>
      </c>
      <c r="J277" s="435">
        <f>'自愿措施'!C36</f>
        <v/>
      </c>
      <c r="K277" s="435">
        <f>'自愿措施'!E36</f>
        <v/>
      </c>
      <c r="L277" s="435">
        <f>'自愿措施'!F36</f>
        <v/>
      </c>
      <c r="M277" s="430" t="n"/>
    </row>
    <row r="278" ht="85.5" customHeight="1">
      <c r="A278" s="435">
        <f>'自愿措施'!A37</f>
        <v/>
      </c>
      <c r="B278" s="435">
        <f>'自愿措施'!D37</f>
        <v/>
      </c>
      <c r="C278" s="435">
        <f>'自愿措施'!H37</f>
        <v/>
      </c>
      <c r="D278" s="435">
        <f>'自愿措施'!G37</f>
        <v/>
      </c>
      <c r="E278" s="435">
        <f>'自愿措施'!U37</f>
        <v/>
      </c>
      <c r="F278" s="435">
        <f>'自愿措施'!Q37</f>
        <v/>
      </c>
      <c r="G278" s="435">
        <f>'自愿措施'!R37</f>
        <v/>
      </c>
      <c r="H278" s="435">
        <f>'自愿措施'!L37</f>
        <v/>
      </c>
      <c r="I278" s="435" t="inlineStr">
        <is>
          <t>自愿措施</t>
        </is>
      </c>
      <c r="J278" s="435">
        <f>'自愿措施'!C37</f>
        <v/>
      </c>
      <c r="K278" s="435">
        <f>'自愿措施'!E37</f>
        <v/>
      </c>
      <c r="L278" s="435">
        <f>'自愿措施'!F37</f>
        <v/>
      </c>
      <c r="M278" s="430" t="n"/>
    </row>
    <row r="279" ht="85.5" customHeight="1">
      <c r="A279" s="435">
        <f>'自愿措施'!A38</f>
        <v/>
      </c>
      <c r="B279" s="435">
        <f>'自愿措施'!D38</f>
        <v/>
      </c>
      <c r="C279" s="435">
        <f>'自愿措施'!H38</f>
        <v/>
      </c>
      <c r="D279" s="435">
        <f>'自愿措施'!G38</f>
        <v/>
      </c>
      <c r="E279" s="435">
        <f>'自愿措施'!U38</f>
        <v/>
      </c>
      <c r="F279" s="435">
        <f>'自愿措施'!Q38</f>
        <v/>
      </c>
      <c r="G279" s="435">
        <f>'自愿措施'!R38</f>
        <v/>
      </c>
      <c r="H279" s="435">
        <f>'自愿措施'!L38</f>
        <v/>
      </c>
      <c r="I279" s="435" t="inlineStr">
        <is>
          <t>自愿措施</t>
        </is>
      </c>
      <c r="J279" s="435">
        <f>'自愿措施'!C38</f>
        <v/>
      </c>
      <c r="K279" s="435">
        <f>'自愿措施'!E38</f>
        <v/>
      </c>
      <c r="L279" s="435">
        <f>'自愿措施'!F38</f>
        <v/>
      </c>
      <c r="M279" s="430" t="n"/>
    </row>
    <row r="280" ht="57" customHeight="1">
      <c r="A280" s="435">
        <f>'自愿措施'!A39</f>
        <v/>
      </c>
      <c r="B280" s="435">
        <f>'自愿措施'!D39</f>
        <v/>
      </c>
      <c r="C280" s="435">
        <f>'自愿措施'!H39</f>
        <v/>
      </c>
      <c r="D280" s="435">
        <f>'自愿措施'!G39</f>
        <v/>
      </c>
      <c r="E280" s="435">
        <f>'自愿措施'!U39</f>
        <v/>
      </c>
      <c r="F280" s="435">
        <f>'自愿措施'!Q39</f>
        <v/>
      </c>
      <c r="G280" s="435">
        <f>'自愿措施'!R39</f>
        <v/>
      </c>
      <c r="H280" s="435">
        <f>'自愿措施'!L39</f>
        <v/>
      </c>
      <c r="I280" s="435" t="inlineStr">
        <is>
          <t>自愿措施</t>
        </is>
      </c>
      <c r="J280" s="435">
        <f>'自愿措施'!C39</f>
        <v/>
      </c>
      <c r="K280" s="435">
        <f>'自愿措施'!E39</f>
        <v/>
      </c>
      <c r="L280" s="435">
        <f>'自愿措施'!F39</f>
        <v/>
      </c>
      <c r="M280" s="430" t="n"/>
    </row>
    <row r="281" ht="85.5" customHeight="1">
      <c r="A281" s="435">
        <f>'自愿措施'!A40</f>
        <v/>
      </c>
      <c r="B281" s="435">
        <f>'自愿措施'!D40</f>
        <v/>
      </c>
      <c r="C281" s="435">
        <f>'自愿措施'!H40</f>
        <v/>
      </c>
      <c r="D281" s="435">
        <f>'自愿措施'!G40</f>
        <v/>
      </c>
      <c r="E281" s="435">
        <f>'自愿措施'!U40</f>
        <v/>
      </c>
      <c r="F281" s="435">
        <f>'自愿措施'!Q40</f>
        <v/>
      </c>
      <c r="G281" s="435">
        <f>'自愿措施'!R40</f>
        <v/>
      </c>
      <c r="H281" s="435">
        <f>'自愿措施'!L40</f>
        <v/>
      </c>
      <c r="I281" s="435" t="inlineStr">
        <is>
          <t>自愿措施</t>
        </is>
      </c>
      <c r="J281" s="435">
        <f>'自愿措施'!C40</f>
        <v/>
      </c>
      <c r="K281" s="435">
        <f>'自愿措施'!E40</f>
        <v/>
      </c>
      <c r="L281" s="435">
        <f>'自愿措施'!F40</f>
        <v/>
      </c>
      <c r="M281" s="430" t="n"/>
    </row>
    <row r="282" ht="85.5" customHeight="1">
      <c r="A282" s="435">
        <f>'自愿措施'!A41</f>
        <v/>
      </c>
      <c r="B282" s="435">
        <f>'自愿措施'!D41</f>
        <v/>
      </c>
      <c r="C282" s="435">
        <f>'自愿措施'!H41</f>
        <v/>
      </c>
      <c r="D282" s="435">
        <f>'自愿措施'!G41</f>
        <v/>
      </c>
      <c r="E282" s="435">
        <f>'自愿措施'!U41</f>
        <v/>
      </c>
      <c r="F282" s="435">
        <f>'自愿措施'!Q41</f>
        <v/>
      </c>
      <c r="G282" s="435">
        <f>'自愿措施'!R41</f>
        <v/>
      </c>
      <c r="H282" s="435">
        <f>'自愿措施'!L41</f>
        <v/>
      </c>
      <c r="I282" s="435" t="inlineStr">
        <is>
          <t>自愿措施</t>
        </is>
      </c>
      <c r="J282" s="435">
        <f>'自愿措施'!C41</f>
        <v/>
      </c>
      <c r="K282" s="435">
        <f>'自愿措施'!E41</f>
        <v/>
      </c>
      <c r="L282" s="435">
        <f>'自愿措施'!F41</f>
        <v/>
      </c>
      <c r="M282" s="43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workbookViewId="0">
      <selection activeCell="B2" sqref="B2"/>
    </sheetView>
  </sheetViews>
  <sheetFormatPr baseColWidth="8" defaultRowHeight="13.5"/>
  <sheetData>
    <row r="1" ht="15.75" customHeight="1">
      <c r="A1" s="436" t="inlineStr">
        <is>
          <t>识别信息</t>
        </is>
      </c>
      <c r="C1" s="437" t="inlineStr">
        <is>
          <t>工具分类</t>
        </is>
      </c>
      <c r="G1" s="438" t="inlineStr">
        <is>
          <t>政策描述</t>
        </is>
      </c>
      <c r="M1" s="439" t="inlineStr">
        <is>
          <t>行政信息</t>
        </is>
      </c>
      <c r="N1" s="325" t="n"/>
      <c r="O1" s="325" t="n"/>
      <c r="P1" s="325" t="n"/>
      <c r="Q1" s="325" t="n"/>
      <c r="R1" s="325" t="n"/>
      <c r="S1" s="325" t="n"/>
      <c r="T1" s="325" t="n"/>
      <c r="U1" s="325" t="n"/>
      <c r="V1" s="440" t="inlineStr">
        <is>
          <t>政策规制基础与强度</t>
        </is>
      </c>
      <c r="W1" s="327" t="n"/>
      <c r="X1" s="327" t="n"/>
      <c r="Y1" s="327" t="n"/>
      <c r="Z1" s="327" t="n"/>
      <c r="AA1" s="327" t="n"/>
      <c r="AB1" s="327" t="n"/>
      <c r="AC1" s="327" t="n"/>
      <c r="AD1" s="327" t="n"/>
      <c r="AE1" s="327" t="n"/>
      <c r="AF1" s="327" t="n"/>
      <c r="AG1" s="327" t="n"/>
      <c r="AH1" s="327" t="n"/>
      <c r="AI1" s="327" t="n"/>
      <c r="AJ1" s="327" t="n"/>
      <c r="AK1" s="441" t="inlineStr">
        <is>
          <t>工具特定属性</t>
        </is>
      </c>
      <c r="AL1" s="329" t="n"/>
      <c r="AM1" s="329" t="n"/>
      <c r="AN1" s="329" t="n"/>
      <c r="AO1" s="329" t="n"/>
      <c r="AP1" s="329" t="n"/>
      <c r="AQ1" s="329" t="n"/>
      <c r="AR1" s="329" t="n"/>
      <c r="AS1" s="329" t="n"/>
      <c r="AT1" s="329" t="n"/>
      <c r="AU1" s="329" t="n"/>
      <c r="AV1" s="329" t="n"/>
      <c r="AW1" s="329" t="n"/>
      <c r="AX1" s="329" t="n"/>
      <c r="AY1" s="329" t="n"/>
      <c r="AZ1" s="329" t="n"/>
      <c r="BA1" s="329" t="n"/>
      <c r="BB1" s="329" t="n"/>
      <c r="BC1" s="329" t="n"/>
      <c r="BD1" s="442" t="inlineStr">
        <is>
          <t>温室气体排放基础</t>
        </is>
      </c>
      <c r="BE1" s="331" t="n"/>
      <c r="BF1" s="443" t="inlineStr">
        <is>
          <t>分类与指标</t>
        </is>
      </c>
      <c r="BG1" s="329" t="n"/>
      <c r="BH1" s="329" t="n"/>
      <c r="BI1" s="329" t="n"/>
      <c r="BJ1" s="444" t="inlineStr">
        <is>
          <t>立法参考</t>
        </is>
      </c>
      <c r="BK1" s="327" t="n"/>
      <c r="BL1" s="327" t="n"/>
      <c r="BM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税收及激励：年度收入</t>
        </is>
      </c>
      <c r="AL2" s="339" t="inlineStr">
        <is>
          <t>税收及激励：专项资金</t>
        </is>
      </c>
      <c r="AM2" s="339" t="inlineStr">
        <is>
          <t>税收及激励：年度收入减免</t>
        </is>
      </c>
      <c r="AN2" s="339" t="inlineStr">
        <is>
          <t>补贴：年度预算/支出</t>
        </is>
      </c>
      <c r="AO2" s="339" t="inlineStr">
        <is>
          <t>补贴：限额</t>
        </is>
      </c>
      <c r="AP2" s="339" t="inlineStr">
        <is>
          <t>补贴：下限或上限</t>
        </is>
      </c>
      <c r="AQ2" s="339" t="inlineStr">
        <is>
          <t>补贴：分配机制</t>
        </is>
      </c>
      <c r="AR2" s="339" t="inlineStr">
        <is>
          <t>补贴：支持期限</t>
        </is>
      </c>
      <c r="AS2" s="339" t="inlineStr">
        <is>
          <t>补贴：执行机制</t>
        </is>
      </c>
      <c r="AT2" s="339" t="inlineStr">
        <is>
          <t>交易系统：类型</t>
        </is>
      </c>
      <c r="AU2" s="339" t="inlineStr">
        <is>
          <t>交易系统：总量上限</t>
        </is>
      </c>
      <c r="AV2" s="339" t="inlineStr">
        <is>
          <t>交易系统：配额分配机制</t>
        </is>
      </c>
      <c r="AW2" s="339" t="inlineStr">
        <is>
          <t>交易系统：免费配额</t>
        </is>
      </c>
      <c r="AX2" s="339" t="inlineStr">
        <is>
          <t>交易系统：允许使用抵消</t>
        </is>
      </c>
      <c r="AY2" s="339" t="inlineStr">
        <is>
          <t>交易系统：链接</t>
        </is>
      </c>
      <c r="AZ2" s="339" t="inlineStr">
        <is>
          <t>交易系统：市场稳定机制</t>
        </is>
      </c>
      <c r="BA2" s="339" t="inlineStr">
        <is>
          <t>交易系统：年收入</t>
        </is>
      </c>
      <c r="BB2" s="339" t="inlineStr">
        <is>
          <t>交易系统：交易量</t>
        </is>
      </c>
      <c r="BC2" s="339" t="inlineStr">
        <is>
          <t>交易系统：违规处罚</t>
        </is>
      </c>
      <c r="BD2" s="340" t="inlineStr">
        <is>
          <t>温室气体排放覆盖（绝对量）</t>
        </is>
      </c>
      <c r="BE2" s="340" t="inlineStr">
        <is>
          <t>温室气体排放覆盖（占国内排放百分比）</t>
        </is>
      </c>
      <c r="BF2" s="335" t="inlineStr">
        <is>
          <t>经济行业</t>
        </is>
      </c>
      <c r="BG2" s="335" t="inlineStr">
        <is>
          <t>受影响的温室气体</t>
        </is>
      </c>
      <c r="BH2" s="335" t="inlineStr">
        <is>
          <t>减缓效果</t>
        </is>
      </c>
      <c r="BI2" s="335" t="inlineStr">
        <is>
          <t>减缓协同效益</t>
        </is>
      </c>
      <c r="BJ2" s="337" t="inlineStr">
        <is>
          <t>法律文件名称</t>
        </is>
      </c>
      <c r="BK2" s="337" t="inlineStr">
        <is>
          <t>法律文件链接</t>
        </is>
      </c>
      <c r="BL2" s="337" t="inlineStr">
        <is>
          <t>其他网页链接</t>
        </is>
      </c>
      <c r="BM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国家</t>
        </is>
      </c>
      <c r="N3" s="341" t="inlineStr">
        <is>
          <t>N/A</t>
        </is>
      </c>
      <c r="O3" s="341" t="inlineStr">
        <is>
          <t>31/12/2020</t>
        </is>
      </c>
      <c r="P3" s="341" t="inlineStr">
        <is>
          <t>01/02/2021</t>
        </is>
      </c>
      <c r="Q3" s="341" t="inlineStr">
        <is>
          <t>N/A</t>
        </is>
      </c>
      <c r="R3" s="341" t="inlineStr">
        <is>
          <t>01/05/2024</t>
        </is>
      </c>
      <c r="S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T3" s="341">
        <f>IF(P3="","生效",IF(P3="N/A","生效",IF(TODAY()&lt;DATE(VALUE(RIGHT(P3,4)),VALUE(MID(P3,4,2)),VALUE(LEFT(P3,2))),"计划实施",IF(Q3="","生效",IF(Q3="N/A","生效",IF(TODAY()&lt;DATE(VALUE(RIGHT(Q3,4)),VALUE(MID(Q3,4,2)),VALUE(LEFT(Q3,2))),"生效","已终止"))))))</f>
        <v/>
      </c>
      <c r="U3" s="341" t="inlineStr">
        <is>
          <t>生态环境部；省级生态环境主管部门；全国碳排放权注册登记机构；全国碳排放权交易机构</t>
        </is>
      </c>
      <c r="V3" s="341" t="inlineStr">
        <is>
          <t>温室气体</t>
        </is>
      </c>
      <c r="W3" s="341" t="inlineStr">
        <is>
          <t>新建；既有</t>
        </is>
      </c>
      <c r="X3" s="341" t="inlineStr">
        <is>
          <t>全国碳市场覆盖达到排放门槛的重点排放单位，既包括已纳入市场的既有重点排放单位，也可包括新纳入覆盖行业或新达到年度排放门槛的单位。</t>
        </is>
      </c>
      <c r="Y3" s="341" t="inlineStr">
        <is>
          <t>N/A</t>
        </is>
      </c>
      <c r="Z3" s="341" t="inlineStr">
        <is>
          <t>年度温室气体排放量达到2.6万吨二氧化碳当量</t>
        </is>
      </c>
      <c r="AA3" s="341" t="inlineStr">
        <is>
          <t>企业</t>
        </is>
      </c>
      <c r="AB3" s="341" t="inlineStr">
        <is>
          <t>重点排放单位：属于全国碳排放权交易市场覆盖行业且年度温室气体排放量达到2.6万吨二氧化碳当量的温室气体排放单位。</t>
        </is>
      </c>
      <c r="AC3" s="341" t="inlineStr">
        <is>
          <t>生产、发电或转化</t>
        </is>
      </c>
      <c r="AD3" s="341" t="inlineStr">
        <is>
          <t>重点排放单位产生覆盖温室气体排放的生产经营活动；当前覆盖行业包括发电、钢铁、水泥、铝冶炼。</t>
        </is>
      </c>
      <c r="AE3" s="341" t="inlineStr">
        <is>
          <t>69.30</t>
        </is>
      </c>
      <c r="AF3" s="341" t="inlineStr">
        <is>
          <t>元/吨</t>
        </is>
      </c>
      <c r="AG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3" s="341" t="inlineStr">
        <is>
          <t>重点排放单位应按规定报告上一年度温室气体排放，接受核查，并在生态环境部规定时限内清缴配额；清缴量应不低于经省级生态环境主管部门核查确认的上年度实际温室气体排放量。</t>
        </is>
      </c>
      <c r="AI3" s="341" t="inlineStr">
        <is>
          <t>重点排放单位按生态环境部技术规范编制年度温室气体排放报告；省级生态环境主管部门组织核查；经核查结果作为配额清缴依据。</t>
        </is>
      </c>
      <c r="AJ3" s="341" t="inlineStr">
        <is>
          <t>清缴义务不少于经核查的上一年度实际温室气体排放量；可按规定使用国家核证自愿减排量抵销部分配额清缴。</t>
        </is>
      </c>
      <c r="AK3" s="341" t="inlineStr">
        <is>
          <t>N/A</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碳排放配额交易体系；交易方式包括协议转让、单向竞价或者其他符合规定的方式。</t>
        </is>
      </c>
      <c r="AU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V3" s="341" t="inlineStr">
        <is>
          <t>生态环境部制定配额总量确定与分配方案；省级生态环境主管部门向重点排放单位分配年度碳排放配额。配额分配以免费分配为主，可根据国家有关要求适时引入有偿分配。</t>
        </is>
      </c>
      <c r="AW3" s="341" t="inlineStr">
        <is>
          <t>以免费分配为主；可根据国家有关要求适时引入有偿分配。具体免费配额比例未在该法律文本中找到。</t>
        </is>
      </c>
      <c r="AX3" s="341" t="inlineStr">
        <is>
          <t>允许。可使用国家核证自愿减排量抵销配额清缴，抵销比例不得超过应清缴碳排放配额的5%；已纳入全国碳市场配额管理的减排项目不得用于抵销。</t>
        </is>
      </c>
      <c r="AY3" s="341" t="inlineStr">
        <is>
          <t>不适用；纳入全国碳市场的重点排放单位不再参与地方碳排放权交易试点市场。</t>
        </is>
      </c>
      <c r="AZ3" s="341" t="inlineStr">
        <is>
          <t>交易机构应采取有效措施防止过度投机并维护市场健康发展；注册登记机构和交易机构应建立风险管理与信息披露制度。用于公益目的自愿注销的配额从国家配额总量中等量核减。</t>
        </is>
      </c>
      <c r="BA3" s="341" t="inlineStr">
        <is>
          <t>181.1亿元（2024年度成交额；来源：生态环境部Progress Report of China's National Carbon Market (2025)）</t>
        </is>
      </c>
      <c r="BB3" s="341" t="inlineStr">
        <is>
          <t>189百万吨（2024；来源：生态环境部Progress Report of China's National Carbon Market (2025)）</t>
        </is>
      </c>
      <c r="BC3" s="341"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D3" s="341" t="inlineStr">
        <is>
          <t>约8,000 MtCO2（2024；来源：ICAP ETS Map）</t>
        </is>
      </c>
      <c r="BE3" s="341" t="inlineStr">
        <is>
          <t>超过60%（2025披露；来源：生态环境部Progress Report of China's National Carbon Market (2025)）</t>
        </is>
      </c>
      <c r="BF3" s="341" t="inlineStr">
        <is>
          <t>D35；C24；C23</t>
        </is>
      </c>
      <c r="BG3" s="341" t="inlineStr">
        <is>
          <t>CO2; CF4; C2F6</t>
        </is>
      </c>
      <c r="BH3" s="341" t="inlineStr">
        <is>
          <t>正向</t>
        </is>
      </c>
      <c r="BI3" s="341" t="inlineStr">
        <is>
          <t>污染防治</t>
        </is>
      </c>
      <c r="BJ3" s="341" t="inlineStr">
        <is>
          <t>碳排放权交易管理暂行条例；碳排放权交易管理办法（试行）</t>
        </is>
      </c>
      <c r="BK3" s="341" t="inlineStr">
        <is>
          <t>https://www.gov.cn/zhengce/content/202402/content_6930137.htm</t>
        </is>
      </c>
      <c r="BL3" s="341" t="inlineStr">
        <is>
          <t>https://www.mee.gov.cn/xxgk2018/xxgk/xxgk02/202101/t20210105_816131.html; https://www.mee.gov.cn/xxgk2018/xxgk/xxgk03/202503/t20250326_1104736.html; https://www.mee.gov.cn/ywgz/ydqhbh/wsqtkz/202509/W020250927515319387445.pdf; https://icapcarbonaction.com/en/ets/china-national-ets</t>
        </is>
      </c>
      <c r="BM3" s="341" t="inlineStr"/>
    </row>
    <row r="4">
      <c r="A4" s="430" t="inlineStr">
        <is>
          <t>CHNTRAETSI01S001</t>
        </is>
      </c>
      <c r="B4" s="430" t="inlineStr">
        <is>
          <t>子方案</t>
        </is>
      </c>
      <c r="C4" s="430" t="inlineStr">
        <is>
          <t>交易机制</t>
        </is>
      </c>
      <c r="D4" s="430" t="inlineStr">
        <is>
          <t>排放交易体系（ETS）</t>
        </is>
      </c>
      <c r="E4" s="430" t="inlineStr">
        <is>
          <t>能源</t>
        </is>
      </c>
      <c r="F4" s="430" t="inlineStr">
        <is>
          <t>发电</t>
        </is>
      </c>
      <c r="G4" s="430" t="inlineStr">
        <is>
          <t>全国碳排放权交易市场—发电行业子方案</t>
        </is>
      </c>
      <c r="H4" s="430" t="inlineStr">
        <is>
          <t>National carbon emission trading market - power generation sector subscheme</t>
        </is>
      </c>
      <c r="I4" s="430" t="inlineStr">
        <is>
          <t>N/A</t>
        </is>
      </c>
      <c r="J4" s="430" t="inlineStr">
        <is>
          <t>全国碳排放权交易市场首批覆盖发电行业重点排放单位，对达到覆盖门槛的发电行业单位实施碳排放配额分配、交易、核查与清缴管理。</t>
        </is>
      </c>
      <c r="K4" s="430" t="inlineStr">
        <is>
          <t>减缓气候变化</t>
        </is>
      </c>
      <c r="L4" s="430" t="inlineStr">
        <is>
          <t>直接</t>
        </is>
      </c>
      <c r="M4" s="430" t="inlineStr">
        <is>
          <t>国家</t>
        </is>
      </c>
      <c r="N4" s="430" t="inlineStr">
        <is>
          <t>N/A</t>
        </is>
      </c>
      <c r="O4" s="430" t="inlineStr">
        <is>
          <t>31/12/2020</t>
        </is>
      </c>
      <c r="P4" s="430" t="inlineStr">
        <is>
          <t>01/02/2021</t>
        </is>
      </c>
      <c r="Q4" s="430" t="inlineStr">
        <is>
          <t>N/A</t>
        </is>
      </c>
      <c r="R4" s="430" t="inlineStr">
        <is>
          <t>21/10/2024</t>
        </is>
      </c>
      <c r="S4" s="430" t="inlineStr">
        <is>
          <t>生态环境部印发2023、2024年度发电行业全国碳排放权交易配额总量和分配方案以及配额清缴相关工作通知，属于发电行业子方案的专门实施文件。</t>
        </is>
      </c>
      <c r="T4" s="430">
        <f>IF(P4="","生效",IF(P4="N/A","生效",IF(TODAY()&lt;DATE(VALUE(RIGHT(P4,4)),VALUE(MID(P4,4,2)),VALUE(LEFT(P4,2))),"计划实施",IF(Q4="","生效",IF(Q4="N/A","生效",IF(TODAY()&lt;DATE(VALUE(RIGHT(Q4,4)),VALUE(MID(Q4,4,2)),VALUE(LEFT(Q4,2))),"生效","已终止"))))))</f>
        <v/>
      </c>
      <c r="U4" s="430" t="inlineStr">
        <is>
          <t>生态环境部；省级生态环境主管部门；全国碳排放权注册登记机构；全国碳排放权交易机构</t>
        </is>
      </c>
      <c r="V4" s="430" t="inlineStr">
        <is>
          <t>温室气体</t>
        </is>
      </c>
      <c r="W4" s="430" t="inlineStr">
        <is>
          <t>新建；既有</t>
        </is>
      </c>
      <c r="X4" s="430" t="inlineStr">
        <is>
          <t>发电行业重点排放单位的碳排放配额及其覆盖温室气体排放。</t>
        </is>
      </c>
      <c r="Y4" s="430" t="inlineStr">
        <is>
          <t>N/A</t>
        </is>
      </c>
      <c r="Z4" s="430" t="inlineStr">
        <is>
          <t>年度温室气体排放量达到2.6万吨二氧化碳当量</t>
        </is>
      </c>
      <c r="AA4" s="430" t="inlineStr">
        <is>
          <t>企业</t>
        </is>
      </c>
      <c r="AB4" s="430" t="inlineStr">
        <is>
          <t>发电行业重点排放单位</t>
        </is>
      </c>
      <c r="AC4" s="430" t="inlineStr">
        <is>
          <t>生产、发电或转化</t>
        </is>
      </c>
      <c r="AD4" s="430" t="inlineStr">
        <is>
          <t>发电行业产生覆盖温室气体排放的生产经营活动。</t>
        </is>
      </c>
      <c r="AE4" s="430" t="inlineStr">
        <is>
          <t>69.30</t>
        </is>
      </c>
      <c r="AF4" s="430" t="inlineStr">
        <is>
          <t>元/吨</t>
        </is>
      </c>
      <c r="AG4"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4" s="430" t="inlineStr">
        <is>
          <t>发电行业重点排放单位应按规定报告上一年度温室气体排放，接受核查，并按期清缴不少于核查确认排放量的配额。</t>
        </is>
      </c>
      <c r="AI4" s="430" t="inlineStr">
        <is>
          <t>年度温室气体排放报告和省级生态环境主管部门组织的核查。</t>
        </is>
      </c>
      <c r="AJ4" s="430" t="inlineStr">
        <is>
          <t>清缴义务不少于经核查的上一年度实际温室气体排放量；可按规定使用国家核证自愿减排量抵销部分配额清缴。</t>
        </is>
      </c>
      <c r="AK4" s="430" t="inlineStr">
        <is>
          <t>N/A</t>
        </is>
      </c>
      <c r="AL4" s="430" t="inlineStr">
        <is>
          <t>N/A</t>
        </is>
      </c>
      <c r="AM4" s="430" t="inlineStr">
        <is>
          <t>N/A</t>
        </is>
      </c>
      <c r="AN4" s="430" t="inlineStr">
        <is>
          <t>N/A</t>
        </is>
      </c>
      <c r="AO4" s="430" t="inlineStr">
        <is>
          <t>N/A</t>
        </is>
      </c>
      <c r="AP4" s="430" t="inlineStr">
        <is>
          <t>N/A</t>
        </is>
      </c>
      <c r="AQ4" s="430" t="inlineStr">
        <is>
          <t>N/A</t>
        </is>
      </c>
      <c r="AR4" s="430" t="inlineStr">
        <is>
          <t>N/A</t>
        </is>
      </c>
      <c r="AS4" s="430" t="inlineStr">
        <is>
          <t>N/A</t>
        </is>
      </c>
      <c r="AT4" s="430" t="inlineStr">
        <is>
          <t>碳排放配额交易体系</t>
        </is>
      </c>
      <c r="AU4" s="430" t="inlineStr">
        <is>
          <t>由生态环境部配额总量确定与分配方案确定；行业层面年度总量需查具体年度分配方案。</t>
        </is>
      </c>
      <c r="AV4" s="430" t="inlineStr">
        <is>
          <t>生态环境部制定配额总量确定与分配方案，省级生态环境主管部门向发电行业重点排放单位分配年度配额；以免费分配为主。</t>
        </is>
      </c>
      <c r="AW4" s="430" t="inlineStr">
        <is>
          <t>以免费分配为主；具体行业年度免费配额比例需查年度分配方案。</t>
        </is>
      </c>
      <c r="AX4" s="430" t="inlineStr">
        <is>
          <t>允许使用国家核证自愿减排量抵销，比例不超过应清缴配额的5%。</t>
        </is>
      </c>
      <c r="AY4" s="430" t="inlineStr">
        <is>
          <t>不适用；纳入全国碳市场的重点排放单位不再参与地方碳排放权交易试点市场。</t>
        </is>
      </c>
      <c r="AZ4" s="430" t="inlineStr">
        <is>
          <t>注册登记、交易、风险管理和信息披露制度适用全国碳市场统一规则。</t>
        </is>
      </c>
      <c r="BA4" s="430" t="inlineStr">
        <is>
          <t>N/A</t>
        </is>
      </c>
      <c r="BB4" s="430" t="inlineStr">
        <is>
          <t>N/A</t>
        </is>
      </c>
      <c r="BC4" s="430" t="inlineStr">
        <is>
          <t>适用全国碳市场统一处罚规则。</t>
        </is>
      </c>
      <c r="BD4" s="430" t="inlineStr">
        <is>
          <t>约5,200 MtCO2（2023；来源：ICAP ETS Map）</t>
        </is>
      </c>
      <c r="BE4" s="430" t="inlineStr">
        <is>
          <t>约41.3%（按5,200 MtCO2 / 中国2023年生产端温室气体排放约12.6 GtCO2e计算；来源：ICAP ETS Map、IEA/公开汇编，经计算）</t>
        </is>
      </c>
      <c r="BF4" s="430" t="inlineStr">
        <is>
          <t>D35</t>
        </is>
      </c>
      <c r="BG4" s="430" t="inlineStr">
        <is>
          <t>CO2</t>
        </is>
      </c>
      <c r="BH4" s="430" t="inlineStr">
        <is>
          <t>正向</t>
        </is>
      </c>
      <c r="BI4" s="430" t="inlineStr">
        <is>
          <t>污染防治</t>
        </is>
      </c>
      <c r="BJ4" s="430" t="inlineStr">
        <is>
          <t>关于做好2023、2024年度全国碳排放权交易发电行业配额分配和清缴相关工作的通知</t>
        </is>
      </c>
      <c r="BK4" s="430" t="inlineStr">
        <is>
          <t>https://www.mee.gov.cn/xxgk2018/xxgk/xxgk03/202410/t20241021_1089750.html</t>
        </is>
      </c>
      <c r="BL4" s="430" t="inlineStr">
        <is>
          <t>https://www.gov.cn/zhengce/content/202402/content_6930137.htm; https://www.mee.gov.cn/xxgk2018/xxgk/xxgk02/202101/t20210105_816131.html; https://www.mee.gov.cn/ywgz/ydqhbh/wsqtkz/202509/W020250927515319387445.pdf; https://icapcarbonaction.com/en/ets/china-national-ets</t>
        </is>
      </c>
      <c r="BM4" s="430" t="inlineStr"/>
    </row>
    <row r="5">
      <c r="A5" s="430" t="inlineStr">
        <is>
          <t>CHNTRAETSI01S002</t>
        </is>
      </c>
      <c r="B5" s="430" t="inlineStr">
        <is>
          <t>子方案</t>
        </is>
      </c>
      <c r="C5" s="430" t="inlineStr">
        <is>
          <t>交易机制</t>
        </is>
      </c>
      <c r="D5" s="430" t="inlineStr">
        <is>
          <t>排放交易体系（ETS）</t>
        </is>
      </c>
      <c r="E5" s="430" t="inlineStr">
        <is>
          <t>工业</t>
        </is>
      </c>
      <c r="F5" s="430" t="inlineStr">
        <is>
          <t>钢铁</t>
        </is>
      </c>
      <c r="G5" s="430" t="inlineStr">
        <is>
          <t>全国碳排放权交易市场—钢铁行业子方案</t>
        </is>
      </c>
      <c r="H5" s="430" t="inlineStr">
        <is>
          <t>National carbon emission trading market - steel sector subscheme</t>
        </is>
      </c>
      <c r="I5" s="430" t="inlineStr">
        <is>
          <t>N/A</t>
        </is>
      </c>
      <c r="J5" s="430" t="inlineStr">
        <is>
          <t>全国碳排放权交易市场扩围覆盖钢铁行业，对达到覆盖门槛的钢铁行业重点排放单位实施碳排放配额分配、交易、核查与清缴管理。</t>
        </is>
      </c>
      <c r="K5" s="430" t="inlineStr">
        <is>
          <t>减缓气候变化</t>
        </is>
      </c>
      <c r="L5" s="430" t="inlineStr">
        <is>
          <t>直接</t>
        </is>
      </c>
      <c r="M5" s="430" t="inlineStr">
        <is>
          <t>国家</t>
        </is>
      </c>
      <c r="N5" s="430" t="inlineStr">
        <is>
          <t>N/A</t>
        </is>
      </c>
      <c r="O5" s="430" t="inlineStr">
        <is>
          <t>31/12/2020</t>
        </is>
      </c>
      <c r="P5" s="430" t="inlineStr">
        <is>
          <t>26/03/2025</t>
        </is>
      </c>
      <c r="Q5" s="430" t="inlineStr">
        <is>
          <t>N/A</t>
        </is>
      </c>
      <c r="R5" s="430" t="inlineStr">
        <is>
          <t>26/03/2025</t>
        </is>
      </c>
      <c r="S5" s="430" t="inlineStr">
        <is>
          <t>生态环境部印发全国碳排放权交易市场覆盖钢铁、水泥、铝冶炼行业工作方案，经国务院批准将钢铁、水泥、铝冶炼行业纳入全国碳排放权交易市场管理。</t>
        </is>
      </c>
      <c r="T5" s="430">
        <f>IF(P5="","生效",IF(P5="N/A","生效",IF(TODAY()&lt;DATE(VALUE(RIGHT(P5,4)),VALUE(MID(P5,4,2)),VALUE(LEFT(P5,2))),"计划实施",IF(Q5="","生效",IF(Q5="N/A","生效",IF(TODAY()&lt;DATE(VALUE(RIGHT(Q5,4)),VALUE(MID(Q5,4,2)),VALUE(LEFT(Q5,2))),"生效","已终止"))))))</f>
        <v/>
      </c>
      <c r="U5" s="430" t="inlineStr">
        <is>
          <t>生态环境部；省级生态环境主管部门；全国碳排放权注册登记机构；全国碳排放权交易机构</t>
        </is>
      </c>
      <c r="V5" s="430" t="inlineStr">
        <is>
          <t>温室气体</t>
        </is>
      </c>
      <c r="W5" s="430" t="inlineStr">
        <is>
          <t>新建；既有</t>
        </is>
      </c>
      <c r="X5" s="430" t="inlineStr">
        <is>
          <t>钢铁行业重点排放单位的碳排放配额及其覆盖温室气体排放。</t>
        </is>
      </c>
      <c r="Y5" s="430" t="inlineStr">
        <is>
          <t>N/A</t>
        </is>
      </c>
      <c r="Z5" s="430" t="inlineStr">
        <is>
          <t>年度温室气体排放量达到2.6万吨二氧化碳当量</t>
        </is>
      </c>
      <c r="AA5" s="430" t="inlineStr">
        <is>
          <t>企业</t>
        </is>
      </c>
      <c r="AB5" s="430" t="inlineStr">
        <is>
          <t>钢铁行业重点排放单位</t>
        </is>
      </c>
      <c r="AC5" s="430" t="inlineStr">
        <is>
          <t>生产、发电或转化</t>
        </is>
      </c>
      <c r="AD5" s="430" t="inlineStr">
        <is>
          <t>钢铁生产相关覆盖温室气体排放活动。</t>
        </is>
      </c>
      <c r="AE5" s="430" t="inlineStr">
        <is>
          <t>69.30</t>
        </is>
      </c>
      <c r="AF5" s="430" t="inlineStr">
        <is>
          <t>元/吨</t>
        </is>
      </c>
      <c r="AG5"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5" s="430" t="inlineStr">
        <is>
          <t>钢铁行业重点排放单位应按规定报告上一年度温室气体排放，接受核查，并按期清缴不少于核查确认排放量的配额。</t>
        </is>
      </c>
      <c r="AI5" s="430" t="inlineStr">
        <is>
          <t>年度温室气体排放报告和省级生态环境主管部门组织的核查。</t>
        </is>
      </c>
      <c r="AJ5" s="430" t="inlineStr">
        <is>
          <t>清缴义务不少于经核查的上一年度实际温室气体排放量；可按规定使用国家核证自愿减排量抵销部分配额清缴。</t>
        </is>
      </c>
      <c r="AK5" s="430" t="inlineStr">
        <is>
          <t>N/A</t>
        </is>
      </c>
      <c r="AL5" s="430" t="inlineStr">
        <is>
          <t>N/A</t>
        </is>
      </c>
      <c r="AM5" s="430" t="inlineStr">
        <is>
          <t>N/A</t>
        </is>
      </c>
      <c r="AN5" s="430" t="inlineStr">
        <is>
          <t>N/A</t>
        </is>
      </c>
      <c r="AO5" s="430" t="inlineStr">
        <is>
          <t>N/A</t>
        </is>
      </c>
      <c r="AP5" s="430" t="inlineStr">
        <is>
          <t>N/A</t>
        </is>
      </c>
      <c r="AQ5" s="430" t="inlineStr">
        <is>
          <t>N/A</t>
        </is>
      </c>
      <c r="AR5" s="430" t="inlineStr">
        <is>
          <t>N/A</t>
        </is>
      </c>
      <c r="AS5" s="430" t="inlineStr">
        <is>
          <t>N/A</t>
        </is>
      </c>
      <c r="AT5" s="430" t="inlineStr">
        <is>
          <t>碳排放配额交易体系</t>
        </is>
      </c>
      <c r="AU5" s="430" t="inlineStr">
        <is>
          <t>由生态环境部配额总量确定与分配方案确定；行业层面年度总量需查具体年度分配方案。</t>
        </is>
      </c>
      <c r="AV5" s="430" t="inlineStr">
        <is>
          <t>生态环境部制定配额总量确定与分配方案，省级生态环境主管部门向钢铁行业重点排放单位分配年度配额；以免费分配为主。</t>
        </is>
      </c>
      <c r="AW5" s="430" t="inlineStr">
        <is>
          <t>以免费分配为主；具体行业年度免费配额比例需查年度分配方案。</t>
        </is>
      </c>
      <c r="AX5" s="430" t="inlineStr">
        <is>
          <t>允许使用国家核证自愿减排量抵销，比例不超过应清缴配额的5%。</t>
        </is>
      </c>
      <c r="AY5" s="430" t="inlineStr">
        <is>
          <t>不适用；纳入全国碳市场的重点排放单位不再参与地方碳排放权交易试点市场。</t>
        </is>
      </c>
      <c r="AZ5" s="430" t="inlineStr">
        <is>
          <t>注册登记、交易、风险管理和信息披露制度适用全国碳市场统一规则。</t>
        </is>
      </c>
      <c r="BA5" s="430" t="inlineStr">
        <is>
          <t>N/A</t>
        </is>
      </c>
      <c r="BB5" s="430" t="inlineStr">
        <is>
          <t>N/A</t>
        </is>
      </c>
      <c r="BC5" s="430" t="inlineStr">
        <is>
          <t>适用全国碳市场统一处罚规则。</t>
        </is>
      </c>
      <c r="BD5" s="430" t="inlineStr">
        <is>
          <t>约1,450 MtCO2e（2024估算；来源：ICAP称钢铁、水泥、铝冶炼扩围合计新增约3,000 MtCO2e，Live Science/CREA称钢铁约占中国温室气体排放15%；按扩围总量与钢铁/水泥同量级分摊计算）</t>
        </is>
      </c>
      <c r="BE5" s="430" t="inlineStr">
        <is>
          <t>约11.5%（按1,450 MtCO2e / 中国2023年生产端温室气体排放约12.6 GtCO2e计算；来源：ICAP、CREA/Live Science，经计算）</t>
        </is>
      </c>
      <c r="BF5" s="430" t="inlineStr">
        <is>
          <t>C24</t>
        </is>
      </c>
      <c r="BG5" s="430" t="inlineStr">
        <is>
          <t>CO2</t>
        </is>
      </c>
      <c r="BH5" s="430" t="inlineStr">
        <is>
          <t>正向</t>
        </is>
      </c>
      <c r="BI5" s="430" t="inlineStr">
        <is>
          <t>污染防治</t>
        </is>
      </c>
      <c r="BJ5" s="430" t="inlineStr">
        <is>
          <t>全国碳排放权交易市场覆盖钢铁、水泥、铝冶炼行业工作方案</t>
        </is>
      </c>
      <c r="BK5" s="430" t="inlineStr">
        <is>
          <t>https://www.mee.gov.cn/xxgk2018/xxgk/xxgk03/202503/t20250326_1104736.html</t>
        </is>
      </c>
      <c r="BL5"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5" s="430" t="inlineStr"/>
    </row>
    <row r="6">
      <c r="A6" s="430" t="inlineStr">
        <is>
          <t>CHNTRAETSI01S003</t>
        </is>
      </c>
      <c r="B6" s="430" t="inlineStr">
        <is>
          <t>子方案</t>
        </is>
      </c>
      <c r="C6" s="430" t="inlineStr">
        <is>
          <t>交易机制</t>
        </is>
      </c>
      <c r="D6" s="430" t="inlineStr">
        <is>
          <t>排放交易体系（ETS）</t>
        </is>
      </c>
      <c r="E6" s="430" t="inlineStr">
        <is>
          <t>工业</t>
        </is>
      </c>
      <c r="F6" s="430" t="inlineStr">
        <is>
          <t>水泥</t>
        </is>
      </c>
      <c r="G6" s="430" t="inlineStr">
        <is>
          <t>全国碳排放权交易市场—水泥行业子方案</t>
        </is>
      </c>
      <c r="H6" s="430" t="inlineStr">
        <is>
          <t>National carbon emission trading market - cement sector subscheme</t>
        </is>
      </c>
      <c r="I6" s="430" t="inlineStr">
        <is>
          <t>N/A</t>
        </is>
      </c>
      <c r="J6" s="430" t="inlineStr">
        <is>
          <t>全国碳排放权交易市场扩围覆盖水泥行业，对达到覆盖门槛的水泥行业重点排放单位实施碳排放配额分配、交易、核查与清缴管理。</t>
        </is>
      </c>
      <c r="K6" s="430" t="inlineStr">
        <is>
          <t>减缓气候变化</t>
        </is>
      </c>
      <c r="L6" s="430" t="inlineStr">
        <is>
          <t>直接</t>
        </is>
      </c>
      <c r="M6" s="430" t="inlineStr">
        <is>
          <t>国家</t>
        </is>
      </c>
      <c r="N6" s="430" t="inlineStr">
        <is>
          <t>N/A</t>
        </is>
      </c>
      <c r="O6" s="430" t="inlineStr">
        <is>
          <t>31/12/2020</t>
        </is>
      </c>
      <c r="P6" s="430" t="inlineStr">
        <is>
          <t>26/03/2025</t>
        </is>
      </c>
      <c r="Q6" s="430" t="inlineStr">
        <is>
          <t>N/A</t>
        </is>
      </c>
      <c r="R6" s="430" t="inlineStr">
        <is>
          <t>26/03/2025</t>
        </is>
      </c>
      <c r="S6" s="430" t="inlineStr">
        <is>
          <t>生态环境部印发全国碳排放权交易市场覆盖钢铁、水泥、铝冶炼行业工作方案，经国务院批准将钢铁、水泥、铝冶炼行业纳入全国碳排放权交易市场管理。</t>
        </is>
      </c>
      <c r="T6" s="430">
        <f>IF(P6="","生效",IF(P6="N/A","生效",IF(TODAY()&lt;DATE(VALUE(RIGHT(P6,4)),VALUE(MID(P6,4,2)),VALUE(LEFT(P6,2))),"计划实施",IF(Q6="","生效",IF(Q6="N/A","生效",IF(TODAY()&lt;DATE(VALUE(RIGHT(Q6,4)),VALUE(MID(Q6,4,2)),VALUE(LEFT(Q6,2))),"生效","已终止"))))))</f>
        <v/>
      </c>
      <c r="U6" s="430" t="inlineStr">
        <is>
          <t>生态环境部；省级生态环境主管部门；全国碳排放权注册登记机构；全国碳排放权交易机构</t>
        </is>
      </c>
      <c r="V6" s="430" t="inlineStr">
        <is>
          <t>温室气体</t>
        </is>
      </c>
      <c r="W6" s="430" t="inlineStr">
        <is>
          <t>新建；既有</t>
        </is>
      </c>
      <c r="X6" s="430" t="inlineStr">
        <is>
          <t>水泥行业重点排放单位的碳排放配额及其覆盖温室气体排放。</t>
        </is>
      </c>
      <c r="Y6" s="430" t="inlineStr">
        <is>
          <t>N/A</t>
        </is>
      </c>
      <c r="Z6" s="430" t="inlineStr">
        <is>
          <t>年度温室气体排放量达到2.6万吨二氧化碳当量</t>
        </is>
      </c>
      <c r="AA6" s="430" t="inlineStr">
        <is>
          <t>企业</t>
        </is>
      </c>
      <c r="AB6" s="430" t="inlineStr">
        <is>
          <t>水泥行业重点排放单位</t>
        </is>
      </c>
      <c r="AC6" s="430" t="inlineStr">
        <is>
          <t>生产、发电或转化</t>
        </is>
      </c>
      <c r="AD6" s="430" t="inlineStr">
        <is>
          <t>水泥生产相关覆盖温室气体排放活动。</t>
        </is>
      </c>
      <c r="AE6" s="430" t="inlineStr">
        <is>
          <t>69.30</t>
        </is>
      </c>
      <c r="AF6" s="430" t="inlineStr">
        <is>
          <t>元/吨</t>
        </is>
      </c>
      <c r="AG6"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6" s="430" t="inlineStr">
        <is>
          <t>水泥行业重点排放单位应按规定报告上一年度温室气体排放，接受核查，并按期清缴不少于核查确认排放量的配额。</t>
        </is>
      </c>
      <c r="AI6" s="430" t="inlineStr">
        <is>
          <t>年度温室气体排放报告和省级生态环境主管部门组织的核查。</t>
        </is>
      </c>
      <c r="AJ6" s="430" t="inlineStr">
        <is>
          <t>清缴义务不少于经核查的上一年度实际温室气体排放量；可按规定使用国家核证自愿减排量抵销部分配额清缴。</t>
        </is>
      </c>
      <c r="AK6" s="430" t="inlineStr">
        <is>
          <t>N/A</t>
        </is>
      </c>
      <c r="AL6" s="430" t="inlineStr">
        <is>
          <t>N/A</t>
        </is>
      </c>
      <c r="AM6" s="430" t="inlineStr">
        <is>
          <t>N/A</t>
        </is>
      </c>
      <c r="AN6" s="430" t="inlineStr">
        <is>
          <t>N/A</t>
        </is>
      </c>
      <c r="AO6" s="430" t="inlineStr">
        <is>
          <t>N/A</t>
        </is>
      </c>
      <c r="AP6" s="430" t="inlineStr">
        <is>
          <t>N/A</t>
        </is>
      </c>
      <c r="AQ6" s="430" t="inlineStr">
        <is>
          <t>N/A</t>
        </is>
      </c>
      <c r="AR6" s="430" t="inlineStr">
        <is>
          <t>N/A</t>
        </is>
      </c>
      <c r="AS6" s="430" t="inlineStr">
        <is>
          <t>N/A</t>
        </is>
      </c>
      <c r="AT6" s="430" t="inlineStr">
        <is>
          <t>碳排放配额交易体系</t>
        </is>
      </c>
      <c r="AU6" s="430" t="inlineStr">
        <is>
          <t>由生态环境部配额总量确定与分配方案确定；行业层面年度总量需查具体年度分配方案。</t>
        </is>
      </c>
      <c r="AV6" s="430" t="inlineStr">
        <is>
          <t>生态环境部制定配额总量确定与分配方案，省级生态环境主管部门向水泥行业重点排放单位分配年度配额；以免费分配为主。</t>
        </is>
      </c>
      <c r="AW6" s="430" t="inlineStr">
        <is>
          <t>以免费分配为主；具体行业年度免费配额比例需查年度分配方案。</t>
        </is>
      </c>
      <c r="AX6" s="430" t="inlineStr">
        <is>
          <t>允许使用国家核证自愿减排量抵销，比例不超过应清缴配额的5%。</t>
        </is>
      </c>
      <c r="AY6" s="430" t="inlineStr">
        <is>
          <t>不适用；纳入全国碳市场的重点排放单位不再参与地方碳排放权交易试点市场。</t>
        </is>
      </c>
      <c r="AZ6" s="430" t="inlineStr">
        <is>
          <t>注册登记、交易、风险管理和信息披露制度适用全国碳市场统一规则。</t>
        </is>
      </c>
      <c r="BA6" s="430" t="inlineStr">
        <is>
          <t>N/A</t>
        </is>
      </c>
      <c r="BB6" s="430" t="inlineStr">
        <is>
          <t>N/A</t>
        </is>
      </c>
      <c r="BC6" s="430" t="inlineStr">
        <is>
          <t>适用全国碳市场统一处罚规则。</t>
        </is>
      </c>
      <c r="BD6" s="430" t="inlineStr">
        <is>
          <t>约1,450 MtCO2e（2024估算；来源：ICAP称钢铁、水泥、铝冶炼扩围合计新增约3,000 MtCO2e，Live Science/CREA称水泥约占中国温室气体排放15%；按扩围总量与钢铁/水泥同量级分摊计算）</t>
        </is>
      </c>
      <c r="BE6" s="430" t="inlineStr">
        <is>
          <t>约11.5%（按1,450 MtCO2e / 中国2023年生产端温室气体排放约12.6 GtCO2e计算；来源：ICAP、CREA/Live Science，经计算）</t>
        </is>
      </c>
      <c r="BF6" s="430" t="inlineStr">
        <is>
          <t>C23</t>
        </is>
      </c>
      <c r="BG6" s="430" t="inlineStr">
        <is>
          <t>CO2</t>
        </is>
      </c>
      <c r="BH6" s="430" t="inlineStr">
        <is>
          <t>正向</t>
        </is>
      </c>
      <c r="BI6" s="430" t="inlineStr">
        <is>
          <t>污染防治</t>
        </is>
      </c>
      <c r="BJ6" s="430" t="inlineStr">
        <is>
          <t>全国碳排放权交易市场覆盖钢铁、水泥、铝冶炼行业工作方案</t>
        </is>
      </c>
      <c r="BK6" s="430" t="inlineStr">
        <is>
          <t>https://www.mee.gov.cn/xxgk2018/xxgk/xxgk03/202503/t20250326_1104736.html</t>
        </is>
      </c>
      <c r="BL6"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6" s="430" t="inlineStr"/>
    </row>
    <row r="7">
      <c r="A7" s="430" t="inlineStr">
        <is>
          <t>CHNTRAETSI01S004</t>
        </is>
      </c>
      <c r="B7" s="430" t="inlineStr">
        <is>
          <t>子方案</t>
        </is>
      </c>
      <c r="C7" s="430" t="inlineStr">
        <is>
          <t>交易机制</t>
        </is>
      </c>
      <c r="D7" s="430" t="inlineStr">
        <is>
          <t>排放交易体系（ETS）</t>
        </is>
      </c>
      <c r="E7" s="430" t="inlineStr">
        <is>
          <t>工业</t>
        </is>
      </c>
      <c r="F7" s="430" t="inlineStr">
        <is>
          <t>铝冶炼</t>
        </is>
      </c>
      <c r="G7" s="430" t="inlineStr">
        <is>
          <t>全国碳排放权交易市场—铝冶炼行业子方案</t>
        </is>
      </c>
      <c r="H7" s="430" t="inlineStr">
        <is>
          <t>National carbon emission trading market - aluminum smelting sector subscheme</t>
        </is>
      </c>
      <c r="I7" s="430" t="inlineStr">
        <is>
          <t>N/A</t>
        </is>
      </c>
      <c r="J7" s="430" t="inlineStr">
        <is>
          <t>全国碳排放权交易市场扩围覆盖铝冶炼行业，对达到覆盖门槛的铝冶炼行业重点排放单位实施碳排放配额分配、交易、核查与清缴管理。</t>
        </is>
      </c>
      <c r="K7" s="430" t="inlineStr">
        <is>
          <t>减缓气候变化</t>
        </is>
      </c>
      <c r="L7" s="430" t="inlineStr">
        <is>
          <t>直接</t>
        </is>
      </c>
      <c r="M7" s="430" t="inlineStr">
        <is>
          <t>国家</t>
        </is>
      </c>
      <c r="N7" s="430" t="inlineStr">
        <is>
          <t>N/A</t>
        </is>
      </c>
      <c r="O7" s="430" t="inlineStr">
        <is>
          <t>31/12/2020</t>
        </is>
      </c>
      <c r="P7" s="430" t="inlineStr">
        <is>
          <t>26/03/2025</t>
        </is>
      </c>
      <c r="Q7" s="430" t="inlineStr">
        <is>
          <t>N/A</t>
        </is>
      </c>
      <c r="R7" s="430" t="inlineStr">
        <is>
          <t>26/03/2025</t>
        </is>
      </c>
      <c r="S7" s="430" t="inlineStr">
        <is>
          <t>生态环境部印发全国碳排放权交易市场覆盖钢铁、水泥、铝冶炼行业工作方案，经国务院批准将钢铁、水泥、铝冶炼行业纳入全国碳排放权交易市场管理。</t>
        </is>
      </c>
      <c r="T7" s="430">
        <f>IF(P7="","生效",IF(P7="N/A","生效",IF(TODAY()&lt;DATE(VALUE(RIGHT(P7,4)),VALUE(MID(P7,4,2)),VALUE(LEFT(P7,2))),"计划实施",IF(Q7="","生效",IF(Q7="N/A","生效",IF(TODAY()&lt;DATE(VALUE(RIGHT(Q7,4)),VALUE(MID(Q7,4,2)),VALUE(LEFT(Q7,2))),"生效","已终止"))))))</f>
        <v/>
      </c>
      <c r="U7" s="430" t="inlineStr">
        <is>
          <t>生态环境部；省级生态环境主管部门；全国碳排放权注册登记机构；全国碳排放权交易机构</t>
        </is>
      </c>
      <c r="V7" s="430" t="inlineStr">
        <is>
          <t>温室气体</t>
        </is>
      </c>
      <c r="W7" s="430" t="inlineStr">
        <is>
          <t>新建；既有</t>
        </is>
      </c>
      <c r="X7" s="430" t="inlineStr">
        <is>
          <t>铝冶炼行业重点排放单位的碳排放配额及其覆盖温室气体排放。</t>
        </is>
      </c>
      <c r="Y7" s="430" t="inlineStr">
        <is>
          <t>N/A</t>
        </is>
      </c>
      <c r="Z7" s="430" t="inlineStr">
        <is>
          <t>年度温室气体排放量达到2.6万吨二氧化碳当量</t>
        </is>
      </c>
      <c r="AA7" s="430" t="inlineStr">
        <is>
          <t>企业</t>
        </is>
      </c>
      <c r="AB7" s="430" t="inlineStr">
        <is>
          <t>铝冶炼行业重点排放单位</t>
        </is>
      </c>
      <c r="AC7" s="430" t="inlineStr">
        <is>
          <t>生产、发电或转化</t>
        </is>
      </c>
      <c r="AD7" s="430" t="inlineStr">
        <is>
          <t>铝冶炼生产相关覆盖温室气体排放活动。</t>
        </is>
      </c>
      <c r="AE7" s="430" t="inlineStr">
        <is>
          <t>69.30</t>
        </is>
      </c>
      <c r="AF7" s="430" t="inlineStr">
        <is>
          <t>元/吨</t>
        </is>
      </c>
      <c r="AG7"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7" s="430" t="inlineStr">
        <is>
          <t>铝冶炼行业重点排放单位应按规定报告上一年度温室气体排放，接受核查，并按期清缴不少于核查确认排放量的配额。</t>
        </is>
      </c>
      <c r="AI7" s="430" t="inlineStr">
        <is>
          <t>年度温室气体排放报告和省级生态环境主管部门组织的核查。</t>
        </is>
      </c>
      <c r="AJ7" s="430" t="inlineStr">
        <is>
          <t>清缴义务不少于经核查的上一年度实际温室气体排放量；可按规定使用国家核证自愿减排量抵销部分配额清缴。</t>
        </is>
      </c>
      <c r="AK7" s="430" t="inlineStr">
        <is>
          <t>N/A</t>
        </is>
      </c>
      <c r="AL7" s="430" t="inlineStr">
        <is>
          <t>N/A</t>
        </is>
      </c>
      <c r="AM7" s="430" t="inlineStr">
        <is>
          <t>N/A</t>
        </is>
      </c>
      <c r="AN7" s="430" t="inlineStr">
        <is>
          <t>N/A</t>
        </is>
      </c>
      <c r="AO7" s="430" t="inlineStr">
        <is>
          <t>N/A</t>
        </is>
      </c>
      <c r="AP7" s="430" t="inlineStr">
        <is>
          <t>N/A</t>
        </is>
      </c>
      <c r="AQ7" s="430" t="inlineStr">
        <is>
          <t>N/A</t>
        </is>
      </c>
      <c r="AR7" s="430" t="inlineStr">
        <is>
          <t>N/A</t>
        </is>
      </c>
      <c r="AS7" s="430" t="inlineStr">
        <is>
          <t>N/A</t>
        </is>
      </c>
      <c r="AT7" s="430" t="inlineStr">
        <is>
          <t>碳排放配额交易体系</t>
        </is>
      </c>
      <c r="AU7" s="430" t="inlineStr">
        <is>
          <t>由生态环境部配额总量确定与分配方案确定；行业层面年度总量需查具体年度分配方案。</t>
        </is>
      </c>
      <c r="AV7" s="430" t="inlineStr">
        <is>
          <t>生态环境部制定配额总量确定与分配方案，省级生态环境主管部门向铝冶炼行业重点排放单位分配年度配额；以免费分配为主。</t>
        </is>
      </c>
      <c r="AW7" s="430" t="inlineStr">
        <is>
          <t>以免费分配为主；具体行业年度免费配额比例需查年度分配方案。</t>
        </is>
      </c>
      <c r="AX7" s="430" t="inlineStr">
        <is>
          <t>允许使用国家核证自愿减排量抵销，比例不超过应清缴配额的5%。</t>
        </is>
      </c>
      <c r="AY7" s="430" t="inlineStr">
        <is>
          <t>不适用；纳入全国碳市场的重点排放单位不再参与地方碳排放权交易试点市场。</t>
        </is>
      </c>
      <c r="AZ7" s="430" t="inlineStr">
        <is>
          <t>注册登记、交易、风险管理和信息披露制度适用全国碳市场统一规则。</t>
        </is>
      </c>
      <c r="BA7" s="430" t="inlineStr">
        <is>
          <t>N/A</t>
        </is>
      </c>
      <c r="BB7" s="430" t="inlineStr">
        <is>
          <t>N/A</t>
        </is>
      </c>
      <c r="BC7" s="430" t="inlineStr">
        <is>
          <t>适用全国碳市场统一处罚规则。</t>
        </is>
      </c>
      <c r="BD7" s="430" t="inlineStr">
        <is>
          <t>约100 MtCO2e（2024估算；来源：FT披露中国2024年电解铝产量43.8 Mt，且ETS铝冶炼纳入直接CO2及PFC；按直接排放约2.3 tCO2e/t铝估算）</t>
        </is>
      </c>
      <c r="BE7" s="430" t="inlineStr">
        <is>
          <t>约0.8%（按100 MtCO2e / 中国2023年生产端温室气体排放约12.6 GtCO2e计算；来源：FT、生态环境部扩围方案、Guardian/MIT关于PFC来源说明，经计算）</t>
        </is>
      </c>
      <c r="BF7" s="430" t="inlineStr">
        <is>
          <t>C24</t>
        </is>
      </c>
      <c r="BG7" s="430" t="inlineStr">
        <is>
          <t>CO2; CF4; C2F6</t>
        </is>
      </c>
      <c r="BH7" s="430" t="inlineStr">
        <is>
          <t>正向</t>
        </is>
      </c>
      <c r="BI7" s="430" t="inlineStr">
        <is>
          <t>污染防治</t>
        </is>
      </c>
      <c r="BJ7" s="430" t="inlineStr">
        <is>
          <t>全国碳排放权交易市场覆盖钢铁、水泥、铝冶炼行业工作方案</t>
        </is>
      </c>
      <c r="BK7" s="430" t="inlineStr">
        <is>
          <t>https://www.mee.gov.cn/xxgk2018/xxgk/xxgk03/202503/t20250326_1104736.html</t>
        </is>
      </c>
      <c r="BL7"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M7" s="430"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减缓气候变化；非化石能源</t>
        </is>
      </c>
      <c r="L8" s="341" t="inlineStr">
        <is>
          <t>直接</t>
        </is>
      </c>
      <c r="M8" s="341" t="inlineStr">
        <is>
          <t>国家</t>
        </is>
      </c>
      <c r="N8" s="341" t="inlineStr">
        <is>
          <t>N/A</t>
        </is>
      </c>
      <c r="O8" s="341" t="inlineStr">
        <is>
          <t>18/01/2017</t>
        </is>
      </c>
      <c r="P8" s="341" t="inlineStr">
        <is>
          <t>01/07/2017</t>
        </is>
      </c>
      <c r="Q8" s="341" t="inlineStr">
        <is>
          <t>N/A</t>
        </is>
      </c>
      <c r="R8" s="341" t="inlineStr">
        <is>
          <t>06/03/2025</t>
        </is>
      </c>
      <c r="S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T8" s="341">
        <f>IF(P8="","生效",IF(P8="N/A","生效",IF(TODAY()&lt;DATE(VALUE(RIGHT(P8,4)),VALUE(MID(P8,4,2)),VALUE(LEFT(P8,2))),"计划实施",IF(Q8="","生效",IF(Q8="N/A","生效",IF(TODAY()&lt;DATE(VALUE(RIGHT(Q8,4)),VALUE(MID(Q8,4,2)),VALUE(LEFT(Q8,2))),"生效","已终止"))))))</f>
        <v/>
      </c>
      <c r="U8" s="341" t="inlineStr">
        <is>
          <t>国家发展改革委；国家能源局；工业和信息化部；商务部；国家数据局；绿证核发机构；绿证交易平台</t>
        </is>
      </c>
      <c r="V8" s="341" t="inlineStr">
        <is>
          <t>可再生能源发电项目</t>
        </is>
      </c>
      <c r="W8" s="341" t="inlineStr">
        <is>
          <t>新建；既有</t>
        </is>
      </c>
      <c r="X8" s="341" t="inlineStr">
        <is>
          <t>已建档立卡的风电、太阳能发电、常规水电、生物质发电、地热能发电、海洋能发电等可再生能源发电项目所生产的电量。</t>
        </is>
      </c>
      <c r="Y8" s="341" t="inlineStr">
        <is>
          <t>N/A</t>
        </is>
      </c>
      <c r="Z8" s="341" t="inlineStr">
        <is>
          <t>N/A</t>
        </is>
      </c>
      <c r="AA8" s="341" t="inlineStr">
        <is>
          <t>企业</t>
        </is>
      </c>
      <c r="AB8" s="341" t="inlineStr">
        <is>
          <t>可再生能源发电项目业主、绿证交易主体、代理机构、重点用能单位、数据中心、电力用户和售电企业。</t>
        </is>
      </c>
      <c r="AC8" s="341" t="inlineStr">
        <is>
          <t>生产、发电或转化；购买或使用</t>
        </is>
      </c>
      <c r="AD8" s="341" t="inlineStr">
        <is>
          <t>可再生能源电力生产、月度绿证自动核发、绿证交易、绿色电力交易、绿色电力消费认定和绿证核销。</t>
        </is>
      </c>
      <c r="AE8" s="341" t="inlineStr">
        <is>
          <t>5.57</t>
        </is>
      </c>
      <c r="AF8" s="341" t="inlineStr">
        <is>
          <t>元/个绿证</t>
        </is>
      </c>
      <c r="AG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H8" s="341" t="inlineStr">
        <is>
          <t>绿证是可再生能源电力环境属性、生产和消费认定的凭证；制度推动绿证及时自动核发、跨省流通、绿色电力交易和强制与自愿消费相结合的绿色电力消费机制。</t>
        </is>
      </c>
      <c r="AI8" s="341" t="inlineStr">
        <is>
          <t>依据电网企业和电力交易机构提供的已建档立卡可再生能源发电项目月度结算电量，逐月统一批量自动核发绿证。</t>
        </is>
      </c>
      <c r="AJ8" s="341" t="inlineStr">
        <is>
          <t>绿色电力消费认定基于绿证交易、认购、声明和核销记录；已声明完成绿色电力消费或超过有效期的绿证按规则核销，避免环境属性重复声明。</t>
        </is>
      </c>
      <c r="AK8" s="341" t="inlineStr">
        <is>
          <t>N/A</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可交易可再生能源电力证书市场</t>
        </is>
      </c>
      <c r="AU8" s="341" t="inlineStr">
        <is>
          <t>N/A；绿证核发量随符合条件的可再生能源发电量确定，不设置固定排放总量上限。</t>
        </is>
      </c>
      <c r="AV8" s="341" t="inlineStr">
        <is>
          <t>依据电网企业和电力交易机构提供的月度结算电量，对已建档立卡的可再生能源发电项目逐月统一批量自动核发绿证；绿证通过全国统一的绿证交易体系、绿证交易平台和电力交易机构流通。</t>
        </is>
      </c>
      <c r="AW8" s="341" t="inlineStr">
        <is>
          <t>N/A；该工具核发的是可再生能源电力环境属性证书，不是免费排放配额。</t>
        </is>
      </c>
      <c r="AX8" s="341" t="inlineStr">
        <is>
          <t>N/A；绿证用于可再生能源电力生产和消费认定，不作为温室气体排放抵消额度。</t>
        </is>
      </c>
      <c r="AY8" s="341" t="inlineStr">
        <is>
          <t>与绿色电力交易、可再生能源电力消纳责任权重核算、绿色电力消费认证、企业碳排放核算和重点产品碳足迹核算衔接。</t>
        </is>
      </c>
      <c r="AZ8" s="341" t="inlineStr">
        <is>
          <t>通过全生命周期闭环管理、核销机制、绿证价格监测和价格指数研究，引导绿证价格合理体现绿色电力环境价值，并减少重复计算和重复声明风险。</t>
        </is>
      </c>
      <c r="BA8" s="341" t="inlineStr">
        <is>
          <t>N/A</t>
        </is>
      </c>
      <c r="BB8" s="341" t="inlineStr">
        <is>
          <t>9.30亿个（2025年全国交易绿证；其中单独交易绿证6.80亿个，绿色电力交易绿证2.50亿个；来源：国家能源局2026年新闻稿）。</t>
        </is>
      </c>
      <c r="BC8" s="341" t="inlineStr">
        <is>
          <t>N/A</t>
        </is>
      </c>
      <c r="BD8" s="341" t="inlineStr">
        <is>
          <t>N/A</t>
        </is>
      </c>
      <c r="BE8" s="341" t="inlineStr">
        <is>
          <t>N/A</t>
        </is>
      </c>
      <c r="BF8" s="341" t="inlineStr">
        <is>
          <t>D35</t>
        </is>
      </c>
      <c r="BG8" s="341" t="inlineStr">
        <is>
          <t>CO2</t>
        </is>
      </c>
      <c r="BH8" s="341" t="inlineStr">
        <is>
          <t>正向</t>
        </is>
      </c>
      <c r="BI8" s="341" t="inlineStr">
        <is>
          <t>污染防治；能源安全；技术创新</t>
        </is>
      </c>
      <c r="BJ8" s="341" t="inlineStr">
        <is>
          <t>关于促进可再生能源绿色电力证书市场高质量发展的意见</t>
        </is>
      </c>
      <c r="BK8" s="341" t="inlineStr">
        <is>
          <t>https://www.ndrc.gov.cn/xxgk/zcfb/tz/202503/t20250318_1396627.html</t>
        </is>
      </c>
      <c r="BL8" s="341" t="inlineStr">
        <is>
          <t>https://www.ndrc.gov.cn/xxgk/zcfb/tz/201702/t20170203_962895_ext.html; https://www.gov.cn/gongbao/2024/issue_11626/202410/content_6978630.html</t>
        </is>
      </c>
      <c r="BM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非化石能源；减缓气候变化</t>
        </is>
      </c>
      <c r="L9" s="341" t="inlineStr">
        <is>
          <t>直接</t>
        </is>
      </c>
      <c r="M9" s="341" t="inlineStr">
        <is>
          <t>国家</t>
        </is>
      </c>
      <c r="N9" s="341" t="inlineStr">
        <is>
          <t>N/A</t>
        </is>
      </c>
      <c r="O9" s="341" t="inlineStr">
        <is>
          <t>10/05/2019</t>
        </is>
      </c>
      <c r="P9" s="341" t="inlineStr">
        <is>
          <t>01/01/2020</t>
        </is>
      </c>
      <c r="Q9" s="341" t="inlineStr">
        <is>
          <t>N/A</t>
        </is>
      </c>
      <c r="R9" s="341" t="inlineStr">
        <is>
          <t>01/07/2025</t>
        </is>
      </c>
      <c r="S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T9" s="341">
        <f>IF(P9="","生效",IF(P9="N/A","生效",IF(TODAY()&lt;DATE(VALUE(RIGHT(P9,4)),VALUE(MID(P9,4,2)),VALUE(LEFT(P9,2))),"计划实施",IF(Q9="","生效",IF(Q9="N/A","生效",IF(TODAY()&lt;DATE(VALUE(RIGHT(Q9,4)),VALUE(MID(Q9,4,2)),VALUE(LEFT(Q9,2))),"生效","已终止"))))))</f>
        <v/>
      </c>
      <c r="U9" s="341" t="inlineStr">
        <is>
          <t>国家发展和改革委员会；工业和信息化部；住房和城乡建设部；交通运输部；国家能源局</t>
        </is>
      </c>
      <c r="V9" s="341" t="inlineStr">
        <is>
          <t>可再生能源电力消纳责任权重</t>
        </is>
      </c>
      <c r="W9" s="341" t="inlineStr">
        <is>
          <t>新建；既有</t>
        </is>
      </c>
      <c r="X9" s="341" t="inlineStr">
        <is>
          <t>各省（自治区、直辖市）可再生能源电力消纳责任权重，包括总量消纳责任权重（对应全部可再生能源电力消费）和非水电消纳责任权重（对应风、光等非水电可再生能源电力消费）。</t>
        </is>
      </c>
      <c r="Y9" s="341" t="inlineStr">
        <is>
          <t>N/A</t>
        </is>
      </c>
      <c r="Z9" s="341" t="inlineStr">
        <is>
          <t>农业用电和专用计量的供暖电量免于消纳责任权重考核。</t>
        </is>
      </c>
      <c r="AA9" s="341" t="inlineStr">
        <is>
          <t>企业</t>
        </is>
      </c>
      <c r="AB9" s="341" t="inlineStr">
        <is>
          <t>承担消纳责任的市场主体：电网企业、售电公司、通过电力市场直接购电的电力用户、拥有自备电厂的企业。省级能源主管部门承担消纳责任权重落实的牵头责任，电网企业承担经营区组织责任。</t>
        </is>
      </c>
      <c r="AC9" s="341" t="inlineStr">
        <is>
          <t>购买或使用；销售；生产、发电或转化</t>
        </is>
      </c>
      <c r="AD9" s="341" t="inlineStr">
        <is>
          <t>发电、售电、用电、自备电厂用电、可再生能源电力消纳。可再生能源消费相关交易：绿证交易、超额消纳量转让交易、绿证合规。跨省区可再生能源电力交易及绿证交易的信息报送。</t>
        </is>
      </c>
      <c r="AE9" s="341" t="inlineStr">
        <is>
          <t>各省级行政区域年度最低和激励性可再生能源电力消纳责任权重；责任主体消纳量按年售电量或年用电量乘以所在区域分配权重确定。</t>
        </is>
      </c>
      <c r="AF9" s="341" t="inlineStr">
        <is>
          <t>年度可再生能源电量占电力消费比重（%）</t>
        </is>
      </c>
      <c r="AG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H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I9" s="341" t="inlineStr">
        <is>
          <t>省级可再生能源电力消纳责任权重核算——以本省区实际消纳的可再生能源电量为基数，跨省绿证交易纳入受端省核算、扣减售出省核算。计算公式及原则见办法附件2。</t>
        </is>
      </c>
      <c r="AJ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K9" s="341" t="inlineStr">
        <is>
          <t>N/A</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可再生能源电力消纳量配额/RPS机制</t>
        </is>
      </c>
      <c r="AU9" s="341" t="inlineStr">
        <is>
          <t>年度消纳责任权重按省级行政区域下达；不是温室气体排放总量上限。</t>
        </is>
      </c>
      <c r="AV9" s="341" t="inlineStr">
        <is>
          <t>国务院能源主管部门按年度测算并下达省级消纳责任权重；省级能源主管部门会同有关部门制定实施方案，将消纳量分配给承担消纳责任的市场主体。</t>
        </is>
      </c>
      <c r="AW9" s="341" t="inlineStr">
        <is>
          <t>N/A；该制度分配的是可再生能源电力消纳责任，不是免费排放配额。</t>
        </is>
      </c>
      <c r="AX9" s="341" t="inlineStr">
        <is>
          <t>N/A；绿证和超额消纳量用于完成可再生能源电力消纳责任，不作为温室气体抵消额度。</t>
        </is>
      </c>
      <c r="AY9" s="341" t="inlineStr">
        <is>
          <t>CHNTRARECI01S000；与可再生能源绿色电力证书市场、电力交易机构、北京电力交易中心和广州电力交易中心组织的跨省超额消纳量转让或交易衔接。</t>
        </is>
      </c>
      <c r="AZ9" s="341" t="inlineStr">
        <is>
          <t>国家按省级行政区域监测评价；自然原因或重大事故导致可再生能源发电量显著减少或送出受限时，在监测评价和市场主体考核中相应核减。</t>
        </is>
      </c>
      <c r="BA9" s="341" t="inlineStr">
        <is>
          <t>N/A</t>
        </is>
      </c>
      <c r="BB9" s="341" t="inlineStr">
        <is>
          <t>N/A</t>
        </is>
      </c>
      <c r="BC9" s="341" t="inlineStr">
        <is>
          <t>未履行消纳责任的市场主体由省级能源主管部门会同经济运行管理部门督促限期整改；未按期完成整改的依法依规处理，列入不良信用记录并予以联合惩戒。</t>
        </is>
      </c>
      <c r="BD9" s="341" t="inlineStr">
        <is>
          <t>N/A</t>
        </is>
      </c>
      <c r="BE9" s="341" t="inlineStr">
        <is>
          <t>N/A</t>
        </is>
      </c>
      <c r="BF9" s="341" t="inlineStr">
        <is>
          <t>D35</t>
        </is>
      </c>
      <c r="BG9" s="341" t="inlineStr">
        <is>
          <t>CO2</t>
        </is>
      </c>
      <c r="BH9" s="341" t="inlineStr">
        <is>
          <t>正向</t>
        </is>
      </c>
      <c r="BI9" s="341" t="inlineStr">
        <is>
          <t>污染防治；能源安全</t>
        </is>
      </c>
      <c r="BJ9" s="341" t="inlineStr">
        <is>
          <t>关于建立健全可再生能源电力消纳保障机制的通知（发改能源〔2019〕807号）；可再生能源消费最低比重目标和可再生能源电力消纳责任权重制度实施办法（国家发展改革委令第42号）</t>
        </is>
      </c>
      <c r="BK9" s="341" t="inlineStr">
        <is>
          <t>https://www.ndrc.gov.cn/xxgk/zcfb/tz/201905/t20190515_962446.html</t>
        </is>
      </c>
      <c r="BL9" s="341" t="inlineStr">
        <is>
          <t>https://www.ndrc.gov.cn/xxgk/zcfb/tz/202503/t20250318_1396627.html; https://www.ndrc.gov.cn/xwdt/tzgg/202507/t20250711_1399143.html</t>
        </is>
      </c>
      <c r="BM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非化石能源；减缓气候变化</t>
        </is>
      </c>
      <c r="L10" s="341" t="inlineStr">
        <is>
          <t>直接</t>
        </is>
      </c>
      <c r="M10" s="341" t="inlineStr">
        <is>
          <t>国家</t>
        </is>
      </c>
      <c r="N10" s="341" t="inlineStr">
        <is>
          <t>N/A</t>
        </is>
      </c>
      <c r="O10" s="341" t="inlineStr">
        <is>
          <t>05/06/2026</t>
        </is>
      </c>
      <c r="P10" s="341" t="inlineStr">
        <is>
          <t>01/08/2026</t>
        </is>
      </c>
      <c r="Q10" s="341" t="inlineStr">
        <is>
          <t>N/A</t>
        </is>
      </c>
      <c r="R10" s="341" t="inlineStr">
        <is>
          <t>N/A</t>
        </is>
      </c>
      <c r="S10" s="341" t="inlineStr">
        <is>
          <t>N/A</t>
        </is>
      </c>
      <c r="T10" s="341">
        <f>IF(P10="","生效",IF(P10="N/A","生效",IF(TODAY()&lt;DATE(VALUE(RIGHT(P10,4)),VALUE(MID(P10,4,2)),VALUE(LEFT(P10,2))),"计划实施",IF(Q10="","生效",IF(Q10="N/A","生效",IF(TODAY()&lt;DATE(VALUE(RIGHT(Q10,4)),VALUE(MID(Q10,4,2)),VALUE(LEFT(Q10,2))),"生效","已终止"))))))</f>
        <v/>
      </c>
      <c r="U10" s="341" t="inlineStr">
        <is>
          <t>国家发展和改革委员会；工业和信息化部；住房和城乡建设部；交通运输部；国家能源局</t>
        </is>
      </c>
      <c r="V10" s="341" t="inlineStr">
        <is>
          <t>重点用能行业可再生能源消费最低比重目标</t>
        </is>
      </c>
      <c r="W10" s="341" t="inlineStr">
        <is>
          <t>新建；既有</t>
        </is>
      </c>
      <c r="X10" s="341" t="inlineStr">
        <is>
          <t>重点用能行业可再生能源消费最低比重目标，包括电力最低比重目标和非电力最低比重目标（可再生能源供热/制冷、制氢/氨、生物质综合燃料利用等）。</t>
        </is>
      </c>
      <c r="Y10" s="341" t="inlineStr">
        <is>
          <t>N/A</t>
        </is>
      </c>
      <c r="Z10" s="341" t="inlineStr">
        <is>
          <t>N/A</t>
        </is>
      </c>
      <c r="AA10" s="341" t="inlineStr">
        <is>
          <t>企业</t>
        </is>
      </c>
      <c r="AB10" s="341" t="inlineStr">
        <is>
          <t>重点用能行业企业承担可再生能源消费最低比重目标的落实责任。</t>
        </is>
      </c>
      <c r="AC10" s="341" t="inlineStr">
        <is>
          <t>购买或使用；生产、发电或转化</t>
        </is>
      </c>
      <c r="AD10" s="341" t="inlineStr">
        <is>
          <t>可再生能源电力自发电自用、绿证绿电交易、超额消纳量转让。可再生能源非电利用消费（供热/制冷、制氢/氨、生物质综合燃料利用等）。</t>
        </is>
      </c>
      <c r="AE10" s="341" t="inlineStr">
        <is>
          <t>重点用能行业年度可再生能源消费最低比重目标；具体最低比重值由相关部门按行业分类核定。</t>
        </is>
      </c>
      <c r="AF10" s="341" t="inlineStr">
        <is>
          <t>年度可再生能源消费比重（%）</t>
        </is>
      </c>
      <c r="AG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H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I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J10" s="341" t="inlineStr">
        <is>
          <t>重点用能行业可再生能源消费最低比重目标由国务院能源主管部门会同有关部门按年度核定并下达，省级相关主管部门会同有关部门制定实施方案并分解落实到重点用能行业企业。</t>
        </is>
      </c>
      <c r="AK10" s="341" t="inlineStr">
        <is>
          <t>N/A</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可再生能源消纳量配额/RPS机制——重点用能行业最低比重目标</t>
        </is>
      </c>
      <c r="AU10" s="341" t="inlineStr">
        <is>
          <t>重点用能行业年度可再生能源消费最低比重目标；不是温室气体排放总量上限。</t>
        </is>
      </c>
      <c r="AV10" s="341" t="inlineStr">
        <is>
          <t>国务院能源主管部门会同有关部门按年度核定并下达重点用能行业可再生能源消费最低比重目标；省级相关主管部门会同有关部门将目标分解落实到重点用能行业企业。</t>
        </is>
      </c>
      <c r="AW10" s="341" t="inlineStr">
        <is>
          <t>N/A；该制度分配的是可再生能源消费最低比重目标，不是免费排放配额。</t>
        </is>
      </c>
      <c r="AX10" s="341" t="inlineStr">
        <is>
          <t>N/A；绿证和超额消纳量用于完成可再生能源消费比重目标，不作为温室气体抵消额度。</t>
        </is>
      </c>
      <c r="AY10" s="341" t="inlineStr">
        <is>
          <t>CHNTRARECI02S000；CHNTRARECI01S000；绿证交易市场和超额消纳量转让交易衔接。</t>
        </is>
      </c>
      <c r="AZ10" s="341" t="inlineStr">
        <is>
          <t>N/A</t>
        </is>
      </c>
      <c r="BA10" s="341" t="inlineStr">
        <is>
          <t>N/A</t>
        </is>
      </c>
      <c r="BB10" s="341" t="inlineStr">
        <is>
          <t>N/A</t>
        </is>
      </c>
      <c r="BC10" s="341" t="inlineStr">
        <is>
          <t>未达到最低比重目标的企业由省级相关主管部门督促限期整改；未按期完成整改的依法依规处理，列入不良信用记录并予以联合惩戒。</t>
        </is>
      </c>
      <c r="BD10" s="341" t="inlineStr">
        <is>
          <t>N/A</t>
        </is>
      </c>
      <c r="BE10" s="341" t="inlineStr">
        <is>
          <t>N/A</t>
        </is>
      </c>
      <c r="BF10" s="341" t="inlineStr">
        <is>
          <t>D35</t>
        </is>
      </c>
      <c r="BG10" s="341" t="inlineStr">
        <is>
          <t>CO2</t>
        </is>
      </c>
      <c r="BH10" s="341" t="inlineStr">
        <is>
          <t>正向</t>
        </is>
      </c>
      <c r="BI10" s="341" t="inlineStr">
        <is>
          <t>污染防治；技术创新</t>
        </is>
      </c>
      <c r="BJ10" s="341" t="inlineStr">
        <is>
          <t>可再生能源消费最低比重目标和可再生能源电力消纳责任权重制度实施办法（国家发展改革委令第42号）</t>
        </is>
      </c>
      <c r="BK10" s="341" t="inlineStr">
        <is>
          <t>https://www.ndrc.gov.cn/xxgk/zcfb/fzggwl/202606/t20260612_1405837.html</t>
        </is>
      </c>
      <c r="BL10" s="341" t="inlineStr">
        <is>
          <t>https://www.ndrc.gov.cn/xxgk/zcfb/fzggwl/202606/t20260612_1405837.html</t>
        </is>
      </c>
      <c r="BM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能源效率；产业发展；电气化</t>
        </is>
      </c>
      <c r="L11" s="341" t="inlineStr">
        <is>
          <t>直接</t>
        </is>
      </c>
      <c r="M11" s="341" t="inlineStr">
        <is>
          <t>国家</t>
        </is>
      </c>
      <c r="N11" s="341" t="inlineStr">
        <is>
          <t>N/A</t>
        </is>
      </c>
      <c r="O11" s="341" t="inlineStr">
        <is>
          <t>27/09/2017</t>
        </is>
      </c>
      <c r="P11" s="341" t="inlineStr">
        <is>
          <t>01/04/2018</t>
        </is>
      </c>
      <c r="Q11" s="341" t="inlineStr">
        <is>
          <t>N/A</t>
        </is>
      </c>
      <c r="R11" s="341" t="inlineStr">
        <is>
          <t>07/11/2025</t>
        </is>
      </c>
      <c r="S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T11" s="341">
        <f>IF(P11="","生效",IF(P11="N/A","生效",IF(TODAY()&lt;DATE(VALUE(RIGHT(P11,4)),VALUE(MID(P11,4,2)),VALUE(LEFT(P11,2))),"计划实施",IF(Q11="","生效",IF(Q11="N/A","生效",IF(TODAY()&lt;DATE(VALUE(RIGHT(Q11,4)),VALUE(MID(Q11,4,2)),VALUE(LEFT(Q11,2))),"生效","已终止"))))))</f>
        <v/>
      </c>
      <c r="U11" s="341" t="inlineStr">
        <is>
          <t>工业和信息化部；财政部；商务部；海关总署；市场监管总局</t>
        </is>
      </c>
      <c r="V11" s="341" t="inlineStr">
        <is>
          <t>道路运输车辆</t>
        </is>
      </c>
      <c r="W11" s="341" t="inlineStr">
        <is>
          <t>新建</t>
        </is>
      </c>
      <c r="X11" s="341" t="inlineStr">
        <is>
          <t>在中国境内销售的乘用车，包括境内生产和进口乘用车；父工具覆盖 CAFC 和 NEV 两类积分。</t>
        </is>
      </c>
      <c r="Y11" s="341" t="inlineStr">
        <is>
          <t>N/A</t>
        </is>
      </c>
      <c r="Z11" s="341" t="inlineStr">
        <is>
          <t>年度生产量或者进口量达到2000辆及以上的乘用车企业纳入积分核算。</t>
        </is>
      </c>
      <c r="AA11" s="341" t="inlineStr">
        <is>
          <t>企业</t>
        </is>
      </c>
      <c r="AB11" s="341" t="inlineStr">
        <is>
          <t>中国境内乘用车生产企业和进口乘用车供应企业。</t>
        </is>
      </c>
      <c r="AC11" s="341" t="inlineStr">
        <is>
          <t>生产、销售或进口</t>
        </is>
      </c>
      <c r="AD11" s="341" t="inlineStr">
        <is>
          <t>乘用车生产、进口和销售，以及 CAFC/NEV 积分核算、结转、转让、交易、积分池管理和负积分抵偿。</t>
        </is>
      </c>
      <c r="AE11" s="341" t="inlineStr">
        <is>
          <t>N/A</t>
        </is>
      </c>
      <c r="AF11" s="341" t="inlineStr">
        <is>
          <t>N/A</t>
        </is>
      </c>
      <c r="AG11" s="341" t="inlineStr">
        <is>
          <t>父工具包含两个积分子方案：CAFC 子方案使用燃料消耗量目标核算，NEV 子方案使用年度新能源汽车积分比例核算；最新通知规定2026、2027年度 NEV 积分比例分别为48%和58%（来源：工信部2025年通知）。</t>
        </is>
      </c>
      <c r="AH11" s="341" t="inlineStr">
        <is>
          <t>乘用车企业应分别满足平均燃料消耗量积分和新能源汽车积分要求；负积分应按办法规定抵偿归零。</t>
        </is>
      </c>
      <c r="AI11" s="341" t="inlineStr">
        <is>
          <t>CAFC 积分按企业平均燃料消耗量达标值与实际值之差乘以企业乘用车核算数量计算。</t>
        </is>
      </c>
      <c r="AJ11" s="341" t="inlineStr">
        <is>
          <t>NEV 积分目标值由传统能源乘用车核算数量乘以年度新能源汽车积分比例确定；实际值与目标值之差形成正/负积分。</t>
        </is>
      </c>
      <c r="AK11" s="341" t="inlineStr">
        <is>
          <t>N/A</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可交易绩效标准；乘用车企业平均燃料消耗量积分和新能源汽车积分并行管理机制。</t>
        </is>
      </c>
      <c r="AU11" s="341" t="inlineStr">
        <is>
          <t>未设置固定绝对总量上限；合规义务由企业燃料消耗量达标值、新能源汽车积分比例和企业生产/进口规模共同决定。</t>
        </is>
      </c>
      <c r="AV11" s="341" t="inlineStr">
        <is>
          <t>积分由企业车型燃料消耗量表现、新能源汽车车型积分和年度生产/进口量核算产生；正积分可按办法结转、转让、交易或进入积分池。</t>
        </is>
      </c>
      <c r="AW11" s="341" t="inlineStr">
        <is>
          <t>不适用；该制度不分配免费配额，积分由企业绩效核算产生。</t>
        </is>
      </c>
      <c r="AX11" s="341" t="inlineStr">
        <is>
          <t>允许。CAFC 负积分可按规则使用 CAFC 正积分和 NEV 正积分抵偿；NEV 负积分主要通过购买 NEV 正积分抵偿。</t>
        </is>
      </c>
      <c r="AY11" s="341" t="inlineStr">
        <is>
          <t>N/A</t>
        </is>
      </c>
      <c r="AZ11" s="341" t="inlineStr">
        <is>
          <t>2023年修订建立新能源汽车积分池管理制度；CAFC 正积分也有结转和关联企业转让规则。</t>
        </is>
      </c>
      <c r="BA11" s="341" t="inlineStr">
        <is>
          <t>N/A</t>
        </is>
      </c>
      <c r="BB11" s="341" t="inlineStr">
        <is>
          <t>N/A</t>
        </is>
      </c>
      <c r="BC11" s="341" t="inlineStr">
        <is>
          <t>负积分未抵偿归零的企业需提交调整计划，并可能受到车型公告、产品申报或进口管理限制；弄虚作假、拒不配合核查等按办法处理。</t>
        </is>
      </c>
      <c r="BD11" s="341" t="inlineStr">
        <is>
          <t>N/A</t>
        </is>
      </c>
      <c r="BE11" s="341" t="inlineStr">
        <is>
          <t>N/A</t>
        </is>
      </c>
      <c r="BF11" s="341" t="inlineStr">
        <is>
          <t>C29; G45</t>
        </is>
      </c>
      <c r="BG11" s="341" t="inlineStr">
        <is>
          <t>CO2</t>
        </is>
      </c>
      <c r="BH11" s="341" t="inlineStr">
        <is>
          <t>正向</t>
        </is>
      </c>
      <c r="BI11" s="341" t="inlineStr">
        <is>
          <t>污染防治；能源安全；技术创新；产业发展</t>
        </is>
      </c>
      <c r="BJ11" s="341" t="inlineStr">
        <is>
          <t>乘用车企业平均燃料消耗量与新能源汽车积分并行管理办法</t>
        </is>
      </c>
      <c r="BK11" s="341" t="inlineStr">
        <is>
          <t>https://www.gov.cn/zhengce/2022-11/27/content_5722693.htm</t>
        </is>
      </c>
      <c r="BL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341" t="inlineStr"/>
    </row>
    <row r="12">
      <c r="A12" s="430" t="inlineStr">
        <is>
          <t>CHNTRATPSI01S001</t>
        </is>
      </c>
      <c r="B12" s="430" t="inlineStr">
        <is>
          <t>子方案</t>
        </is>
      </c>
      <c r="C12" s="430" t="inlineStr">
        <is>
          <t>交易机制</t>
        </is>
      </c>
      <c r="D12" s="430" t="inlineStr">
        <is>
          <t>可交易绩效标准</t>
        </is>
      </c>
      <c r="E12" s="430" t="inlineStr">
        <is>
          <t>交通</t>
        </is>
      </c>
      <c r="F12" s="430" t="inlineStr">
        <is>
          <t>道路交通</t>
        </is>
      </c>
      <c r="G12" s="430" t="inlineStr">
        <is>
          <t>乘用车企业平均燃料消耗量积分子方案</t>
        </is>
      </c>
      <c r="H12" s="430" t="inlineStr">
        <is>
          <t>Passenger vehicle corporate average fuel consumption credit subscheme</t>
        </is>
      </c>
      <c r="I12" s="430" t="inlineStr">
        <is>
          <t>乘用车企业平均燃料消耗量与新能源汽车积分并行管理办法</t>
        </is>
      </c>
      <c r="J12" s="430" t="inlineStr">
        <is>
          <t>该子方案对乘用车企业平均燃料消耗量进行年度核算，形成 CAFC 正积分或负积分，并规定结转、转让和负积分抵偿规则。</t>
        </is>
      </c>
      <c r="K12" s="430" t="inlineStr">
        <is>
          <t>能源效率</t>
        </is>
      </c>
      <c r="L12" s="430" t="inlineStr">
        <is>
          <t>直接</t>
        </is>
      </c>
      <c r="M12" s="430" t="inlineStr">
        <is>
          <t>国家</t>
        </is>
      </c>
      <c r="N12" s="430" t="inlineStr">
        <is>
          <t>N/A</t>
        </is>
      </c>
      <c r="O12" s="430" t="inlineStr">
        <is>
          <t>27/09/2017</t>
        </is>
      </c>
      <c r="P12" s="430" t="inlineStr">
        <is>
          <t>01/04/2018</t>
        </is>
      </c>
      <c r="Q12" s="430" t="inlineStr">
        <is>
          <t>N/A</t>
        </is>
      </c>
      <c r="R12" s="430" t="inlineStr">
        <is>
          <t>07/11/2025</t>
        </is>
      </c>
      <c r="S12" s="430" t="inlineStr">
        <is>
          <t>工业和信息化部2025年11月7日通知规定2026—2027年度 CAFC 相关核算安排：小规模企业 CAFC 达标值放宽条件、低油耗乘用车按0.1倍核算、循环外节能技术减免继续衔接执行。</t>
        </is>
      </c>
      <c r="T12" s="430">
        <f>IF(P12="","生效",IF(P12="N/A","生效",IF(TODAY()&lt;DATE(VALUE(RIGHT(P12,4)),VALUE(MID(P12,4,2)),VALUE(LEFT(P12,2))),"计划实施",IF(Q12="","生效",IF(Q12="N/A","生效",IF(TODAY()&lt;DATE(VALUE(RIGHT(Q12,4)),VALUE(MID(Q12,4,2)),VALUE(LEFT(Q12,2))),"生效","已终止"))))))</f>
        <v/>
      </c>
      <c r="U12" s="430" t="inlineStr">
        <is>
          <t>工业和信息化部；财政部；商务部；海关总署；市场监管总局</t>
        </is>
      </c>
      <c r="V12" s="430" t="inlineStr">
        <is>
          <t>道路运输车辆</t>
        </is>
      </c>
      <c r="W12" s="430" t="inlineStr">
        <is>
          <t>新建</t>
        </is>
      </c>
      <c r="X12" s="430" t="inlineStr">
        <is>
          <t>传统能源乘用车和纳入企业平均燃料消耗量核算的乘用车车型。</t>
        </is>
      </c>
      <c r="Y12" s="430" t="inlineStr">
        <is>
          <t>N/A</t>
        </is>
      </c>
      <c r="Z12" s="430" t="inlineStr">
        <is>
          <t>年度生产量或者进口量达到2000辆及以上的乘用车企业纳入标准核算。</t>
        </is>
      </c>
      <c r="AA12" s="430" t="inlineStr">
        <is>
          <t>企业</t>
        </is>
      </c>
      <c r="AB12" s="430" t="inlineStr">
        <is>
          <t>中国境内乘用车生产企业和进口乘用车供应企业。</t>
        </is>
      </c>
      <c r="AC12" s="430" t="inlineStr">
        <is>
          <t>生产、销售或进口</t>
        </is>
      </c>
      <c r="AD12" s="430" t="inlineStr">
        <is>
          <t>企业乘用车生产、进口和销售形成的平均燃料消耗量核算活动。</t>
        </is>
      </c>
      <c r="AE12" s="430" t="inlineStr">
        <is>
          <t>N/A</t>
        </is>
      </c>
      <c r="AF12" s="430" t="inlineStr">
        <is>
          <t>L/100 km</t>
        </is>
      </c>
      <c r="AG12" s="430" t="inlineStr">
        <is>
          <t>企业层面强度由车型燃料消耗量目标值和实际值按产量或进口量加权核算；办法未给出单一固定强度值。</t>
        </is>
      </c>
      <c r="AH12" s="430" t="inlineStr">
        <is>
          <t>企业平均燃料消耗量实际值低于达标值产生正积分，高于达标值产生负积分；负积分应按办法规定抵偿归零。</t>
        </is>
      </c>
      <c r="AI12" s="430" t="inlineStr">
        <is>
          <t>企业平均燃料消耗量实际值为各车型燃料消耗量与对应产量或进口量加权平均。</t>
        </is>
      </c>
      <c r="AJ12" s="430" t="inlineStr">
        <is>
          <t>CAFC 积分为企业平均燃料消耗量达标值与实际值之差，乘以企业乘用车生产量或进口量。</t>
        </is>
      </c>
      <c r="AK12" s="430" t="inlineStr">
        <is>
          <t>N/A</t>
        </is>
      </c>
      <c r="AL12" s="430" t="inlineStr">
        <is>
          <t>N/A</t>
        </is>
      </c>
      <c r="AM12" s="430" t="inlineStr">
        <is>
          <t>N/A</t>
        </is>
      </c>
      <c r="AN12" s="430" t="inlineStr">
        <is>
          <t>N/A</t>
        </is>
      </c>
      <c r="AO12" s="430" t="inlineStr">
        <is>
          <t>N/A</t>
        </is>
      </c>
      <c r="AP12" s="430" t="inlineStr">
        <is>
          <t>N/A</t>
        </is>
      </c>
      <c r="AQ12" s="430" t="inlineStr">
        <is>
          <t>N/A</t>
        </is>
      </c>
      <c r="AR12" s="430" t="inlineStr">
        <is>
          <t>N/A</t>
        </is>
      </c>
      <c r="AS12" s="430" t="inlineStr">
        <is>
          <t>N/A</t>
        </is>
      </c>
      <c r="AT12" s="430" t="inlineStr">
        <is>
          <t>CAFC 可交易/可转让绩效积分子方案。</t>
        </is>
      </c>
      <c r="AU12" s="430" t="inlineStr">
        <is>
          <t>未设置固定绝对总量上限；企业义务由平均燃料消耗量达标值和企业生产/进口规模决定。</t>
        </is>
      </c>
      <c r="AV12" s="430" t="inlineStr">
        <is>
          <t>CAFC 正/负积分由企业平均燃料消耗量达标值和实际值核算产生；正积分可结转或在关联企业间转让。</t>
        </is>
      </c>
      <c r="AW12" s="430" t="inlineStr">
        <is>
          <t>不适用；积分由企业燃料消耗量绩效核算产生。</t>
        </is>
      </c>
      <c r="AX12" s="430" t="inlineStr">
        <is>
          <t>允许。CAFC 负积分可使用本企业结转或受让的 CAFC 正积分、NEV 正积分等方式抵偿。</t>
        </is>
      </c>
      <c r="AY12" s="430" t="inlineStr">
        <is>
          <t>与 NEV 积分子方案联动，NEV 正积分可用于抵偿 CAFC 负积分。</t>
        </is>
      </c>
      <c r="AZ12" s="430" t="inlineStr">
        <is>
          <t>CAFC 正积分设置结转和关联企业转让规则；可由 NEV 正积分抵偿负积分。</t>
        </is>
      </c>
      <c r="BA12" s="430" t="inlineStr">
        <is>
          <t>N/A</t>
        </is>
      </c>
      <c r="BB12" s="430" t="inlineStr">
        <is>
          <t>N/A</t>
        </is>
      </c>
      <c r="BC12" s="430" t="inlineStr">
        <is>
          <t>CAFC 负积分未抵偿归零的企业需提交调整计划，并可能受到车型公告、产品申报或进口管理限制。</t>
        </is>
      </c>
      <c r="BD12" s="430" t="inlineStr">
        <is>
          <t>N/A</t>
        </is>
      </c>
      <c r="BE12" s="430" t="inlineStr">
        <is>
          <t>N/A</t>
        </is>
      </c>
      <c r="BF12" s="430" t="inlineStr">
        <is>
          <t>C29; G45</t>
        </is>
      </c>
      <c r="BG12" s="430" t="inlineStr">
        <is>
          <t>CO2</t>
        </is>
      </c>
      <c r="BH12" s="430" t="inlineStr">
        <is>
          <t>正向</t>
        </is>
      </c>
      <c r="BI12" s="430" t="inlineStr">
        <is>
          <t>污染防治；能源安全；技术创新</t>
        </is>
      </c>
      <c r="BJ12" s="430" t="inlineStr">
        <is>
          <t>乘用车企业平均燃料消耗量与新能源汽车积分并行管理办法</t>
        </is>
      </c>
      <c r="BK12" s="430" t="inlineStr">
        <is>
          <t>https://www.gov.cn/zhengce/2022-11/27/content_5722693.htm</t>
        </is>
      </c>
      <c r="BL12"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30" t="inlineStr"/>
    </row>
    <row r="13">
      <c r="A13" s="430" t="inlineStr">
        <is>
          <t>CHNTRATPSI01S002</t>
        </is>
      </c>
      <c r="B13" s="430" t="inlineStr">
        <is>
          <t>子方案</t>
        </is>
      </c>
      <c r="C13" s="430" t="inlineStr">
        <is>
          <t>交易机制</t>
        </is>
      </c>
      <c r="D13" s="430" t="inlineStr">
        <is>
          <t>可交易绩效标准</t>
        </is>
      </c>
      <c r="E13" s="430" t="inlineStr">
        <is>
          <t>交通</t>
        </is>
      </c>
      <c r="F13" s="430" t="inlineStr">
        <is>
          <t>道路交通</t>
        </is>
      </c>
      <c r="G13" s="430" t="inlineStr">
        <is>
          <t>乘用车企业新能源汽车积分子方案</t>
        </is>
      </c>
      <c r="H13" s="430" t="inlineStr">
        <is>
          <t>Passenger vehicle new energy vehicle credit subscheme</t>
        </is>
      </c>
      <c r="I13" s="430" t="inlineStr">
        <is>
          <t>乘用车企业平均燃料消耗量与新能源汽车积分并行管理办法</t>
        </is>
      </c>
      <c r="J13" s="430" t="inlineStr">
        <is>
          <t>该子方案要求乘用车企业按年度新能源汽车积分比例形成目标值，并按车型积分和产量或进口量核算实际值；正积分可交易，负积分需购买正积分等方式抵偿。</t>
        </is>
      </c>
      <c r="K13" s="430" t="inlineStr">
        <is>
          <t>产业发展；能源效率；电气化</t>
        </is>
      </c>
      <c r="L13" s="430" t="inlineStr">
        <is>
          <t>直接</t>
        </is>
      </c>
      <c r="M13" s="430" t="inlineStr">
        <is>
          <t>国家</t>
        </is>
      </c>
      <c r="N13" s="430" t="inlineStr">
        <is>
          <t>N/A</t>
        </is>
      </c>
      <c r="O13" s="430" t="inlineStr">
        <is>
          <t>27/09/2017</t>
        </is>
      </c>
      <c r="P13" s="430" t="inlineStr">
        <is>
          <t>01/04/2018</t>
        </is>
      </c>
      <c r="Q13" s="430" t="inlineStr">
        <is>
          <t>N/A</t>
        </is>
      </c>
      <c r="R13" s="430" t="inlineStr">
        <is>
          <t>07/11/2025</t>
        </is>
      </c>
      <c r="S13" s="430" t="inlineStr">
        <is>
          <t>工业和信息化部2025年11月7日通知规定2026年度、2027年度新能源汽车积分比例要求分别为48%和58%，并明确2026—2027年度新能源乘用车车型积分按照附件计算方法确定。</t>
        </is>
      </c>
      <c r="T13" s="430">
        <f>IF(P13="","生效",IF(P13="N/A","生效",IF(TODAY()&lt;DATE(VALUE(RIGHT(P13,4)),VALUE(MID(P13,4,2)),VALUE(LEFT(P13,2))),"计划实施",IF(Q13="","生效",IF(Q13="N/A","生效",IF(TODAY()&lt;DATE(VALUE(RIGHT(Q13,4)),VALUE(MID(Q13,4,2)),VALUE(LEFT(Q13,2))),"生效","已终止"))))))</f>
        <v/>
      </c>
      <c r="U13" s="430" t="inlineStr">
        <is>
          <t>工业和信息化部；财政部；商务部；海关总署；市场监管总局</t>
        </is>
      </c>
      <c r="V13" s="430" t="inlineStr">
        <is>
          <t>道路运输车辆</t>
        </is>
      </c>
      <c r="W13" s="430" t="inlineStr">
        <is>
          <t>新建</t>
        </is>
      </c>
      <c r="X13" s="430" t="inlineStr">
        <is>
          <t>符合办法规定的纯电动乘用车、插电式混合动力乘用车和燃料电池乘用车。</t>
        </is>
      </c>
      <c r="Y13" s="430" t="inlineStr">
        <is>
          <t>N/A</t>
        </is>
      </c>
      <c r="Z13" s="430" t="inlineStr">
        <is>
          <t>对年度传统能源乘用车生产量或者进口量达到规定规模的企业核算新能源汽车积分比例要求。</t>
        </is>
      </c>
      <c r="AA13" s="430" t="inlineStr">
        <is>
          <t>企业</t>
        </is>
      </c>
      <c r="AB13" s="430" t="inlineStr">
        <is>
          <t>中国境内乘用车生产企业和进口乘用车供应企业。</t>
        </is>
      </c>
      <c r="AC13" s="430" t="inlineStr">
        <is>
          <t>生产、销售或进口</t>
        </is>
      </c>
      <c r="AD13" s="430" t="inlineStr">
        <is>
          <t>新能源乘用车生产、进口和销售，以及 NEV 积分目标值、实际值、交易和积分池管理。</t>
        </is>
      </c>
      <c r="AE13" s="430" t="inlineStr">
        <is>
          <t>48; 58</t>
        </is>
      </c>
      <c r="AF13" s="430" t="inlineStr">
        <is>
          <t>占传统能源乘用车核算数量的比例</t>
        </is>
      </c>
      <c r="AG13" s="430" t="inlineStr">
        <is>
          <t>2026年度、2027年度新能源汽车积分比例要求分别为48%和58%（来源：工信部2025年通知）。</t>
        </is>
      </c>
      <c r="AH13" s="430" t="inlineStr">
        <is>
          <t>企业新能源汽车积分实际值应不低于目标值；负积分应通过购买 NEV 正积分等方式抵偿归零。</t>
        </is>
      </c>
      <c r="AI13" s="430" t="inlineStr">
        <is>
          <t>NEV 积分实际值为各新能源汽车车型积分与对应生产量或进口量乘积之和。</t>
        </is>
      </c>
      <c r="AJ13" s="430" t="inlineStr">
        <is>
          <t>NEV 积分目标值为传统能源乘用车核算数量与年度新能源汽车积分比例要求的乘积。</t>
        </is>
      </c>
      <c r="AK13" s="430" t="inlineStr">
        <is>
          <t>N/A</t>
        </is>
      </c>
      <c r="AL13" s="430" t="inlineStr">
        <is>
          <t>N/A</t>
        </is>
      </c>
      <c r="AM13" s="430" t="inlineStr">
        <is>
          <t>N/A</t>
        </is>
      </c>
      <c r="AN13" s="430" t="inlineStr">
        <is>
          <t>N/A</t>
        </is>
      </c>
      <c r="AO13" s="430" t="inlineStr">
        <is>
          <t>N/A</t>
        </is>
      </c>
      <c r="AP13" s="430" t="inlineStr">
        <is>
          <t>N/A</t>
        </is>
      </c>
      <c r="AQ13" s="430" t="inlineStr">
        <is>
          <t>N/A</t>
        </is>
      </c>
      <c r="AR13" s="430" t="inlineStr">
        <is>
          <t>N/A</t>
        </is>
      </c>
      <c r="AS13" s="430" t="inlineStr">
        <is>
          <t>N/A</t>
        </is>
      </c>
      <c r="AT13" s="430" t="inlineStr">
        <is>
          <t>NEV 可交易绩效积分子方案。</t>
        </is>
      </c>
      <c r="AU13" s="430" t="inlineStr">
        <is>
          <t>未设置固定绝对总量上限；年度目标由传统能源乘用车核算数量与 NEV 积分比例要求决定。</t>
        </is>
      </c>
      <c r="AV13" s="430" t="inlineStr">
        <is>
          <t>NEV 正/负积分由企业新能源乘用车车型积分和生产/进口量核算产生；NEV 正积分可交易，并可按规则储存至或提取自积分池。</t>
        </is>
      </c>
      <c r="AW13" s="430" t="inlineStr">
        <is>
          <t>不适用；积分由企业新能源汽车生产/进口绩效核算产生。</t>
        </is>
      </c>
      <c r="AX13" s="430" t="inlineStr">
        <is>
          <t>允许。NEV 负积分通过购买 NEV 正积分等方式抵偿；NEV 正积分也可用于抵偿 CAFC 负积分。</t>
        </is>
      </c>
      <c r="AY13" s="430" t="inlineStr">
        <is>
          <t>与 CAFC 积分子方案联动，NEV 正积分可用于抵偿 CAFC 负积分。</t>
        </is>
      </c>
      <c r="AZ13" s="430" t="inlineStr">
        <is>
          <t>2023年修订建立新能源汽车积分池管理制度，用于调节积分供需。</t>
        </is>
      </c>
      <c r="BA13" s="430" t="inlineStr">
        <is>
          <t>N/A</t>
        </is>
      </c>
      <c r="BB13" s="430" t="inlineStr">
        <is>
          <t>N/A</t>
        </is>
      </c>
      <c r="BC13" s="430" t="inlineStr">
        <is>
          <t>NEV 负积分未抵偿归零的企业需提交调整计划，并可能受到车型公告、产品申报或进口管理限制。</t>
        </is>
      </c>
      <c r="BD13" s="430" t="inlineStr">
        <is>
          <t>N/A</t>
        </is>
      </c>
      <c r="BE13" s="430" t="inlineStr">
        <is>
          <t>N/A</t>
        </is>
      </c>
      <c r="BF13" s="430" t="inlineStr">
        <is>
          <t>C29; G45</t>
        </is>
      </c>
      <c r="BG13" s="430" t="inlineStr">
        <is>
          <t>CO2</t>
        </is>
      </c>
      <c r="BH13" s="430" t="inlineStr">
        <is>
          <t>正向</t>
        </is>
      </c>
      <c r="BI13" s="430" t="inlineStr">
        <is>
          <t>污染防治；能源安全；技术创新；产业发展</t>
        </is>
      </c>
      <c r="BJ13" s="430" t="inlineStr">
        <is>
          <t>乘用车企业平均燃料消耗量与新能源汽车积分并行管理办法</t>
        </is>
      </c>
      <c r="BK13" s="430" t="inlineStr">
        <is>
          <t>https://www.gov.cn/zhengce/2022-11/27/content_5722693.htm</t>
        </is>
      </c>
      <c r="BL13"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30"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国家</t>
        </is>
      </c>
      <c r="N14" s="341" t="inlineStr">
        <is>
          <t>N/A</t>
        </is>
      </c>
      <c r="O14" s="341" t="inlineStr">
        <is>
          <t>07/03/2024</t>
        </is>
      </c>
      <c r="P14" s="341" t="inlineStr">
        <is>
          <t>01/04/2024</t>
        </is>
      </c>
      <c r="Q14" s="341" t="inlineStr">
        <is>
          <t>31/12/2028</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交通运输部（主管船舶报废更新资格审核和运输许可）；国家发展改革委（主管投资计划和政策协调）；财政部（主管补贴资金管理）；省级交通运输和财政主管部门；中国船级社（船舶检验和拆解确认）</t>
        </is>
      </c>
      <c r="V14" s="341" t="inlineStr">
        <is>
          <t>水上船舶</t>
        </is>
      </c>
      <c r="W14" s="341" t="inlineStr">
        <is>
          <t>既有</t>
        </is>
      </c>
      <c r="X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Y14" s="341" t="inlineStr">
        <is>
          <t>N/A</t>
        </is>
      </c>
      <c r="Z14" s="341" t="inlineStr">
        <is>
          <t>沿海运输船舶船龄≥20年；内河运输船舶船龄≥15年。船舶须为取得有效证书的营运船舶。淘汰船舶须完成拆解并出具拆解证明。</t>
        </is>
      </c>
      <c r="AA14" s="341" t="inlineStr">
        <is>
          <t>企业</t>
        </is>
      </c>
      <c r="AB14" s="341" t="inlineStr">
        <is>
          <t>持有有效水路运输经营许可证的航运企业（船舶所有人或经营人）。包括从事沿海和内河客货运输的国有和民营航运企业。</t>
        </is>
      </c>
      <c r="AC14" s="341" t="inlineStr">
        <is>
          <t>处置、收集或分类（消费后）；购买或使用</t>
        </is>
      </c>
      <c r="AD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E14" s="341" t="inlineStr">
        <is>
          <t>1200-3500</t>
        </is>
      </c>
      <c r="AF14" s="341" t="inlineStr">
        <is>
          <t>元/总吨</t>
        </is>
      </c>
      <c r="AG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H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I14" s="341" t="inlineStr">
        <is>
          <t>N/A</t>
        </is>
      </c>
      <c r="AJ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K14" s="341" t="inlineStr">
        <is>
          <t>N/A</t>
        </is>
      </c>
      <c r="AL14" s="341" t="inlineStr">
        <is>
          <t>N/A</t>
        </is>
      </c>
      <c r="AM14" s="341" t="inlineStr">
        <is>
          <t>N/A</t>
        </is>
      </c>
      <c r="AN14" s="341" t="inlineStr">
        <is>
          <t>N/A</t>
        </is>
      </c>
      <c r="AO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P14" s="341" t="inlineStr">
        <is>
          <t>N/A</t>
        </is>
      </c>
      <c r="AQ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R14" s="341" t="inlineStr">
        <is>
          <t>自2024年4月实施至2028年12月31日。补贴申请须在政策有效期内提交，报废拆解和新建建造须在规定期限内完成。</t>
        </is>
      </c>
      <c r="AS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T14" s="341" t="inlineStr">
        <is>
          <t>N/A</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H50</t>
        </is>
      </c>
      <c r="BG14" s="341" t="inlineStr">
        <is>
          <t>CO2</t>
        </is>
      </c>
      <c r="BH14" s="341" t="inlineStr">
        <is>
          <t>正向</t>
        </is>
      </c>
      <c r="BI14" s="341" t="inlineStr">
        <is>
          <t>污染防治；能源安全；技术创新；产业发展</t>
        </is>
      </c>
      <c r="BJ14" s="341" t="inlineStr">
        <is>
          <t>交通运输老旧营运船舶报废更新补贴实施细则（交办水〔2024〕60号）；推动大规模设备更新和消费品以旧换新行动方案（国发〔2024〕7号）</t>
        </is>
      </c>
      <c r="BK14" s="341" t="inlineStr">
        <is>
          <t>https://xxgk.mot.gov.cn/2020/jigou/syj/202404/t20240403_4137500.html</t>
        </is>
      </c>
      <c r="BL14" s="341" t="inlineStr">
        <is>
          <t>https://www.gov.cn/zhengce/content/202403/content_6939136.htm; https://www.ndrc.gov.cn/xxgk/zcfb/tz/202404/t20240409_1364672.html</t>
        </is>
      </c>
      <c r="BM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国家</t>
        </is>
      </c>
      <c r="N15" s="341" t="inlineStr">
        <is>
          <t>N/A</t>
        </is>
      </c>
      <c r="O15" s="341" t="inlineStr">
        <is>
          <t>07/03/2024</t>
        </is>
      </c>
      <c r="P15" s="341" t="inlineStr">
        <is>
          <t>01/04/2024</t>
        </is>
      </c>
      <c r="Q15" s="341" t="inlineStr">
        <is>
          <t>N/A</t>
        </is>
      </c>
      <c r="R15" s="341" t="inlineStr">
        <is>
          <t>N/A</t>
        </is>
      </c>
      <c r="S15" s="341" t="inlineStr">
        <is>
          <t>N/A</t>
        </is>
      </c>
      <c r="T15" s="341">
        <f>IF(P15="","生效",IF(P15="N/A","生效",IF(TODAY()&lt;DATE(VALUE(RIGHT(P15,4)),VALUE(MID(P15,4,2)),VALUE(LEFT(P15,2))),"计划实施",IF(Q15="","生效",IF(Q15="N/A","生效",IF(TODAY()&lt;DATE(VALUE(RIGHT(Q15,4)),VALUE(MID(Q15,4,2)),VALUE(LEFT(Q15,2))),"生效","已终止"))))))</f>
        <v/>
      </c>
      <c r="U15" s="341" t="inlineStr">
        <is>
          <t>农业农村部（主管农机报废更新政策制定和指导实施）；财政部（主管补贴资金管理）；省级农业农村和财政主管部门；县级农业农村（农机）主管部门；农机安全监理机构；农机报废回收企业</t>
        </is>
      </c>
      <c r="V15" s="341" t="inlineStr">
        <is>
          <t>农业或林业机械及其零件</t>
        </is>
      </c>
      <c r="W15" s="341" t="inlineStr">
        <is>
          <t>既有</t>
        </is>
      </c>
      <c r="X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Y15" s="341" t="inlineStr">
        <is>
          <t>N/A</t>
        </is>
      </c>
      <c r="Z15" s="341" t="inlineStr">
        <is>
          <t>拖拉机：大型≥15年、中小型≥10年；联合收割机≥12年；播种机、插秧机≥10年；其他农机按农业农村部规定的报废技术条件。未达报废年限但经检验不合格或严重损坏无法修复的也可提前报废。</t>
        </is>
      </c>
      <c r="AA15" s="341" t="inlineStr">
        <is>
          <t>家庭；企业</t>
        </is>
      </c>
      <c r="AB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C15" s="341" t="inlineStr">
        <is>
          <t>处置、收集或分类（消费后）；购买或使用</t>
        </is>
      </c>
      <c r="AD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E15" s="341" t="inlineStr">
        <is>
          <t>N/A</t>
        </is>
      </c>
      <c r="AF15" s="341" t="inlineStr">
        <is>
          <t>N/A</t>
        </is>
      </c>
      <c r="AG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H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I15" s="341" t="inlineStr">
        <is>
          <t>N/A</t>
        </is>
      </c>
      <c r="AJ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K15" s="341" t="inlineStr">
        <is>
          <t>N/A</t>
        </is>
      </c>
      <c r="AL15" s="341" t="inlineStr">
        <is>
          <t>N/A</t>
        </is>
      </c>
      <c r="AM15" s="341" t="inlineStr">
        <is>
          <t>N/A</t>
        </is>
      </c>
      <c r="AN15" s="341" t="inlineStr">
        <is>
          <t>N/A</t>
        </is>
      </c>
      <c r="AO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P15" s="341" t="inlineStr">
        <is>
          <t>N/A</t>
        </is>
      </c>
      <c r="AQ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R15" s="341" t="inlineStr">
        <is>
          <t>自2024年起作为长期性政策持续实施。农办机〔2024〕4号未规定终止期限，要求'持续实施好'。各省根据中央年度资金安排和本地实际制定年度实施方案。</t>
        </is>
      </c>
      <c r="AS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T15" s="341" t="inlineStr">
        <is>
          <t>N/A</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A01</t>
        </is>
      </c>
      <c r="BG15" s="341" t="inlineStr">
        <is>
          <t>CO2</t>
        </is>
      </c>
      <c r="BH15" s="341" t="inlineStr">
        <is>
          <t>正向</t>
        </is>
      </c>
      <c r="BI15" s="341" t="inlineStr">
        <is>
          <t>污染防治；能源安全；技术创新；产业发展</t>
        </is>
      </c>
      <c r="BJ15" s="341" t="inlineStr">
        <is>
          <t>关于加大工作力度持续实施好农业机械报废更新补贴政策的通知（农办机〔2024〕4号）；推动大规模设备更新和消费品以旧换新行动方案（国发〔2024〕7号）</t>
        </is>
      </c>
      <c r="BK15" s="341" t="inlineStr">
        <is>
          <t>https://www.moa.gov.cn/govpublic/NYJXHGLS/202404/t20240430_6454600.htm</t>
        </is>
      </c>
      <c r="BL15" s="341" t="inlineStr">
        <is>
          <t>https://www.gov.cn/zhengce/content/202403/content_6939136.htm; https://www.ndrc.gov.cn/xxgk/zcfb/tz/202404/t20240409_1364672.html</t>
        </is>
      </c>
      <c r="BM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国家</t>
        </is>
      </c>
      <c r="N16" s="341" t="inlineStr">
        <is>
          <t>N/A</t>
        </is>
      </c>
      <c r="O16" s="341" t="inlineStr">
        <is>
          <t>07/03/2024</t>
        </is>
      </c>
      <c r="P16" s="341" t="inlineStr">
        <is>
          <t>01/04/2024</t>
        </is>
      </c>
      <c r="Q16" s="341" t="inlineStr">
        <is>
          <t>N/A</t>
        </is>
      </c>
      <c r="R16" s="341" t="inlineStr">
        <is>
          <t>N/A</t>
        </is>
      </c>
      <c r="S16" s="341" t="inlineStr">
        <is>
          <t>N/A</t>
        </is>
      </c>
      <c r="T16" s="341">
        <f>IF(P16="","生效",IF(P16="N/A","生效",IF(TODAY()&lt;DATE(VALUE(RIGHT(P16,4)),VALUE(MID(P16,4,2)),VALUE(LEFT(P16,2))),"计划实施",IF(Q16="","生效",IF(Q16="N/A","生效",IF(TODAY()&lt;DATE(VALUE(RIGHT(Q16,4)),VALUE(MID(Q16,4,2)),VALUE(LEFT(Q16,2))),"生效","已终止"))))))</f>
        <v/>
      </c>
      <c r="U16" s="341" t="inlineStr">
        <is>
          <t>商务部（主管家电以旧换新政策协调和组织实施）；财政部（主管补贴资金管理）；国家发展改革委；工业和信息化部；市场监管总局；省级商务、财政主管部门；参与活动的家电销售企业和回收企业</t>
        </is>
      </c>
      <c r="V16" s="341" t="inlineStr">
        <is>
          <t>家用电器及其零件</t>
        </is>
      </c>
      <c r="W16" s="341" t="inlineStr">
        <is>
          <t>既有</t>
        </is>
      </c>
      <c r="X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Y16" s="341" t="inlineStr">
        <is>
          <t>N/A</t>
        </is>
      </c>
      <c r="Z16" s="341" t="inlineStr">
        <is>
          <t>旧家电无严格年限要求，但须为消费者家庭在用的产品，由回收企业上门回收或消费者交售至指定回收点。新购家电须达到2级及以上能效（水效）标准，须为在中国境内销售的正规渠道产品。</t>
        </is>
      </c>
      <c r="AA16" s="341" t="inlineStr">
        <is>
          <t>家庭</t>
        </is>
      </c>
      <c r="AB16" s="341" t="inlineStr">
        <is>
          <t>中国境内居民家庭的个人消费者。消费者须通过指定销售渠道（参与活动的线上线下家电销售企业）交售旧家电并购买新家电。每人每类家电限享受一次补贴。</t>
        </is>
      </c>
      <c r="AC16" s="341" t="inlineStr">
        <is>
          <t>处置、收集或分类（消费后）；购买或使用</t>
        </is>
      </c>
      <c r="AD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E16" s="341" t="inlineStr">
        <is>
          <t>10-20</t>
        </is>
      </c>
      <c r="AF16" s="341" t="inlineStr">
        <is>
          <t>% 新家电销售价格</t>
        </is>
      </c>
      <c r="AG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H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I16" s="341" t="inlineStr">
        <is>
          <t>N/A</t>
        </is>
      </c>
      <c r="AJ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K16" s="341" t="inlineStr">
        <is>
          <t>N/A</t>
        </is>
      </c>
      <c r="AL16" s="341" t="inlineStr">
        <is>
          <t>N/A</t>
        </is>
      </c>
      <c r="AM16" s="341" t="inlineStr">
        <is>
          <t>N/A</t>
        </is>
      </c>
      <c r="AN16" s="341" t="inlineStr">
        <is>
          <t>N/A</t>
        </is>
      </c>
      <c r="AO16" s="341" t="inlineStr">
        <is>
          <t>补贴比例为销售价格的10%-20%。单品最高补贴500-2000元（视品类和能效等级）。每名消费者每类家电限享受一次补贴。参与企业单品类补贴总额和全品类补贴总额由地方商务部门按年度预算控制。</t>
        </is>
      </c>
      <c r="AP16" s="341" t="inlineStr">
        <is>
          <t>N/A</t>
        </is>
      </c>
      <c r="AQ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R16" s="341" t="inlineStr">
        <is>
          <t>自2024年4月实施，未规定终止期限。中央财政按年度和批次安排补贴资金额度。各省根据本地消费市场和财政状况确定具体实施周期和批次。</t>
        </is>
      </c>
      <c r="AS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T16" s="341" t="inlineStr">
        <is>
          <t>N/A</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G47</t>
        </is>
      </c>
      <c r="BG16" s="341" t="inlineStr">
        <is>
          <t>CO2</t>
        </is>
      </c>
      <c r="BH16" s="341" t="inlineStr">
        <is>
          <t>正向</t>
        </is>
      </c>
      <c r="BI16" s="341" t="inlineStr">
        <is>
          <t>污染防治；能源安全；产业发展</t>
        </is>
      </c>
      <c r="BJ16" s="341" t="inlineStr">
        <is>
          <t>关于促进家电以旧换新进一步释放消费潜力的通知（商消费发〔2024〕18号）；推动大规模设备更新和消费品以旧换新行动方案（国发〔2024〕7号）</t>
        </is>
      </c>
      <c r="BK16" s="341" t="inlineStr">
        <is>
          <t>https://www.gov.cn/zhengce/zhengceku/202404/content_6943188.htm</t>
        </is>
      </c>
      <c r="BL16" s="341" t="inlineStr">
        <is>
          <t>https://www.gov.cn/zhengce/content/202403/content_6939136.htm</t>
        </is>
      </c>
      <c r="BM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绿色经济；绿色金融</t>
        </is>
      </c>
      <c r="L17" s="341" t="inlineStr">
        <is>
          <t>间接</t>
        </is>
      </c>
      <c r="M17" s="341" t="inlineStr">
        <is>
          <t>国家</t>
        </is>
      </c>
      <c r="N17" s="341" t="inlineStr">
        <is>
          <t>N/A</t>
        </is>
      </c>
      <c r="O17" s="341" t="inlineStr">
        <is>
          <t>01/06/2018</t>
        </is>
      </c>
      <c r="P17" s="341" t="inlineStr">
        <is>
          <t>01/06/2018</t>
        </is>
      </c>
      <c r="Q17" s="341" t="inlineStr">
        <is>
          <t>N/A</t>
        </is>
      </c>
      <c r="R17" s="341" t="inlineStr">
        <is>
          <t>N/A</t>
        </is>
      </c>
      <c r="S17" s="341" t="inlineStr">
        <is>
          <t>N/A</t>
        </is>
      </c>
      <c r="T17" s="341">
        <f>IF(P17="","生效",IF(P17="N/A","生效",IF(TODAY()&lt;DATE(VALUE(RIGHT(P17,4)),VALUE(MID(P17,4,2)),VALUE(LEFT(P17,2))),"计划实施",IF(Q17="","生效",IF(Q17="N/A","生效",IF(TODAY()&lt;DATE(VALUE(RIGHT(Q17,4)),VALUE(MID(Q17,4,2)),VALUE(LEFT(Q17,2))),"生效","已终止"))))))</f>
        <v/>
      </c>
      <c r="U17" s="341" t="inlineStr">
        <is>
          <t>中国人民银行</t>
        </is>
      </c>
      <c r="V17" s="341" t="inlineStr">
        <is>
          <t>绿色金融债券；绿色贷款</t>
        </is>
      </c>
      <c r="W17" s="341" t="inlineStr">
        <is>
          <t>既有</t>
        </is>
      </c>
      <c r="X17" s="341" t="inlineStr">
        <is>
          <t>MLF操作合格担保品：不低于AA级的绿色金融债券和优质绿色贷款。</t>
        </is>
      </c>
      <c r="Y17" s="341" t="inlineStr">
        <is>
          <t>N/A</t>
        </is>
      </c>
      <c r="Z17" s="341" t="inlineStr">
        <is>
          <t>绿色金融债券评级不低于AA级；绿色贷款须为优质贷款。</t>
        </is>
      </c>
      <c r="AA17" s="341" t="inlineStr">
        <is>
          <t>企业</t>
        </is>
      </c>
      <c r="AB17" s="341" t="inlineStr">
        <is>
          <t>参与MLF操作的金融机构，特别是持有或发放合格绿色金融资产的商业银行。</t>
        </is>
      </c>
      <c r="AC17" s="341" t="inlineStr">
        <is>
          <t>担保品接受和信贷支持</t>
        </is>
      </c>
      <c r="AD17" s="341" t="inlineStr">
        <is>
          <t>将绿色金融债券和绿色贷款接受为央行中期借贷便利操作的合格担保品。</t>
        </is>
      </c>
      <c r="AE17" s="341" t="inlineStr">
        <is>
          <t>N/A</t>
        </is>
      </c>
      <c r="AF17" s="341" t="inlineStr">
        <is>
          <t>N/A</t>
        </is>
      </c>
      <c r="AG17" s="341" t="inlineStr">
        <is>
          <t>该通知调整担保品资格，不设置单位补贴率或排放强度。</t>
        </is>
      </c>
      <c r="AH17" s="341" t="inlineStr">
        <is>
          <t>新纳入不低于AA级的绿色金融债券和优质绿色贷款作为MLF合格担保品。</t>
        </is>
      </c>
      <c r="AI17" s="341" t="inlineStr">
        <is>
          <t>N/A</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通过人民银行MLF操作中的担保品资格实施；符合条件金融机构以合格担保品参与MLF借款。</t>
        </is>
      </c>
      <c r="AR17" s="341" t="inlineStr">
        <is>
          <t>通知未明确规定。</t>
        </is>
      </c>
      <c r="AS17" s="341" t="inlineStr">
        <is>
          <t>人民银行通过MLF操作规则和担保品审核接受机制执行。</t>
        </is>
      </c>
      <c r="AT17" s="341" t="inlineStr">
        <is>
          <t>N/A</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K64</t>
        </is>
      </c>
      <c r="BG17" s="341" t="inlineStr">
        <is>
          <t>CO2</t>
        </is>
      </c>
      <c r="BH17" s="341" t="inlineStr">
        <is>
          <t>正向</t>
        </is>
      </c>
      <c r="BI17" s="341" t="inlineStr">
        <is>
          <t>能源安全；产业发展</t>
        </is>
      </c>
      <c r="BJ17" s="341" t="inlineStr">
        <is>
          <t>中国人民银行决定适当扩大中期借贷便利（MLF）担保品范围</t>
        </is>
      </c>
      <c r="BK17" s="341" t="inlineStr">
        <is>
          <t>https://www.pbc.gov.cn/zhengcehuobisi/125207/125213/125437/125446/125873/3d10b70283e3479bb6b4b55a38a48399/index.html</t>
        </is>
      </c>
      <c r="BL17" s="341" t="inlineStr">
        <is>
          <t>N/A</t>
        </is>
      </c>
      <c r="BM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绿色经济；减缓气候变化；绿色金融</t>
        </is>
      </c>
      <c r="L18" s="341" t="inlineStr">
        <is>
          <t>间接</t>
        </is>
      </c>
      <c r="M18" s="341" t="inlineStr">
        <is>
          <t>国家</t>
        </is>
      </c>
      <c r="N18" s="341" t="inlineStr">
        <is>
          <t>N/A</t>
        </is>
      </c>
      <c r="O18" s="341" t="inlineStr">
        <is>
          <t>08/11/2021</t>
        </is>
      </c>
      <c r="P18" s="341" t="inlineStr">
        <is>
          <t>08/11/2021</t>
        </is>
      </c>
      <c r="Q18" s="341" t="inlineStr">
        <is>
          <t>31/12/2027</t>
        </is>
      </c>
      <c r="R18" s="341" t="inlineStr">
        <is>
          <t>15/01/2026</t>
        </is>
      </c>
      <c r="S18" s="341" t="inlineStr">
        <is>
          <t>修订来源记录碳减排支持工具延续至2027年末。2026年1月15日人民银行来源还披露，该工具支持领域拓展，全年操作量不超过8000亿元。</t>
        </is>
      </c>
      <c r="T18" s="341">
        <f>IF(P18="","生效",IF(P18="N/A","生效",IF(TODAY()&lt;DATE(VALUE(RIGHT(P18,4)),VALUE(MID(P18,4,2)),VALUE(LEFT(P18,2))),"计划实施",IF(Q18="","生效",IF(Q18="N/A","生效",IF(TODAY()&lt;DATE(VALUE(RIGHT(Q18,4)),VALUE(MID(Q18,4,2)),VALUE(LEFT(Q18,2))),"生效","已终止"))))))</f>
        <v/>
      </c>
      <c r="U18" s="341" t="inlineStr">
        <is>
          <t>中国人民银行</t>
        </is>
      </c>
      <c r="V18" s="341" t="inlineStr">
        <is>
          <t>碳减排贷款</t>
        </is>
      </c>
      <c r="W18" s="341" t="inlineStr">
        <is>
          <t>新建</t>
        </is>
      </c>
      <c r="X18" s="341" t="inlineStr">
        <is>
          <t>合格金融机构向碳减排重点领域企业发放的贷款，重点领域包括清洁能源、节能环保和碳减排技术。</t>
        </is>
      </c>
      <c r="Y18" s="341" t="inlineStr">
        <is>
          <t>N/A</t>
        </is>
      </c>
      <c r="Z18" s="341" t="inlineStr">
        <is>
          <t>人民银行资金支持额度为合格碳减排贷款本金的60%。</t>
        </is>
      </c>
      <c r="AA18" s="341" t="inlineStr">
        <is>
          <t>企业</t>
        </is>
      </c>
      <c r="AB18" s="341" t="inlineStr">
        <is>
          <t>发放碳减排贷款的合格金融机构，以及获得合格碳减排项目贷款的企业。</t>
        </is>
      </c>
      <c r="AC18" s="341" t="inlineStr">
        <is>
          <t>碳减排贷款发放和再贷款资金支持</t>
        </is>
      </c>
      <c r="AD18" s="341" t="inlineStr">
        <is>
          <t>金融机构先发放合格碳减排贷款，再按“先贷后借”机制向人民银行申请低成本资金支持。</t>
        </is>
      </c>
      <c r="AE18" s="341" t="inlineStr">
        <is>
          <t>1.75</t>
        </is>
      </c>
      <c r="AF18" s="341" t="inlineStr">
        <is>
          <t>% 年利率</t>
        </is>
      </c>
      <c r="AG18" s="341" t="inlineStr">
        <is>
          <t>来源：人民银行2021年11月推出该工具时披露，向金融机构提供资金的利率为1.75%；支持额度为合格碳减排贷款本金的60%。</t>
        </is>
      </c>
      <c r="AH18" s="341" t="inlineStr">
        <is>
          <t>金融机构自主决策、自担风险；合格贷款须投向碳减排重点领域，并按要求披露贷款和碳减排效应信息、接受核验。</t>
        </is>
      </c>
      <c r="AI18" s="341" t="inlineStr">
        <is>
          <t>人民银行支持额度 = 合格碳减排贷款本金的60%。</t>
        </is>
      </c>
      <c r="AJ18" s="341" t="inlineStr">
        <is>
          <t>贷款合格性依据人民银行规定的碳减排重点领域和项目信息要求进行审核。</t>
        </is>
      </c>
      <c r="AK18" s="341" t="inlineStr">
        <is>
          <t>N/A</t>
        </is>
      </c>
      <c r="AL18" s="341" t="inlineStr">
        <is>
          <t>N/A</t>
        </is>
      </c>
      <c r="AM18" s="341" t="inlineStr">
        <is>
          <t>N/A</t>
        </is>
      </c>
      <c r="AN18" s="341" t="inlineStr">
        <is>
          <t>N/A</t>
        </is>
      </c>
      <c r="AO18" s="341" t="inlineStr">
        <is>
          <t>来源：2026年1月15日人民银行；合格贷款本金的60%；全年操作量不超过8000亿元</t>
        </is>
      </c>
      <c r="AP18" s="341" t="inlineStr">
        <is>
          <t>人民银行资金利率1.75%；支持额度为合格贷款本金的60%。</t>
        </is>
      </c>
      <c r="AQ18" s="341" t="inlineStr">
        <is>
          <t>先贷后借：金融机构先发放合格碳减排贷款，再向人民银行申请低成本资金支持。</t>
        </is>
      </c>
      <c r="AR18" s="341" t="inlineStr">
        <is>
          <t>人民银行资金期限1年，可展期2次；该工具已延续至31/12/2027。</t>
        </is>
      </c>
      <c r="AS18" s="341" t="inlineStr">
        <is>
          <t>人民银行开展合格性审核，并通过贷款和碳减排信息披露、第三方核验碳减排效果等机制执行。</t>
        </is>
      </c>
      <c r="AT18" s="341" t="inlineStr">
        <is>
          <t>N/A</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K64</t>
        </is>
      </c>
      <c r="BG18" s="341" t="inlineStr">
        <is>
          <t>CO2</t>
        </is>
      </c>
      <c r="BH18" s="341" t="inlineStr">
        <is>
          <t>正向</t>
        </is>
      </c>
      <c r="BI18" s="341" t="inlineStr">
        <is>
          <t>污染防治；能源安全；技术创新；产业发展</t>
        </is>
      </c>
      <c r="BJ18" s="341" t="inlineStr">
        <is>
          <t>碳减排支持工具</t>
        </is>
      </c>
      <c r="BK18" s="341" t="inlineStr">
        <is>
          <t>https://www.pbc.gov.cn/goutongjiaoliu/113456/113469/2025092212552065420/index.html</t>
        </is>
      </c>
      <c r="BL18" s="341" t="inlineStr">
        <is>
          <t>https://www.pbc.gov.cn/goutongjiaoliu/113456/113469/2026011515253112924/index.html</t>
        </is>
      </c>
      <c r="BM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国家</t>
        </is>
      </c>
      <c r="N19" s="341" t="inlineStr">
        <is>
          <t>N/A</t>
        </is>
      </c>
      <c r="O19" s="341" t="inlineStr">
        <is>
          <t>21/06/2024</t>
        </is>
      </c>
      <c r="P19" s="341" t="inlineStr">
        <is>
          <t>07/03/2024</t>
        </is>
      </c>
      <c r="Q19" s="341" t="inlineStr">
        <is>
          <t>31/12/2026</t>
        </is>
      </c>
      <c r="R19" s="341" t="inlineStr">
        <is>
          <t>19/01/2026</t>
        </is>
      </c>
      <c r="S19" s="341" t="inlineStr">
        <is>
          <t>2026年优化实施通知自2026年1月1日起施行，扩大支持范围和支持领域，将贴息提高至1.5个百分点，增加经办银行，优化贴息流程，并规定与2024年通知不一致的以2026年通知为准。</t>
        </is>
      </c>
      <c r="T19" s="341">
        <f>IF(P19="","生效",IF(P19="N/A","生效",IF(TODAY()&lt;DATE(VALUE(RIGHT(P19,4)),VALUE(MID(P19,4,2)),VALUE(LEFT(P19,2))),"计划实施",IF(Q19="","生效",IF(Q19="N/A","生效",IF(TODAY()&lt;DATE(VALUE(RIGHT(Q19,4)),VALUE(MID(Q19,4,2)),VALUE(LEFT(Q19,2))),"生效","已终止"))))))</f>
        <v/>
      </c>
      <c r="U19" s="341" t="inlineStr">
        <is>
          <t>财政部；国家发展改革委；中国人民银行；金融监管总局；相关行业主管部门</t>
        </is>
      </c>
      <c r="V19" s="341" t="inlineStr">
        <is>
          <t>设备更新固定资产贷款；科技创新类贷款</t>
        </is>
      </c>
      <c r="W19" s="341" t="inlineStr">
        <is>
          <t>新建；既有</t>
        </is>
      </c>
      <c r="X19" s="341" t="inlineStr">
        <is>
          <t>经营主体用于设备更新和技术改造项目的合格银行贷款。2026年通知覆盖设备更新项目相关固定资产贷款，以及科技创新和技术改造再贷款政策支持的、银行2026年起新发放的科技创新类贷款。</t>
        </is>
      </c>
      <c r="Y19" s="341" t="inlineStr">
        <is>
          <t>N/A</t>
        </is>
      </c>
      <c r="Z19" s="341" t="inlineStr">
        <is>
          <t>合格贷款须支持政策覆盖的设备更新领域；2026年政策实施至31/12/2026，后续可视情延长。</t>
        </is>
      </c>
      <c r="AA19" s="341" t="inlineStr">
        <is>
          <t>企业</t>
        </is>
      </c>
      <c r="AB19" s="341" t="inlineStr">
        <is>
          <t>为合格设备更新或技术改造项目取得银行贷款的经营主体。</t>
        </is>
      </c>
      <c r="AC19" s="341" t="inlineStr">
        <is>
          <t>设备更新贷款融资和财政贴息</t>
        </is>
      </c>
      <c r="AD19" s="341" t="inlineStr">
        <is>
          <t>银行发放合格设备更新贷款，中央财政资金对部分贷款利息成本给予贴息。2026年通知采用“预拨+结算”方式，并明确财政贴息不再以贷款获得再贷款支持为前提。</t>
        </is>
      </c>
      <c r="AE19" s="341" t="inlineStr">
        <is>
          <t>1.5</t>
        </is>
      </c>
      <c r="AF19" s="341" t="inlineStr">
        <is>
          <t>百分点贷款贴息</t>
        </is>
      </c>
      <c r="AG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H19" s="341" t="inlineStr">
        <is>
          <t>贷款资金须用于政策范围内的设备更新和技术改造项目，不得用于偿还其他债务、投资理财等套利活动；借款主体、贷款银行和财政部门按通知规定履行申请、审核、核验、贴息拨付和报送程序。</t>
        </is>
      </c>
      <c r="AI19" s="341" t="inlineStr">
        <is>
          <t>贴息金额 = 合格贷款本金和利息计算基础 × 政策贴息率 × 合格期限。</t>
        </is>
      </c>
      <c r="AJ19" s="341" t="inlineStr">
        <is>
          <t>贷款合格性依据设备更新贷款财政贴息政策范围和银行贷款材料审核。</t>
        </is>
      </c>
      <c r="AK19" s="341" t="inlineStr">
        <is>
          <t>N/A</t>
        </is>
      </c>
      <c r="AL19" s="341" t="inlineStr">
        <is>
          <t>N/A</t>
        </is>
      </c>
      <c r="AM19" s="341" t="inlineStr">
        <is>
          <t>N/A</t>
        </is>
      </c>
      <c r="AN19" s="341" t="inlineStr">
        <is>
          <t>N/A</t>
        </is>
      </c>
      <c r="AO19" s="341" t="inlineStr">
        <is>
          <t>2026年优化政策贴息1.5个百分点；2024年通知贴息1个百分点。贴息期限不超过2年。</t>
        </is>
      </c>
      <c r="AP19" s="341" t="inlineStr">
        <is>
          <t>2026年政策贴息率上限为1.5个百分点；支持期限不超过2年。</t>
        </is>
      </c>
      <c r="AQ19" s="341" t="inlineStr">
        <is>
          <t>中央财政通过经办银行对合格设备更新贷款给予财政贴息；2026年流程采用“预拨+结算”。</t>
        </is>
      </c>
      <c r="AR19" s="341" t="inlineStr">
        <is>
          <t>贴息期限不超过2年；优化政策实施至31/12/2026，后续可视情延长。</t>
        </is>
      </c>
      <c r="AS19" s="341" t="inlineStr">
        <is>
          <t>财政、发展改革、行业主管、人民银行、金融监管部门和经办银行开展合格性审核、贷款用途核验、信息报送、抽查、违规贴息资金追回及对违规银行追责。</t>
        </is>
      </c>
      <c r="AT19" s="341" t="inlineStr">
        <is>
          <t>N/A</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K64</t>
        </is>
      </c>
      <c r="BG19" s="341" t="inlineStr">
        <is>
          <t>CO2</t>
        </is>
      </c>
      <c r="BH19" s="341" t="inlineStr">
        <is>
          <t>正向</t>
        </is>
      </c>
      <c r="BI19" s="341" t="inlineStr">
        <is>
          <t>能源安全；技术创新；产业发展</t>
        </is>
      </c>
      <c r="BJ19" s="341" t="inlineStr">
        <is>
          <t>关于实施设备更新贷款财政贴息政策的通知</t>
        </is>
      </c>
      <c r="BK19" s="341" t="inlineStr">
        <is>
          <t>https://www.gov.cn/zhengce/zhengceku/202406/content_6959323.htm</t>
        </is>
      </c>
      <c r="BL19" s="341" t="inlineStr">
        <is>
          <t>https://www.gov.cn/zhengce/zhengceku/202601/content_7055549.htm</t>
        </is>
      </c>
      <c r="BM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减缓气候变化；绿色金融</t>
        </is>
      </c>
      <c r="L20" s="341" t="inlineStr">
        <is>
          <t>直接</t>
        </is>
      </c>
      <c r="M20" s="341" t="inlineStr">
        <is>
          <t>国家</t>
        </is>
      </c>
      <c r="N20" s="341" t="inlineStr">
        <is>
          <t>N/A</t>
        </is>
      </c>
      <c r="O20" s="341" t="inlineStr">
        <is>
          <t>14/09/2010</t>
        </is>
      </c>
      <c r="P20" s="341" t="inlineStr">
        <is>
          <t>14/09/2010</t>
        </is>
      </c>
      <c r="Q20" s="341" t="inlineStr">
        <is>
          <t>N/A</t>
        </is>
      </c>
      <c r="R20" s="341" t="inlineStr">
        <is>
          <t>28/06/2022</t>
        </is>
      </c>
      <c r="S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T20" s="341">
        <f>IF(P20="","生效",IF(P20="N/A","生效",IF(TODAY()&lt;DATE(VALUE(RIGHT(P20,4)),VALUE(MID(P20,4,2)),VALUE(LEFT(P20,2))),"计划实施",IF(Q20="","生效",IF(Q20="N/A","生效",IF(TODAY()&lt;DATE(VALUE(RIGHT(Q20,4)),VALUE(MID(Q20,4,2)),VALUE(LEFT(Q20,2))),"生效","已终止"))))))</f>
        <v/>
      </c>
      <c r="U20" s="341" t="inlineStr">
        <is>
          <t>基金政策指导委员会（财政部、生态环境部、发展改革委、外交部、科技部、农业农村部、气象局七部委代表组成的部际议事机构）；财政部（归口管理基金管理中心）；基金管理中心（负责基金筹集、管理和使用）</t>
        </is>
      </c>
      <c r="V20" s="341" t="inlineStr">
        <is>
          <t>碳达峰碳中和项目（减排技术升级、能效提升、可再生能源、低碳交通）；污染防治设施；生态保护设施；清洁发展机制项目</t>
        </is>
      </c>
      <c r="W20" s="341" t="inlineStr">
        <is>
          <t>新建；既有</t>
        </is>
      </c>
      <c r="X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Y20" s="341" t="inlineStr">
        <is>
          <t>基金为政策性基金，按市场化模式运作，有一定的回收和再投资循环机制。有偿使用的债权投资（优惠贷款）期限一般不超过10年，利率低于商业贷款利率。</t>
        </is>
      </c>
      <c r="Z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A20" s="341" t="inlineStr">
        <is>
          <t>企业；政府</t>
        </is>
      </c>
      <c r="AB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C20" s="341" t="inlineStr">
        <is>
          <t>投资；购买或使用</t>
        </is>
      </c>
      <c r="AD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E20" s="341" t="inlineStr">
        <is>
          <t>N/A</t>
        </is>
      </c>
      <c r="AF20" s="341" t="inlineStr">
        <is>
          <t>N/A</t>
        </is>
      </c>
      <c r="AG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H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I20" s="341" t="inlineStr">
        <is>
          <t>N/A</t>
        </is>
      </c>
      <c r="AJ20" s="341" t="inlineStr">
        <is>
          <t>N/A</t>
        </is>
      </c>
      <c r="AK20" s="341" t="inlineStr"/>
      <c r="AL20" s="341" t="inlineStr"/>
      <c r="AM20" s="341" t="inlineStr"/>
      <c r="AN20" s="341" t="inlineStr">
        <is>
          <t>不公开发布。基金年度新增赠款和有偿使用承诺额不按规定对外公布。CDM基金为非公开预算专项，不列入中央预算内投资专项的统一年度拨款统计。</t>
        </is>
      </c>
      <c r="AO20" s="341" t="inlineStr">
        <is>
          <t>N/A</t>
        </is>
      </c>
      <c r="AP20" s="341" t="inlineStr">
        <is>
          <t>N/A</t>
        </is>
      </c>
      <c r="AQ20" s="341" t="inlineStr">
        <is>
          <t>N/A</t>
        </is>
      </c>
      <c r="AR20" s="341" t="inlineStr">
        <is>
          <t>N/A</t>
        </is>
      </c>
      <c r="AS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T20" s="341" t="inlineStr"/>
      <c r="AU20" s="341" t="inlineStr"/>
      <c r="AV20" s="341" t="inlineStr"/>
      <c r="AW20" s="341" t="inlineStr"/>
      <c r="AX20" s="341" t="inlineStr"/>
      <c r="AY20" s="341" t="inlineStr"/>
      <c r="AZ20" s="341" t="inlineStr"/>
      <c r="BA20" s="341" t="inlineStr"/>
      <c r="BB20" s="341" t="inlineStr"/>
      <c r="BC20" s="341" t="inlineStr"/>
      <c r="BD20" s="341" t="inlineStr">
        <is>
          <t>N/A</t>
        </is>
      </c>
      <c r="BE20" s="341" t="inlineStr">
        <is>
          <t>N/A</t>
        </is>
      </c>
      <c r="BF20" s="341" t="inlineStr">
        <is>
          <t>D35; C24; C23; C19; C20; C28; H49; A01; A02; A03; E36; E37; E38; E39</t>
        </is>
      </c>
      <c r="BG20" s="341" t="inlineStr">
        <is>
          <t>CO2; CH4; N2O; HFCs</t>
        </is>
      </c>
      <c r="BH20" s="341" t="inlineStr">
        <is>
          <t>正向</t>
        </is>
      </c>
      <c r="BI20" s="341" t="inlineStr">
        <is>
          <t>技术创新；产业发展；污染防治；生态保护</t>
        </is>
      </c>
      <c r="BJ20" s="341" t="inlineStr">
        <is>
          <t>中国清洁发展机制基金管理办法（七部委令第111号，2022）</t>
        </is>
      </c>
      <c r="BK20" s="341" t="inlineStr">
        <is>
          <t>https://www.gov.cn/zhengce/202309/content_6902627.htm</t>
        </is>
      </c>
      <c r="BL20" s="341" t="inlineStr">
        <is>
          <t>https://www.moj.gov.cn/pub/sfbgw/flfggz/flfggzbmgz/202305/t20230508_478349.html; https://www.cdmfund.cn</t>
        </is>
      </c>
      <c r="BM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国家</t>
        </is>
      </c>
      <c r="N21" s="341" t="inlineStr">
        <is>
          <t>N/A</t>
        </is>
      </c>
      <c r="O21" s="341" t="inlineStr">
        <is>
          <t>30/04/2024</t>
        </is>
      </c>
      <c r="P21" s="341" t="inlineStr">
        <is>
          <t>30/04/2024</t>
        </is>
      </c>
      <c r="Q21" s="341" t="inlineStr">
        <is>
          <t>31/12/2026</t>
        </is>
      </c>
      <c r="R21" s="341" t="inlineStr">
        <is>
          <t>06/09/2024</t>
        </is>
      </c>
      <c r="S21" s="341" t="inlineStr">
        <is>
          <t>农业农村部办公厅、财政部办公厅于2024年9月6日印发2024—2026年全国通用类农业机械中央财政资金最高补贴额一览表（农办机〔2024〕6号），细化通用类农机具的最高补贴额度。</t>
        </is>
      </c>
      <c r="T21" s="341">
        <f>IF(P21="","生效",IF(P21="N/A","生效",IF(TODAY()&lt;DATE(VALUE(RIGHT(P21,4)),VALUE(MID(P21,4,2)),VALUE(LEFT(P21,2))),"计划实施",IF(Q21="","生效",IF(Q21="N/A","生效",IF(TODAY()&lt;DATE(VALUE(RIGHT(Q21,4)),VALUE(MID(Q21,4,2)),VALUE(LEFT(Q21,2))),"生效","已终止"))))))</f>
        <v/>
      </c>
      <c r="U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V21" s="341" t="inlineStr">
        <is>
          <t>农业或林业机械及零部件</t>
        </is>
      </c>
      <c r="W21" s="341" t="inlineStr">
        <is>
          <t>新建</t>
        </is>
      </c>
      <c r="X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Y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Z21" s="341" t="inlineStr">
        <is>
          <t>新能源农机须通过省级及以上农机鉴定（认证）机构鉴定或认证，并报农业农村部、财政部备案。常规农机补贴测算比例30%，新能源农机提高至35%，通过提标支持的补贴额可高于常规最高限额20%以内。</t>
        </is>
      </c>
      <c r="AA21" s="341" t="inlineStr">
        <is>
          <t>家庭；企业</t>
        </is>
      </c>
      <c r="AB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C21" s="341" t="inlineStr">
        <is>
          <t>购买或使用</t>
        </is>
      </c>
      <c r="AD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E21" s="341" t="inlineStr">
        <is>
          <t>35</t>
        </is>
      </c>
      <c r="AF21" s="341" t="inlineStr">
        <is>
          <t>%（补贴测算比例）</t>
        </is>
      </c>
      <c r="AG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H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I21" s="341" t="inlineStr">
        <is>
          <t>N/A</t>
        </is>
      </c>
      <c r="AJ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K21" s="341" t="inlineStr">
        <is>
          <t>N/A</t>
        </is>
      </c>
      <c r="AL21" s="341" t="inlineStr">
        <is>
          <t>N/A</t>
        </is>
      </c>
      <c r="AM21" s="341" t="inlineStr">
        <is>
          <t>N/A</t>
        </is>
      </c>
      <c r="AN21" s="341" t="inlineStr">
        <is>
          <t>N/A</t>
        </is>
      </c>
      <c r="AO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P21" s="341" t="inlineStr">
        <is>
          <t>N/A</t>
        </is>
      </c>
      <c r="AQ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R21" s="341" t="inlineStr">
        <is>
          <t>2024年4月30日至2026年12月31日（与2024—2026年农机购置与应用补贴实施意见实施期限一致）。补贴申请应在购机后规定期限内提交（具体期限由各省份自行确定）。</t>
        </is>
      </c>
      <c r="AS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T21" s="341" t="inlineStr">
        <is>
          <t>N/A</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A01</t>
        </is>
      </c>
      <c r="BG21" s="341" t="inlineStr">
        <is>
          <t>CO2</t>
        </is>
      </c>
      <c r="BH21" s="341" t="inlineStr">
        <is>
          <t>正向</t>
        </is>
      </c>
      <c r="BI21" s="341" t="inlineStr">
        <is>
          <t>污染防治；技术创新</t>
        </is>
      </c>
      <c r="BJ21" s="341" t="inlineStr">
        <is>
          <t>2024—2026年农机购置与应用补贴实施意见（农办机〔2024〕3号）；2024—2026年全国通用类农业机械中央财政资金最高补贴额一览表（农办机〔2024〕6号）；农业机械化促进法</t>
        </is>
      </c>
      <c r="BK21" s="341" t="inlineStr">
        <is>
          <t>https://www.moa.gov.cn/govpublic/NYJXHGLS/202406/t20240604_6456671.htm</t>
        </is>
      </c>
      <c r="BL21" s="341" t="inlineStr">
        <is>
          <t>https://www.moa.gov.cn/nybgb/2024/202410/202410/t20241022_6464800.htm</t>
        </is>
      </c>
      <c r="BM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国家</t>
        </is>
      </c>
      <c r="N22" s="341" t="inlineStr">
        <is>
          <t>N/A</t>
        </is>
      </c>
      <c r="O22" s="341" t="inlineStr">
        <is>
          <t>30/07/2024</t>
        </is>
      </c>
      <c r="P22" s="341" t="inlineStr">
        <is>
          <t>31/07/2024</t>
        </is>
      </c>
      <c r="Q22" s="341" t="inlineStr">
        <is>
          <t>31/12/2026</t>
        </is>
      </c>
      <c r="R22" s="341" t="inlineStr">
        <is>
          <t>20/03/2026</t>
        </is>
      </c>
      <c r="S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T22" s="341">
        <f>IF(P22="","生效",IF(P22="N/A","生效",IF(TODAY()&lt;DATE(VALUE(RIGHT(P22,4)),VALUE(MID(P22,4,2)),VALUE(LEFT(P22,2))),"计划实施",IF(Q22="","生效",IF(Q22="N/A","生效",IF(TODAY()&lt;DATE(VALUE(RIGHT(Q22,4)),VALUE(MID(Q22,4,2)),VALUE(LEFT(Q22,2))),"生效","已终止"))))))</f>
        <v/>
      </c>
      <c r="U22" s="341" t="inlineStr">
        <is>
          <t>交通运输部（主管营运货车资质审核和报废更新资格认定）；财政部（主管补贴资金管理和拨付）；公安部（主管车辆注销登记）；商务部（主管报废机动车回收拆解管理）；省级交通运输、财政、公安和商务主管部门</t>
        </is>
      </c>
      <c r="V22" s="341" t="inlineStr">
        <is>
          <t>道路车辆</t>
        </is>
      </c>
      <c r="W22" s="341" t="inlineStr">
        <is>
          <t>既有</t>
        </is>
      </c>
      <c r="X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Y22" s="341" t="inlineStr">
        <is>
          <t>N/A</t>
        </is>
      </c>
      <c r="Z22" s="341" t="inlineStr">
        <is>
          <t>国三及以下排放标准营运柴油货车。报废补贴按提前报废年限分三档（满1年不足2年；满2年不足4年；满4年以上）。新购补贴按车型（中型/重型2轴/3轴/4轴及以上）和燃料类型（国六柴油/新能源）分档。</t>
        </is>
      </c>
      <c r="AA22" s="341" t="inlineStr">
        <is>
          <t>企业</t>
        </is>
      </c>
      <c r="AB22" s="341" t="inlineStr">
        <is>
          <t>持有有效道路运输经营许可证的货运企业（车辆所有人）。包括从事道路普通货运和道路货物专用运输的国有和民营货运企业。</t>
        </is>
      </c>
      <c r="AC22" s="341" t="inlineStr">
        <is>
          <t>处置、收集或分类（消费后）；购买或使用</t>
        </is>
      </c>
      <c r="AD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E22" s="341" t="inlineStr">
        <is>
          <t>1.0-9.5</t>
        </is>
      </c>
      <c r="AF22" s="341" t="inlineStr">
        <is>
          <t>万元/辆</t>
        </is>
      </c>
      <c r="AG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H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I22" s="341" t="inlineStr">
        <is>
          <t>N/A</t>
        </is>
      </c>
      <c r="AJ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K22" s="341" t="inlineStr">
        <is>
          <t>N/A</t>
        </is>
      </c>
      <c r="AL22" s="341" t="inlineStr">
        <is>
          <t>N/A</t>
        </is>
      </c>
      <c r="AM22" s="341" t="inlineStr">
        <is>
          <t>N/A</t>
        </is>
      </c>
      <c r="AN22" s="341" t="inlineStr">
        <is>
          <t>N/A</t>
        </is>
      </c>
      <c r="AO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P22" s="341" t="inlineStr">
        <is>
          <t>N/A</t>
        </is>
      </c>
      <c r="AQ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R22" s="341" t="inlineStr">
        <is>
          <t>2024年7月31日至2024年12月31日。报废更新和新购须在政策有效期内完成，并在规定期限内提交申请。</t>
        </is>
      </c>
      <c r="AS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T22" s="341" t="inlineStr">
        <is>
          <t>N/A</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H49</t>
        </is>
      </c>
      <c r="BG22" s="341" t="inlineStr">
        <is>
          <t>CO2</t>
        </is>
      </c>
      <c r="BH22" s="341" t="inlineStr">
        <is>
          <t>正向</t>
        </is>
      </c>
      <c r="BI22" s="341" t="inlineStr">
        <is>
          <t>污染防治；能源安全；产业发展</t>
        </is>
      </c>
      <c r="BJ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K22" s="341" t="inlineStr">
        <is>
          <t>https://app.www.gov.cn/govdata/gov/202408/02/517908/article.html</t>
        </is>
      </c>
      <c r="BL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国家</t>
        </is>
      </c>
      <c r="N23" s="341" t="inlineStr">
        <is>
          <t>N/A</t>
        </is>
      </c>
      <c r="O23" s="341" t="inlineStr">
        <is>
          <t>24/04/2024</t>
        </is>
      </c>
      <c r="P23" s="341" t="inlineStr">
        <is>
          <t>24/04/2024</t>
        </is>
      </c>
      <c r="Q23" s="341" t="inlineStr">
        <is>
          <t>31/12/2026</t>
        </is>
      </c>
      <c r="R23" s="341" t="inlineStr">
        <is>
          <t>30/12/2025</t>
        </is>
      </c>
      <c r="S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T23" s="341">
        <f>IF(P23="","生效",IF(P23="N/A","生效",IF(TODAY()&lt;DATE(VALUE(RIGHT(P23,4)),VALUE(MID(P23,4,2)),VALUE(LEFT(P23,2))),"计划实施",IF(Q23="","生效",IF(Q23="N/A","生效",IF(TODAY()&lt;DATE(VALUE(RIGHT(Q23,4)),VALUE(MID(Q23,4,2)),VALUE(LEFT(Q23,2))),"生效","已终止"))))))</f>
        <v/>
      </c>
      <c r="U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V23" s="341" t="inlineStr">
        <is>
          <t>道路车辆</t>
        </is>
      </c>
      <c r="W23" s="341" t="inlineStr">
        <is>
          <t>既有</t>
        </is>
      </c>
      <c r="X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Y23" s="341" t="inlineStr">
        <is>
          <t>N/A</t>
        </is>
      </c>
      <c r="Z23" s="341" t="inlineStr">
        <is>
          <t>报废旧车：国三及以下排放标准燃油乘用车，或2018年4月30日前注册登记的新能源乘用车。新购燃油乘用车排量不超过2.0升。</t>
        </is>
      </c>
      <c r="AA23" s="341" t="inlineStr">
        <is>
          <t>家庭</t>
        </is>
      </c>
      <c r="AB23" s="341" t="inlineStr">
        <is>
          <t>个人消费者（自然人），须为报废旧车和新购车辆的所有人，且报废旧车与新购车辆的所有人须为同一人。不包括企业和机构。</t>
        </is>
      </c>
      <c r="AC23" s="341" t="inlineStr">
        <is>
          <t>处置、收集或分类（消费后）；购买或使用</t>
        </is>
      </c>
      <c r="AD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E23" s="341" t="inlineStr">
        <is>
          <t>10%-12% of sales price</t>
        </is>
      </c>
      <c r="AF23" s="341" t="inlineStr">
        <is>
          <t>% of new vehicle sales price</t>
        </is>
      </c>
      <c r="AG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H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I23" s="341" t="inlineStr">
        <is>
          <t>N/A</t>
        </is>
      </c>
      <c r="AJ23" s="341" t="inlineStr">
        <is>
          <t>2026年补贴金额按新车销售价格×对应补贴比例计算，且不超过各车型最高补贴上限。2024-2025年按固定金额制计算。补贴以新购车辆为单位，每人每辆旧车对应一辆新车的补贴。</t>
        </is>
      </c>
      <c r="AK23" s="341" t="inlineStr">
        <is>
          <t>N/A</t>
        </is>
      </c>
      <c r="AL23" s="341" t="inlineStr">
        <is>
          <t>N/A</t>
        </is>
      </c>
      <c r="AM23" s="341" t="inlineStr">
        <is>
          <t>N/A</t>
        </is>
      </c>
      <c r="AN23" s="341" t="inlineStr">
        <is>
          <t>N/A</t>
        </is>
      </c>
      <c r="AO23" s="341" t="inlineStr">
        <is>
          <t>新能源乘用车：销售价格的12%，最高2.0万元/辆；2.0L及以下燃油乘用车：销售价格的10%，最高1.5万元/辆（2026年标准）。2024-2025年为固定金额：新能源2.0万元/辆、燃油1.5万元/辆。</t>
        </is>
      </c>
      <c r="AP23" s="341" t="inlineStr">
        <is>
          <t>N/A</t>
        </is>
      </c>
      <c r="AQ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R23" s="341" t="inlineStr">
        <is>
          <t>2024年4月24日至2024年12月31日。报废旧车和新购车辆的证明材料须在此期间取得。补贴申请须在规定期限内提交。</t>
        </is>
      </c>
      <c r="AS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T23" s="341" t="inlineStr">
        <is>
          <t>N/A</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H49</t>
        </is>
      </c>
      <c r="BG23" s="341" t="inlineStr">
        <is>
          <t>CO2</t>
        </is>
      </c>
      <c r="BH23" s="341" t="inlineStr">
        <is>
          <t>正向</t>
        </is>
      </c>
      <c r="BI23" s="341" t="inlineStr">
        <is>
          <t>污染防治；能源安全；产业发展</t>
        </is>
      </c>
      <c r="BJ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K23" s="341" t="inlineStr">
        <is>
          <t>http://www.mofcom.gov.cn/zfxxgk/fdzdgknr/ztfl/gnmygl/art/2024/art_00ec662a1a234fa6878308334ad0d728.html</t>
        </is>
      </c>
      <c r="BL23" s="341" t="inlineStr">
        <is>
          <t>https://www.mofcom.gov.cn/zfxxgk/gkml/art/2024/art_d4224d2ebd8b4120875bc99963538fbe.html; https://www.gov.cn/zhengce/zhengceku/202501/content_6999564.htm; https://policy.mofcom.gov.cn/claw/clawContent.shtml?id=104379; https://www.gov.cn/zhengce/content/202403/content_6939136.htm</t>
        </is>
      </c>
      <c r="BM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国家</t>
        </is>
      </c>
      <c r="N24" s="341" t="inlineStr">
        <is>
          <t>N/A</t>
        </is>
      </c>
      <c r="O24" s="341" t="inlineStr">
        <is>
          <t>15/08/2024</t>
        </is>
      </c>
      <c r="P24" s="341" t="inlineStr">
        <is>
          <t>15/08/2024</t>
        </is>
      </c>
      <c r="Q24" s="341" t="inlineStr">
        <is>
          <t>31/12/2026</t>
        </is>
      </c>
      <c r="R24" s="341" t="inlineStr">
        <is>
          <t>30/12/2025</t>
        </is>
      </c>
      <c r="S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T24" s="341">
        <f>IF(P24="","生效",IF(P24="N/A","生效",IF(TODAY()&lt;DATE(VALUE(RIGHT(P24,4)),VALUE(MID(P24,4,2)),VALUE(LEFT(P24,2))),"计划实施",IF(Q24="","生效",IF(Q24="N/A","生效",IF(TODAY()&lt;DATE(VALUE(RIGHT(Q24,4)),VALUE(MID(Q24,4,2)),VALUE(LEFT(Q24,2))),"生效","已终止"))))))</f>
        <v/>
      </c>
      <c r="U24" s="341" t="inlineStr">
        <is>
          <t>商务部（主管汽车以旧换新政策统筹和置换更新框架制定）；财政部（主管补贴资金管理）；省级商务主管部门（制定本地区置换更新补贴方案并组织实施）；省级财政主管部门（主管地方补贴资金拨付）</t>
        </is>
      </c>
      <c r="V24" s="341" t="inlineStr">
        <is>
          <t>道路车辆</t>
        </is>
      </c>
      <c r="W24" s="341" t="inlineStr">
        <is>
          <t>既有</t>
        </is>
      </c>
      <c r="X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Y24" s="341" t="inlineStr">
        <is>
          <t>各省份自行确定旧车转让条件和新购车辆要求。</t>
        </is>
      </c>
      <c r="Z24" s="341" t="inlineStr">
        <is>
          <t>旧车须为个人消费者名下登记注册的乘用车。新购乘用车的排量和能源类型限制由各省份自行确定。置换更新与报废更新补贴不重复享受。</t>
        </is>
      </c>
      <c r="AA24" s="341" t="inlineStr">
        <is>
          <t>家庭</t>
        </is>
      </c>
      <c r="AB24" s="341" t="inlineStr">
        <is>
          <t>个人消费者（自然人），须为转让旧车和新购车辆的同一所有人。不包括企业和机构。转让旧车和购买新车须在同一消费者名下。</t>
        </is>
      </c>
      <c r="AC24" s="341" t="inlineStr">
        <is>
          <t>购买或使用；转移、转让或交易</t>
        </is>
      </c>
      <c r="AD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E24" s="341" t="inlineStr">
        <is>
          <t>6%-8% of sales price</t>
        </is>
      </c>
      <c r="AF24" s="341" t="inlineStr">
        <is>
          <t>% of new vehicle sales price</t>
        </is>
      </c>
      <c r="AG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H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I24" s="341" t="inlineStr">
        <is>
          <t>N/A</t>
        </is>
      </c>
      <c r="AJ24" s="341" t="inlineStr">
        <is>
          <t>2026年补贴金额按新车销售价格×对应补贴比例计算，且不超过各车型最高补贴上限。每位个人消费者只能选择享受一次报废更新或一次置换更新补贴。2024-2025年按各省份自定标准计算。</t>
        </is>
      </c>
      <c r="AK24" s="341" t="inlineStr">
        <is>
          <t>N/A</t>
        </is>
      </c>
      <c r="AL24" s="341" t="inlineStr">
        <is>
          <t>N/A</t>
        </is>
      </c>
      <c r="AM24" s="341" t="inlineStr">
        <is>
          <t>N/A</t>
        </is>
      </c>
      <c r="AN24" s="341" t="inlineStr">
        <is>
          <t>N/A</t>
        </is>
      </c>
      <c r="AO24" s="341" t="inlineStr">
        <is>
          <t>新能源乘用车：销售价格的8%，最高1.5万元/辆；2.0L及以下燃油乘用车：销售价格的6%，最高1.3万元/辆（2026年全国统一标准）。2024-2025年由各省份自行设定。</t>
        </is>
      </c>
      <c r="AP24" s="341" t="inlineStr">
        <is>
          <t>N/A</t>
        </is>
      </c>
      <c r="AQ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R24" s="341" t="inlineStr">
        <is>
          <t>各省份实施期限一般与汽车报废更新补贴政策一致，自2024年8月起至2024年12月31日。具体起止时间以各省份公布的置换更新补贴方案为准。</t>
        </is>
      </c>
      <c r="AS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T24" s="341" t="inlineStr">
        <is>
          <t>N/A</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H49</t>
        </is>
      </c>
      <c r="BG24" s="341" t="inlineStr">
        <is>
          <t>CO2</t>
        </is>
      </c>
      <c r="BH24" s="341" t="inlineStr">
        <is>
          <t>正向</t>
        </is>
      </c>
      <c r="BI24" s="341" t="inlineStr">
        <is>
          <t>污染防治；产业发展</t>
        </is>
      </c>
      <c r="BJ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K24" s="341" t="inlineStr">
        <is>
          <t>https://www.mofcom.gov.cn/zfxxgk/gkml/art/2024/art_d4224d2ebd8b4120875bc99963538fbe.html</t>
        </is>
      </c>
      <c r="BL24" s="341" t="inlineStr">
        <is>
          <t>https://www.mofcom.gov.cn/zfxxgk/gkml/art/2024/art_d4224d2ebd8b4120875bc99963538fbe.html; https://www.gov.cn/zhengce/zhengceku/202501/content_6999564.htm; https://policy.mofcom.gov.cn/claw/clawContent.shtml?id=104379; https://www.gov.cn/zhengce/content/202403/content_6939136.htm</t>
        </is>
      </c>
      <c r="BM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绿色经济；减缓气候变化；能源效率；电气化</t>
        </is>
      </c>
      <c r="L25" s="341" t="inlineStr">
        <is>
          <t>直接</t>
        </is>
      </c>
      <c r="M25" s="341" t="inlineStr">
        <is>
          <t>国家</t>
        </is>
      </c>
      <c r="N25" s="341" t="inlineStr">
        <is>
          <t>N/A</t>
        </is>
      </c>
      <c r="O25" s="341" t="inlineStr">
        <is>
          <t>29/07/2024</t>
        </is>
      </c>
      <c r="P25" s="341" t="inlineStr">
        <is>
          <t>29/07/2024</t>
        </is>
      </c>
      <c r="Q25" s="341" t="inlineStr">
        <is>
          <t>31/12/2026</t>
        </is>
      </c>
      <c r="R25" s="341" t="inlineStr">
        <is>
          <t>01/05/2026</t>
        </is>
      </c>
      <c r="S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T25" s="341">
        <f>IF(P25="","生效",IF(P25="N/A","生效",IF(TODAY()&lt;DATE(VALUE(RIGHT(P25,4)),VALUE(MID(P25,4,2)),VALUE(LEFT(P25,2))),"计划实施",IF(Q25="","生效",IF(Q25="N/A","生效",IF(TODAY()&lt;DATE(VALUE(RIGHT(Q25,4)),VALUE(MID(Q25,4,2)),VALUE(LEFT(Q25,2))),"生效","已终止"))))))</f>
        <v/>
      </c>
      <c r="U25" s="341" t="inlineStr">
        <is>
          <t>交通运输部（主管城市公交行业管理和车辆更新资格审核）；财政部（主管补贴资金管理和拨付）；国家发展改革委（主管投资政策和特别国债资金统筹）；省级交通运输、财政和发展改革主管部门</t>
        </is>
      </c>
      <c r="V25" s="341" t="inlineStr">
        <is>
          <t>道路车辆；电池</t>
        </is>
      </c>
      <c r="W25" s="341" t="inlineStr">
        <is>
          <t>既有</t>
        </is>
      </c>
      <c r="X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Y25" s="341" t="inlineStr">
        <is>
          <t>N/A</t>
        </is>
      </c>
      <c r="Z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A25" s="341" t="inlineStr">
        <is>
          <t>企业</t>
        </is>
      </c>
      <c r="AB25" s="341" t="inlineStr">
        <is>
          <t>依法取得城市公共汽电车线路运营权的城市公交企业。包括国有和民营城市公交运营企业。申请人须为公交车辆的登记所有人和运营人。</t>
        </is>
      </c>
      <c r="AC25" s="341" t="inlineStr">
        <is>
          <t>处置、收集或分类（消费后）；购买或使用</t>
        </is>
      </c>
      <c r="AD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E25" s="341" t="inlineStr">
        <is>
          <t>4.2-8.0</t>
        </is>
      </c>
      <c r="AF25" s="341" t="inlineStr">
        <is>
          <t>万元/辆</t>
        </is>
      </c>
      <c r="AG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H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I25" s="341" t="inlineStr">
        <is>
          <t>N/A</t>
        </is>
      </c>
      <c r="AJ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K25" s="341" t="inlineStr">
        <is>
          <t>N/A</t>
        </is>
      </c>
      <c r="AL25" s="341" t="inlineStr">
        <is>
          <t>N/A</t>
        </is>
      </c>
      <c r="AM25" s="341" t="inlineStr">
        <is>
          <t>N/A</t>
        </is>
      </c>
      <c r="AN25" s="341" t="inlineStr">
        <is>
          <t>N/A</t>
        </is>
      </c>
      <c r="AO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P25" s="341" t="inlineStr">
        <is>
          <t>N/A</t>
        </is>
      </c>
      <c r="AQ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R25" s="341" t="inlineStr">
        <is>
          <t>2026年1月1日至2026年12月31日（现行周期）。2024年为7月29日至12月31日，2025年为1月1日至12月31日。相关证明材料须在当年度内取得，补贴申请截止日期按各年度实施细则执行。</t>
        </is>
      </c>
      <c r="AS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T25" s="341" t="inlineStr">
        <is>
          <t>N/A</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H49</t>
        </is>
      </c>
      <c r="BG25" s="341" t="inlineStr">
        <is>
          <t>CO2</t>
        </is>
      </c>
      <c r="BH25" s="341" t="inlineStr">
        <is>
          <t>正向</t>
        </is>
      </c>
      <c r="BI25" s="341" t="inlineStr">
        <is>
          <t>污染防治；能源安全；公众健康</t>
        </is>
      </c>
      <c r="BJ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K25" s="341" t="inlineStr">
        <is>
          <t>https://www.ndrc.gov.cn/xwdt/ztzl/tddgmsbgxhxfpyjhx/gzdt/202410/t20241031_1394144_ext.html</t>
        </is>
      </c>
      <c r="BL25" s="341" t="inlineStr">
        <is>
          <t>https://xxgk.mot.gov.cn/2020/jigou/ysfws/202409/t20240925_4156949.html; https://policy.mofcom.gov.cn/claw/clawContent.shtml?id=103251; https://www.gov.cn/zhengce/content/202403/content_6939136.htm; https://www.ndrc.gov.cn/xxgk/zcfb/tz/202404/t20240409_1364672.html</t>
        </is>
      </c>
      <c r="BM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非化石能源；绿色经济</t>
        </is>
      </c>
      <c r="L26" s="341" t="inlineStr">
        <is>
          <t>直接</t>
        </is>
      </c>
      <c r="M26" s="341" t="inlineStr">
        <is>
          <t>国家</t>
        </is>
      </c>
      <c r="N26" s="341" t="inlineStr">
        <is>
          <t>N/A</t>
        </is>
      </c>
      <c r="O26" s="341" t="inlineStr">
        <is>
          <t>27/01/2025</t>
        </is>
      </c>
      <c r="P26" s="341" t="inlineStr">
        <is>
          <t>01/06/2025</t>
        </is>
      </c>
      <c r="Q26" s="341" t="inlineStr">
        <is>
          <t>N/A</t>
        </is>
      </c>
      <c r="R26" s="341" t="inlineStr">
        <is>
          <t>N/A</t>
        </is>
      </c>
      <c r="S26" s="341" t="inlineStr">
        <is>
          <t>N/A</t>
        </is>
      </c>
      <c r="T26" s="341">
        <f>IF(P26="","生效",IF(P26="N/A","生效",IF(TODAY()&lt;DATE(VALUE(RIGHT(P26,4)),VALUE(MID(P26,4,2)),VALUE(LEFT(P26,2))),"计划实施",IF(Q26="","生效",IF(Q26="N/A","生效",IF(TODAY()&lt;DATE(VALUE(RIGHT(Q26,4)),VALUE(MID(Q26,4,2)),VALUE(LEFT(Q26,2))),"生效","已终止"))))))</f>
        <v/>
      </c>
      <c r="U26" s="341" t="inlineStr">
        <is>
          <t>国家发展改革委；国家能源局；省级价格和能源主管部门；电力市场运营机构</t>
        </is>
      </c>
      <c r="V26" s="341" t="inlineStr">
        <is>
          <t>电力；太阳能；风能；其他可再生能源</t>
        </is>
      </c>
      <c r="W26" s="341" t="inlineStr">
        <is>
          <t>新建；既有</t>
        </is>
      </c>
      <c r="X26" s="341" t="inlineStr">
        <is>
          <t>符合机制条件的新能源项目上网电量，包括存量项目和增量项目，主要包括风电、太阳能发电等新能源发电。</t>
        </is>
      </c>
      <c r="Y26" s="341" t="inlineStr">
        <is>
          <t>N/A</t>
        </is>
      </c>
      <c r="Z26" s="341" t="inlineStr">
        <is>
          <t>纳入价格结算机制的电量；存量项目和增量项目分别适用不同规则，增量项目机制电价通过竞争机制确定。</t>
        </is>
      </c>
      <c r="AA26" s="341" t="inlineStr">
        <is>
          <t>企业</t>
        </is>
      </c>
      <c r="AB26" s="341" t="inlineStr">
        <is>
          <t>参与机制结算或费用分摊的新能源发电企业和电力市场主体。</t>
        </is>
      </c>
      <c r="AC26" s="341" t="inlineStr">
        <is>
          <t>可再生电力发电和价格结算</t>
        </is>
      </c>
      <c r="AD26" s="341" t="inlineStr">
        <is>
          <t>符合条件的新能源电量发电、进入市场交易，并按机制电价进行差价结算。</t>
        </is>
      </c>
      <c r="AE26" s="341" t="inlineStr">
        <is>
          <t>公式</t>
        </is>
      </c>
      <c r="AF26" s="341" t="inlineStr">
        <is>
          <t>元/兆瓦时价差</t>
        </is>
      </c>
      <c r="AG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H26" s="341" t="inlineStr">
        <is>
          <t>新能源上网电量进入电力市场、上网电价通过市场交易形成；纳入机制的电量按存量项目和增量项目规则与机制电价结算。</t>
        </is>
      </c>
      <c r="AI26" s="341" t="inlineStr">
        <is>
          <t>差价结算金额 = 机制电量 ×（机制电价 - 市场交易均价）。</t>
        </is>
      </c>
      <c r="AJ26" s="341" t="inlineStr">
        <is>
          <t>市场交易均价低于机制电价时，向新能源发电企业支付差价；高于机制电价时，由新能源发电企业返还差价。</t>
        </is>
      </c>
      <c r="AK26" s="341" t="inlineStr">
        <is>
          <t>N/A</t>
        </is>
      </c>
      <c r="AL26" s="341" t="inlineStr">
        <is>
          <t>N/A</t>
        </is>
      </c>
      <c r="AM26" s="341" t="inlineStr">
        <is>
          <t>N/A</t>
        </is>
      </c>
      <c r="AN26" s="341" t="inlineStr">
        <is>
          <t>N/A</t>
        </is>
      </c>
      <c r="AO26" s="341" t="inlineStr">
        <is>
          <t>机制电量规模和机制电价按存量项目、增量项目规则确定；国家通知未规定固定全国预算。</t>
        </is>
      </c>
      <c r="AP26" s="341" t="inlineStr">
        <is>
          <t>N/A</t>
        </is>
      </c>
      <c r="AQ26" s="341" t="inlineStr">
        <is>
          <t>纳入机制的新能源电量按市场交易均价与机制电价进行双向差价结算。</t>
        </is>
      </c>
      <c r="AR26" s="341" t="inlineStr">
        <is>
          <t>国家通知未明确规定。</t>
        </is>
      </c>
      <c r="AS26" s="341" t="inlineStr">
        <is>
          <t>通过电力市场结算，以及省级机制电量、机制电价和费用分摊安排执行。</t>
        </is>
      </c>
      <c r="AT26" s="341" t="inlineStr">
        <is>
          <t>N/A</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D35</t>
        </is>
      </c>
      <c r="BG26" s="341" t="inlineStr">
        <is>
          <t>CO2</t>
        </is>
      </c>
      <c r="BH26" s="341" t="inlineStr">
        <is>
          <t>正向</t>
        </is>
      </c>
      <c r="BI26" s="341" t="inlineStr">
        <is>
          <t>能源安全；技术创新；产业发展</t>
        </is>
      </c>
      <c r="BJ26" s="341" t="inlineStr">
        <is>
          <t>国家发展改革委 国家能源局关于深化新能源上网电价市场化改革 促进新能源高质量发展的通知</t>
        </is>
      </c>
      <c r="BK26" s="341" t="inlineStr">
        <is>
          <t>https://www.ndrc.gov.cn/xxgk/zcfb/tz/202502/t20250209_1396066.html</t>
        </is>
      </c>
      <c r="BL26" s="341" t="inlineStr">
        <is>
          <t>N/A</t>
        </is>
      </c>
      <c r="BM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t>
        </is>
      </c>
      <c r="L27" s="341" t="inlineStr">
        <is>
          <t>间接</t>
        </is>
      </c>
      <c r="M27" s="341" t="inlineStr">
        <is>
          <t>国家</t>
        </is>
      </c>
      <c r="N27" s="341" t="inlineStr">
        <is>
          <t>N/A</t>
        </is>
      </c>
      <c r="O27" s="341" t="inlineStr">
        <is>
          <t>13/09/2024</t>
        </is>
      </c>
      <c r="P27" s="341" t="inlineStr">
        <is>
          <t>13/09/2024</t>
        </is>
      </c>
      <c r="Q27" s="341" t="inlineStr">
        <is>
          <t>31/12/2027</t>
        </is>
      </c>
      <c r="R27" s="341" t="inlineStr">
        <is>
          <t>N/A</t>
        </is>
      </c>
      <c r="S27" s="341" t="inlineStr">
        <is>
          <t>N/A</t>
        </is>
      </c>
      <c r="T27" s="341">
        <f>IF(P27="","生效",IF(P27="N/A","生效",IF(TODAY()&lt;DATE(VALUE(RIGHT(P27,4)),VALUE(MID(P27,4,2)),VALUE(LEFT(P27,2))),"计划实施",IF(Q27="","生效",IF(Q27="N/A","生效",IF(TODAY()&lt;DATE(VALUE(RIGHT(Q27,4)),VALUE(MID(Q27,4,2)),VALUE(LEFT(Q27,2))),"生效","已终止"))))))</f>
        <v/>
      </c>
      <c r="U27" s="341" t="inlineStr">
        <is>
          <t>财政部（主管专项资金管理和拨付）；生态环境部（主管废弃电器电子产品处理企业资格许可和规范处理量核定）；省级财政主管部门；省级生态环境主管部门</t>
        </is>
      </c>
      <c r="V27" s="341" t="inlineStr">
        <is>
          <t>市政废物</t>
        </is>
      </c>
      <c r="W27" s="341" t="inlineStr">
        <is>
          <t>既有</t>
        </is>
      </c>
      <c r="X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Y27" s="341" t="inlineStr">
        <is>
          <t>N/A</t>
        </is>
      </c>
      <c r="Z27" s="341" t="inlineStr">
        <is>
          <t>须为列入废弃电器电子产品处理目录的产品类别。2023年12月31日以前已回收处理的存量，经生态环境部核实后可分期拨付补贴。</t>
        </is>
      </c>
      <c r="AA27" s="341" t="inlineStr">
        <is>
          <t>企业</t>
        </is>
      </c>
      <c r="AB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C27" s="341" t="inlineStr">
        <is>
          <t>回收、再利用或其他消费后处理</t>
        </is>
      </c>
      <c r="AD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E27" s="341" t="inlineStr">
        <is>
          <t>N/A</t>
        </is>
      </c>
      <c r="AF27" s="341" t="inlineStr">
        <is>
          <t>元/台</t>
        </is>
      </c>
      <c r="AG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H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I27" s="341" t="inlineStr">
        <is>
          <t>N/A</t>
        </is>
      </c>
      <c r="AJ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K27" s="341" t="inlineStr">
        <is>
          <t>N/A</t>
        </is>
      </c>
      <c r="AL27" s="341" t="inlineStr">
        <is>
          <t>N/A</t>
        </is>
      </c>
      <c r="AM27" s="341" t="inlineStr">
        <is>
          <t>N/A</t>
        </is>
      </c>
      <c r="AN27" s="341" t="inlineStr">
        <is>
          <t>75亿元（2024年）；50亿元（2025年）</t>
        </is>
      </c>
      <c r="AO27" s="341" t="inlineStr">
        <is>
          <t>专项资金总额由中央财政年度预算确定，各省份分配额按因素法确定。对单个处理企业的补贴上限由省级财政和生态环境部门根据核定处理能力和规范处理量确定。</t>
        </is>
      </c>
      <c r="AP27" s="341" t="inlineStr">
        <is>
          <t>N/A</t>
        </is>
      </c>
      <c r="AQ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R27" s="341" t="inlineStr">
        <is>
          <t>2024年（以印发日期2024年9月13日起算）至2027年12月31日。2023年12月31日以前的存量处理量分期据实拨付。</t>
        </is>
      </c>
      <c r="AS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T27" s="341" t="inlineStr">
        <is>
          <t>N/A</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E38</t>
        </is>
      </c>
      <c r="BG27" s="341" t="inlineStr">
        <is>
          <t>CO2; HFCs</t>
        </is>
      </c>
      <c r="BH27" s="341" t="inlineStr">
        <is>
          <t>正向</t>
        </is>
      </c>
      <c r="BI27" s="341" t="inlineStr">
        <is>
          <t>循环经济；污染防治；资源节约</t>
        </is>
      </c>
      <c r="BJ27" s="341" t="inlineStr">
        <is>
          <t>废弃电器电子产品处理专项资金管理办法（财资环〔2024〕119号）；废弃电器电子产品回收处理管理条例（国务院令第551号，2019年修订）；废弃电器电子产品处理目录（2014年版）</t>
        </is>
      </c>
      <c r="BK27" s="341" t="inlineStr">
        <is>
          <t>https://www.gov.cn/zhengce/zhengceku/202410/content_6978234.htm</t>
        </is>
      </c>
      <c r="BL27" s="341" t="inlineStr">
        <is>
          <t>http://m.mof.gov.cn/zcfb/202409/t20240929_3944775.htm</t>
        </is>
      </c>
      <c r="BM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国家</t>
        </is>
      </c>
      <c r="N28" s="341" t="inlineStr">
        <is>
          <t>N/A</t>
        </is>
      </c>
      <c r="O28" s="341" t="inlineStr">
        <is>
          <t>01/01/2017</t>
        </is>
      </c>
      <c r="P28" s="341" t="inlineStr">
        <is>
          <t>01/01/2017</t>
        </is>
      </c>
      <c r="Q28" s="341" t="inlineStr">
        <is>
          <t>31/12/2030</t>
        </is>
      </c>
      <c r="R28" s="341" t="inlineStr">
        <is>
          <t>01/01/2026</t>
        </is>
      </c>
      <c r="S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T28" s="341">
        <f>IF(P28="","生效",IF(P28="N/A","生效",IF(TODAY()&lt;DATE(VALUE(RIGHT(P28,4)),VALUE(MID(P28,4,2)),VALUE(LEFT(P28,2))),"计划实施",IF(Q28="","生效",IF(Q28="N/A","生效",IF(TODAY()&lt;DATE(VALUE(RIGHT(Q28,4)),VALUE(MID(Q28,4,2)),VALUE(LEFT(Q28,2))),"生效","已终止"))))))</f>
        <v/>
      </c>
      <c r="U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V28" s="341" t="inlineStr">
        <is>
          <t>空间供暖系统；建筑</t>
        </is>
      </c>
      <c r="W28" s="341" t="inlineStr">
        <is>
          <t>既有</t>
        </is>
      </c>
      <c r="X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Y28" s="341" t="inlineStr">
        <is>
          <t>各地可根据本地资源和基础设施条件选择技术路线，包括电、天然气、生物质、地热、工业余热等。技术路线选择由各试点城市在实施方案中确定。</t>
        </is>
      </c>
      <c r="Z28" s="341" t="inlineStr">
        <is>
          <t>农村地区"煤改气"和"煤改电"实际建成运行户数。新办法按采暖度日数分档确定户均补贴标准，向农村困难群体倾斜。</t>
        </is>
      </c>
      <c r="AA28" s="341" t="inlineStr">
        <is>
          <t>家庭</t>
        </is>
      </c>
      <c r="AB28" s="341" t="inlineStr">
        <is>
          <t>北方地区农村和城镇居民住户（自然人），以户为单位享受清洁取暖设备购置补贴和运营补贴。补贴向农村困难群体倾斜。不包括企业、机构和公共建筑。</t>
        </is>
      </c>
      <c r="AC28" s="341" t="inlineStr">
        <is>
          <t>购买或使用；生产、发电或转化</t>
        </is>
      </c>
      <c r="AD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E28" s="341" t="inlineStr">
        <is>
          <t>N/A</t>
        </is>
      </c>
      <c r="AF28" s="341" t="inlineStr">
        <is>
          <t>元/户/取暖季</t>
        </is>
      </c>
      <c r="AG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H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I28" s="341" t="inlineStr">
        <is>
          <t>N/A</t>
        </is>
      </c>
      <c r="AJ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K28" s="341" t="inlineStr">
        <is>
          <t>N/A</t>
        </is>
      </c>
      <c r="AL28" s="341" t="inlineStr">
        <is>
          <t>N/A</t>
        </is>
      </c>
      <c r="AM28" s="341" t="inlineStr">
        <is>
          <t>N/A</t>
        </is>
      </c>
      <c r="AN28" s="341" t="inlineStr">
        <is>
          <t>204亿元（2025年大气污染防治资金，含清洁取暖）；约243.62亿元（2026年大气污染防治资金，清洁取暖运营补贴不再单独列示）</t>
        </is>
      </c>
      <c r="AO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P28" s="341" t="inlineStr">
        <is>
          <t>N/A</t>
        </is>
      </c>
      <c r="AQ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R28" s="341" t="inlineStr">
        <is>
          <t>2017年至今持续支持。新大气污染防治资金管理办法（财资环〔2025〕155号）实施期限为2026年1月1日至2030年12月31日。已建成项目的运营补贴在政策有效期内持续保障。</t>
        </is>
      </c>
      <c r="AS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T28" s="341" t="inlineStr">
        <is>
          <t>N/A</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D35</t>
        </is>
      </c>
      <c r="BG28" s="341" t="inlineStr">
        <is>
          <t>CO2</t>
        </is>
      </c>
      <c r="BH28" s="341" t="inlineStr">
        <is>
          <t>正向</t>
        </is>
      </c>
      <c r="BI28" s="341" t="inlineStr">
        <is>
          <t>污染防治；能源安全；产业发展</t>
        </is>
      </c>
      <c r="BJ28" s="341" t="inlineStr">
        <is>
          <t>大气污染防治资金管理办法（财资环〔2025〕155号）；大气污染防治法；北方地区冬季清洁取暖规划（2017-2021年）；国务院大气污染防治行动计划（国发〔2013〕37号）</t>
        </is>
      </c>
      <c r="BK28" s="341" t="inlineStr">
        <is>
          <t>http://zyhj.mof.gov.cn/zxzyzf/dqwrfzzj/202412/t20241203_3948830.htm</t>
        </is>
      </c>
      <c r="BL28" s="341" t="inlineStr">
        <is>
          <t>https://www.gov.cn/zhengce/content/2018-07/03/content_5303158.htm; http://zyhj.mof.gov.cn/zxzyzf/dqwrfzzj/</t>
        </is>
      </c>
      <c r="BM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t>
        </is>
      </c>
      <c r="L29" s="341" t="inlineStr">
        <is>
          <t>间接</t>
        </is>
      </c>
      <c r="M29" s="341" t="inlineStr">
        <is>
          <t>国家</t>
        </is>
      </c>
      <c r="N29" s="341" t="inlineStr">
        <is>
          <t>N/A</t>
        </is>
      </c>
      <c r="O29" s="341" t="inlineStr">
        <is>
          <t>14/12/2002</t>
        </is>
      </c>
      <c r="P29" s="341" t="inlineStr">
        <is>
          <t>20/01/2003</t>
        </is>
      </c>
      <c r="Q29" s="341" t="inlineStr">
        <is>
          <t>N/A</t>
        </is>
      </c>
      <c r="R29" s="341" t="inlineStr">
        <is>
          <t>2022</t>
        </is>
      </c>
      <c r="S29" s="341" t="inlineStr">
        <is>
          <t>N/A</t>
        </is>
      </c>
      <c r="T29" s="341">
        <f>IF(P29="","生效",IF(P29="N/A","生效",IF(TODAY()&lt;DATE(VALUE(RIGHT(P29,4)),VALUE(MID(P29,4,2)),VALUE(LEFT(P29,2))),"计划实施",IF(Q29="","生效",IF(Q29="N/A","生效",IF(TODAY()&lt;DATE(VALUE(RIGHT(Q29,4)),VALUE(MID(Q29,4,2)),VALUE(LEFT(Q29,2))),"生效","已终止"))))))</f>
        <v/>
      </c>
      <c r="U29" s="341" t="inlineStr">
        <is>
          <t>国家林业和草原局（主管全国退耕还林实施工作）；国家发展改革委；财政部；农业农村部；自然资源部；水利部；国家粮食和物资储备局；省级人民政府</t>
        </is>
      </c>
      <c r="V29" s="341" t="inlineStr">
        <is>
          <t>农田；林地；草地</t>
        </is>
      </c>
      <c r="W29" s="341" t="inlineStr">
        <is>
          <t>新建；既有</t>
        </is>
      </c>
      <c r="X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Y29" s="341" t="inlineStr">
        <is>
          <t>N/A</t>
        </is>
      </c>
      <c r="Z29" s="341" t="inlineStr">
        <is>
          <t>坡度大于25度（非西北地区）或大于15度（西北地区）的陡坡耕地；严重沙化、盐碱化、石漠化耕地；重要水源地15-25度坡耕地。</t>
        </is>
      </c>
      <c r="AA29" s="341" t="inlineStr">
        <is>
          <t>家庭；企业</t>
        </is>
      </c>
      <c r="AB29" s="341" t="inlineStr">
        <is>
          <t>退耕农户（土地承包经营权人或经营权流转受让方）为主要受益主体；村集体经济组织、农民专业合作社和林业企业（承担部分造林和管护任务）。涉及约4100万农户、1.58亿农牧民。</t>
        </is>
      </c>
      <c r="AC29" s="341" t="inlineStr">
        <is>
          <t>保存、保护或储藏；生产、发电或转化</t>
        </is>
      </c>
      <c r="AD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E29" s="341" t="inlineStr">
        <is>
          <t>100</t>
        </is>
      </c>
      <c r="AF29" s="341" t="inlineStr">
        <is>
          <t>元/亩/年</t>
        </is>
      </c>
      <c r="AG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H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I29" s="341" t="inlineStr">
        <is>
          <t>N/A</t>
        </is>
      </c>
      <c r="AJ29" s="341" t="inlineStr">
        <is>
          <t>按年度分批次检查验收、公示并兑现补助：退耕农户造林种草经验收合格后，经公示无异议，按年度和合同约定数额发放现金补助或粮食折现补助；验收不合格的补植补造合格后再兑现。</t>
        </is>
      </c>
      <c r="AK29" s="341" t="inlineStr">
        <is>
          <t>N/A</t>
        </is>
      </c>
      <c r="AL29" s="341" t="inlineStr">
        <is>
          <t>N/A</t>
        </is>
      </c>
      <c r="AM29" s="341" t="inlineStr">
        <is>
          <t>N/A</t>
        </is>
      </c>
      <c r="AN29" s="341" t="inlineStr">
        <is>
          <t>N/A</t>
        </is>
      </c>
      <c r="AO29" s="341" t="inlineStr">
        <is>
          <t>每年每亩100元延长补助；此前补助标准按流域和生态类型分档。中央累计投入超过5700亿元（截至2022年底），2022年延长补助新增360多亿元中央财政资金。</t>
        </is>
      </c>
      <c r="AP29" s="341" t="inlineStr">
        <is>
          <t>N/A</t>
        </is>
      </c>
      <c r="AQ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R29" s="341" t="inlineStr">
        <is>
          <t>退耕还林延长补助期5年（每年100元/亩）；退耕还草延长补助期3年（每年100元/亩）。此前补助期：还生态林8年、还经济林5年、还草2年。各省可在国家标准基础上适当提高，超出部分由地方财政承担。</t>
        </is>
      </c>
      <c r="AS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T29" s="341" t="inlineStr">
        <is>
          <t>N/A</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A02</t>
        </is>
      </c>
      <c r="BG29" s="341" t="inlineStr">
        <is>
          <t>CO2</t>
        </is>
      </c>
      <c r="BH29" s="341" t="inlineStr">
        <is>
          <t>正向</t>
        </is>
      </c>
      <c r="BI29" s="341" t="inlineStr">
        <is>
          <t>污染防治；技术创新；产业发展；生态保护；生物多样性保护；适应气候变化</t>
        </is>
      </c>
      <c r="BJ29" s="341" t="inlineStr">
        <is>
          <t>退耕还林条例（2002年12月14日国务院令第367号公布，根据2016年2月6日国务院关于修改部分行政法规的决定修订，现行有效）</t>
        </is>
      </c>
      <c r="BK29" s="341" t="inlineStr">
        <is>
          <t>https://www.gov.cn/gongbao/content/2016/content_5139491.htm</t>
        </is>
      </c>
      <c r="BL29" s="341" t="inlineStr">
        <is>
          <t>https://www.gov.cn/zhengce/zhengceku/2008-03/28/content_2767.htm; http://app.www.gov.cn/govdata/gov/202211/12/494165/article.html</t>
        </is>
      </c>
      <c r="BM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生态保护；减缓气候变化</t>
        </is>
      </c>
      <c r="L30" s="341" t="inlineStr">
        <is>
          <t>间接</t>
        </is>
      </c>
      <c r="M30" s="341" t="inlineStr">
        <is>
          <t>国家</t>
        </is>
      </c>
      <c r="N30" s="341" t="inlineStr">
        <is>
          <t>N/A</t>
        </is>
      </c>
      <c r="O30" s="341" t="inlineStr">
        <is>
          <t>10/12/2004</t>
        </is>
      </c>
      <c r="P30" s="341" t="inlineStr">
        <is>
          <t>20/11/2001</t>
        </is>
      </c>
      <c r="Q30" s="341" t="inlineStr">
        <is>
          <t>N/A</t>
        </is>
      </c>
      <c r="R30" s="341" t="inlineStr">
        <is>
          <t>05/12/2024</t>
        </is>
      </c>
      <c r="S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T30" s="341">
        <f>IF(P30="","生效",IF(P30="N/A","生效",IF(TODAY()&lt;DATE(VALUE(RIGHT(P30,4)),VALUE(MID(P30,4,2)),VALUE(LEFT(P30,2))),"计划实施",IF(Q30="","生效",IF(Q30="N/A","生效",IF(TODAY()&lt;DATE(VALUE(RIGHT(Q30,4)),VALUE(MID(Q30,4,2)),VALUE(LEFT(Q30,2))),"生效","已终止"))))))</f>
        <v/>
      </c>
      <c r="U30" s="341" t="inlineStr">
        <is>
          <t>国家林业和草原局（主管全国公益林区划界定和管理）；财政部（主管补偿资金管理）；省级和县级林业主管部门及财政部门</t>
        </is>
      </c>
      <c r="V30" s="341" t="inlineStr">
        <is>
          <t>森林</t>
        </is>
      </c>
      <c r="W30" s="341" t="inlineStr">
        <is>
          <t>既有</t>
        </is>
      </c>
      <c r="X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Y30" s="341" t="inlineStr">
        <is>
          <t>N/A</t>
        </is>
      </c>
      <c r="Z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A30" s="341" t="inlineStr">
        <is>
          <t>家庭；企业；政府</t>
        </is>
      </c>
      <c r="AB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C30" s="341" t="inlineStr">
        <is>
          <t>保存、保护或储藏</t>
        </is>
      </c>
      <c r="AD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E30" s="341" t="inlineStr">
        <is>
          <t>10;16</t>
        </is>
      </c>
      <c r="AF30" s="341" t="inlineStr">
        <is>
          <t>元/亩/年</t>
        </is>
      </c>
      <c r="AG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H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I30" s="341" t="inlineStr">
        <is>
          <t>N/A</t>
        </is>
      </c>
      <c r="AJ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K30" s="341" t="inlineStr">
        <is>
          <t>N/A</t>
        </is>
      </c>
      <c r="AL30" s="341" t="inlineStr">
        <is>
          <t>N/A</t>
        </is>
      </c>
      <c r="AM30" s="341" t="inlineStr">
        <is>
          <t>N/A</t>
        </is>
      </c>
      <c r="AN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O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P30" s="341" t="inlineStr">
        <is>
          <t>N/A</t>
        </is>
      </c>
      <c r="AQ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R30" s="341" t="inlineStr">
        <is>
          <t>年度持续拨付，未规定终止期限。该制度自2004年正式建立以来已连续运行超过20年，为长期性制度安排。</t>
        </is>
      </c>
      <c r="AS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T30" s="341" t="inlineStr">
        <is>
          <t>N/A</t>
        </is>
      </c>
      <c r="AU30" s="341" t="inlineStr">
        <is>
          <t>N/A</t>
        </is>
      </c>
      <c r="AV30" s="341" t="inlineStr">
        <is>
          <t>N/A</t>
        </is>
      </c>
      <c r="AW30" s="341" t="inlineStr">
        <is>
          <t>林业草原生态保护恢复资金管理办法（财资环〔2024〕159号）</t>
        </is>
      </c>
      <c r="AX30" s="341" t="inlineStr">
        <is>
          <t>https://www.gov.cn/gongbao/2024/issue_11506/202408/content_6966478.html</t>
        </is>
      </c>
      <c r="AY30" s="341" t="inlineStr">
        <is>
          <t>N/A</t>
        </is>
      </c>
      <c r="AZ30" s="341" t="inlineStr">
        <is>
          <t>N/A</t>
        </is>
      </c>
      <c r="BA30" s="341" t="inlineStr">
        <is>
          <t>N/A</t>
        </is>
      </c>
      <c r="BB30" s="341" t="inlineStr">
        <is>
          <t>N/A</t>
        </is>
      </c>
      <c r="BC30" s="341" t="inlineStr">
        <is>
          <t>N/A</t>
        </is>
      </c>
      <c r="BD30" s="341" t="inlineStr">
        <is>
          <t>约117亿吨CO2（按中国森林植被碳储量约78亿吨碳×44/12折算；来源：国家林草局第九次全国森林资源清查，森林植被碳储量78.11亿吨；公益林蓄积量占全国森林蓄积量约67%）。</t>
        </is>
      </c>
      <c r="BE30" s="341" t="inlineStr">
        <is>
          <t>N/A</t>
        </is>
      </c>
      <c r="BF30" s="341" t="inlineStr">
        <is>
          <t>A02</t>
        </is>
      </c>
      <c r="BG30" s="341" t="inlineStr">
        <is>
          <t>CO2</t>
        </is>
      </c>
      <c r="BH30" s="341" t="inlineStr">
        <is>
          <t>正向</t>
        </is>
      </c>
      <c r="BI30" s="341" t="inlineStr">
        <is>
          <t>污染防治；生物多样性保护；生态保护；适应气候变化</t>
        </is>
      </c>
      <c r="BJ30" s="341" t="inlineStr">
        <is>
          <t>中华人民共和国森林法（2019年修订）第七条、第二十九条；林业草原生态保护恢复资金管理办法（财资环〔2024〕159号）</t>
        </is>
      </c>
      <c r="BK30" s="341" t="inlineStr">
        <is>
          <t>https://www.gov.cn/gongbao/2024/issue_11506/202408/content_6966478.html</t>
        </is>
      </c>
      <c r="BL30" s="341" t="inlineStr">
        <is>
          <t>https://www.forestry.gov.cn/main/3949/20191228/204438950228990.html; http://www.mof.gov.cn/gkml/caizhengwengao/caizhengbuwengao2007/caizhengbuwengao20075/200805/t20080519_26401.htm; https://www.forestry.gov.cn/c/www/gkgfxwj/300449.jhtml</t>
        </is>
      </c>
      <c r="BM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t>
        </is>
      </c>
      <c r="L31" s="341" t="inlineStr">
        <is>
          <t>间接</t>
        </is>
      </c>
      <c r="M31" s="341" t="inlineStr">
        <is>
          <t>国家</t>
        </is>
      </c>
      <c r="N31" s="341" t="inlineStr">
        <is>
          <t>N/A</t>
        </is>
      </c>
      <c r="O31" s="341" t="inlineStr">
        <is>
          <t>12/10/2010</t>
        </is>
      </c>
      <c r="P31" s="341" t="inlineStr">
        <is>
          <t>01/01/2011</t>
        </is>
      </c>
      <c r="Q31" s="341" t="inlineStr">
        <is>
          <t>N/A</t>
        </is>
      </c>
      <c r="R31" s="341" t="inlineStr">
        <is>
          <t>2021</t>
        </is>
      </c>
      <c r="S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T31" s="341">
        <f>IF(P31="","生效",IF(P31="N/A","生效",IF(TODAY()&lt;DATE(VALUE(RIGHT(P31,4)),VALUE(MID(P31,4,2)),VALUE(LEFT(P31,2))),"计划实施",IF(Q31="","生效",IF(Q31="N/A","生效",IF(TODAY()&lt;DATE(VALUE(RIGHT(Q31,4)),VALUE(MID(Q31,4,2)),VALUE(LEFT(Q31,2))),"生效","已终止"))))))</f>
        <v/>
      </c>
      <c r="U31" s="341" t="inlineStr">
        <is>
          <t>财政部（主管资金管理）；农业农村部（主管政策实施）；国家林业和草原局（主管草原生态监测）；省级和县级农牧、财政、林草主管部门</t>
        </is>
      </c>
      <c r="V31" s="341" t="inlineStr">
        <is>
          <t>草地</t>
        </is>
      </c>
      <c r="W31" s="341" t="inlineStr">
        <is>
          <t>既有</t>
        </is>
      </c>
      <c r="X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Y31" s="341" t="inlineStr">
        <is>
          <t>N/A</t>
        </is>
      </c>
      <c r="Z31" s="341" t="inlineStr">
        <is>
          <t>禁牧区：生态脆弱、严重退化、不宜放牧的草原，包括自然保护区、重要湿地草原和严重退化区。草畜平衡区：禁牧区以外的所有可利用天然草原。</t>
        </is>
      </c>
      <c r="AA31" s="341" t="inlineStr">
        <is>
          <t>家庭</t>
        </is>
      </c>
      <c r="AB31" s="341" t="inlineStr">
        <is>
          <t>持有草原承包经营权证或签订了草原承包经营合同的牧民（牧户）。涉及约1200余万户牧民。</t>
        </is>
      </c>
      <c r="AC31" s="341" t="inlineStr">
        <is>
          <t>保存、保护或储藏</t>
        </is>
      </c>
      <c r="AD31" s="341" t="inlineStr">
        <is>
          <t>禁牧区：禁牧补助。牧民完全停止在禁牧草原上放牧，草原实行封育保护。草畜平衡区：草畜平衡奖励。牧民可在草畜平衡区放牧，但须将牲畜数量控制在核定载畜量以内，并按规定实行季节性休牧。</t>
        </is>
      </c>
      <c r="AE31" s="341" t="inlineStr">
        <is>
          <t>7.5;2.5</t>
        </is>
      </c>
      <c r="AF31" s="341" t="inlineStr">
        <is>
          <t>元/亩/年</t>
        </is>
      </c>
      <c r="AG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H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I31" s="341" t="inlineStr">
        <is>
          <t>N/A</t>
        </is>
      </c>
      <c r="AJ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K31" s="341" t="inlineStr">
        <is>
          <t>N/A</t>
        </is>
      </c>
      <c r="AL31" s="341" t="inlineStr">
        <is>
          <t>N/A</t>
        </is>
      </c>
      <c r="AM31" s="341" t="inlineStr">
        <is>
          <t>N/A</t>
        </is>
      </c>
      <c r="AN31" s="341" t="inlineStr">
        <is>
          <t>约168亿元/年（第三轮2021-2025年中央财政年度安排；来源：财政部）。三轮累计超过2300亿元。</t>
        </is>
      </c>
      <c r="AO31" s="341" t="inlineStr">
        <is>
          <t>国家标准上限：禁牧补助7.5元/亩/年，草畜平衡奖励2.5元/亩/年。各省可在上限内确定具体标准，个别省份如甘肃部分区域禁牧标准可达28.22元/亩/年。设户均上限（多数地区不超过8000-9000元/年/户）以防止'垒大户'。</t>
        </is>
      </c>
      <c r="AP31" s="341" t="inlineStr">
        <is>
          <t>N/A</t>
        </is>
      </c>
      <c r="AQ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R31" s="341" t="inlineStr">
        <is>
          <t>按轮次实施，每轮5年：第一轮2011-2015年，第二轮2016-2020年，第三轮2021-2025年，第四轮2026-2030年已宣布。每轮结束后根据评估结果调整延续。</t>
        </is>
      </c>
      <c r="AS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T31" s="341" t="inlineStr">
        <is>
          <t>N/A</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A01</t>
        </is>
      </c>
      <c r="BG31" s="341" t="inlineStr">
        <is>
          <t>CO2; CH4; N2O</t>
        </is>
      </c>
      <c r="BH31" s="341" t="inlineStr">
        <is>
          <t>正向</t>
        </is>
      </c>
      <c r="BI31" s="341" t="inlineStr">
        <is>
          <t>污染防治；生物多样性保护；生态保护；适应气候变化</t>
        </is>
      </c>
      <c r="BJ31" s="341" t="inlineStr">
        <is>
          <t>中华人民共和国草原法第三十五条、第四十五条、第四十七条、第四十八条；第三轮草原生态保护补助奖励政策实施指导意见（财农〔2021〕82号）</t>
        </is>
      </c>
      <c r="BK31" s="341" t="inlineStr">
        <is>
          <t>https://www.moa.gov.cn/govpublic/CWS/201112/t20111222_2441035.htm</t>
        </is>
      </c>
      <c r="BL31" s="341" t="inlineStr">
        <is>
          <t>http://www.mof.gov.cn/gp/xxgkml/nys/201201/t20120116_2500355.htm; https://jcs.moa.gov.cn/trzgl/201603/t20160304_5040527.htm; http://www.mof.gov.cn/zhengwuxinxi/caijingshidian/zyzfmhwz/201010/t20101013_342428.htm; https://www.moa.gov.cn/govpublic/CWS/202407/t20240711_6458804.htm</t>
        </is>
      </c>
      <c r="BM31" s="341" t="inlineStr"/>
    </row>
    <row r="32">
      <c r="A32" s="430" t="inlineStr">
        <is>
          <t>CHNSUBESPI03S001</t>
        </is>
      </c>
      <c r="B32" s="430" t="inlineStr">
        <is>
          <t>子方案</t>
        </is>
      </c>
      <c r="C32" s="430" t="inlineStr">
        <is>
          <t>补贴</t>
        </is>
      </c>
      <c r="D32" s="430" t="inlineStr">
        <is>
          <t>生态系统服务付费</t>
        </is>
      </c>
      <c r="E32" s="430" t="inlineStr">
        <is>
          <t>农业、林业和其他土地利用</t>
        </is>
      </c>
      <c r="F32" s="430" t="inlineStr">
        <is>
          <t>草地；畜牧业</t>
        </is>
      </c>
      <c r="G32" s="430" t="inlineStr">
        <is>
          <t>草原生态保护补助奖励—禁牧补助子方案</t>
        </is>
      </c>
      <c r="H32" s="430" t="inlineStr">
        <is>
          <t>Grassland Ecological Protection Subsidy and Reward - Grazing Ban Subsidy subscheme</t>
        </is>
      </c>
      <c r="I32" s="430" t="inlineStr">
        <is>
          <t>草原生态保护补助奖励</t>
        </is>
      </c>
      <c r="J32" s="430"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430" t="inlineStr">
        <is>
          <t>生态保护</t>
        </is>
      </c>
      <c r="L32" s="430" t="inlineStr">
        <is>
          <t>间接</t>
        </is>
      </c>
      <c r="M32" s="430" t="inlineStr">
        <is>
          <t>国家</t>
        </is>
      </c>
      <c r="N32" s="430" t="inlineStr">
        <is>
          <t>N/A</t>
        </is>
      </c>
      <c r="O32" s="430" t="inlineStr">
        <is>
          <t>12/10/2010</t>
        </is>
      </c>
      <c r="P32" s="430" t="inlineStr">
        <is>
          <t>01/01/2011</t>
        </is>
      </c>
      <c r="Q32" s="430" t="inlineStr">
        <is>
          <t>N/A</t>
        </is>
      </c>
      <c r="R32" s="430" t="inlineStr">
        <is>
          <t>2021</t>
        </is>
      </c>
      <c r="S32" s="430" t="inlineStr">
        <is>
          <t>第三轮政策（2021-2025年）将禁牧补助国家标准上限从6元/亩/年提高至7.5元/亩/年，并引入禁牧区动态调整机制：禁牧区草原恢复达到标准的可转为草畜平衡区。</t>
        </is>
      </c>
      <c r="T32" s="430">
        <f>IF(P32="","生效",IF(P32="N/A","生效",IF(TODAY()&lt;DATE(VALUE(RIGHT(P32,4)),VALUE(MID(P32,4,2)),VALUE(LEFT(P32,2))),"计划实施",IF(Q32="","生效",IF(Q32="N/A","生效",IF(TODAY()&lt;DATE(VALUE(RIGHT(Q32,4)),VALUE(MID(Q32,4,2)),VALUE(LEFT(Q32,2))),"生效","已终止"))))))</f>
        <v/>
      </c>
      <c r="U32" s="430" t="inlineStr">
        <is>
          <t>财政部；农业农村部；国家林业和草原局；省级和县级农牧、财政主管部门</t>
        </is>
      </c>
      <c r="V32" s="430" t="inlineStr">
        <is>
          <t>草地</t>
        </is>
      </c>
      <c r="W32" s="430" t="inlineStr">
        <is>
          <t>既有</t>
        </is>
      </c>
      <c r="X32" s="430" t="inlineStr">
        <is>
          <t>生态脆弱、严重退化和不宜放牧的禁牧区天然草原，包括自然保护区、重要湿地草原和严重退化草原区。禁牧区与草畜平衡区互斥——同一地块不得同时既为禁牧区又为草畜平衡区。</t>
        </is>
      </c>
      <c r="Y32" s="430" t="inlineStr">
        <is>
          <t>N/A</t>
        </is>
      </c>
      <c r="Z32" s="430" t="inlineStr">
        <is>
          <t>禁牧区由各省级政府根据草原退化程度、生态功能重要性等因素在国家指导意见框架内划定。</t>
        </is>
      </c>
      <c r="AA32" s="430" t="inlineStr">
        <is>
          <t>家庭</t>
        </is>
      </c>
      <c r="AB32" s="430" t="inlineStr">
        <is>
          <t>持有禁牧区草原承包经营权证的牧民（牧户）。全国涉及数百万户禁牧区牧民。</t>
        </is>
      </c>
      <c r="AC32" s="430" t="inlineStr">
        <is>
          <t>保存、保护或储藏</t>
        </is>
      </c>
      <c r="AD32" s="430" t="inlineStr">
        <is>
          <t>牧民在禁牧区完全停止放牧活动，草原实行封育保护。牧民须签订禁牧协议，承诺在禁牧期内不在禁牧草原上从事放牧活动。</t>
        </is>
      </c>
      <c r="AE32" s="430" t="inlineStr">
        <is>
          <t>7.5</t>
        </is>
      </c>
      <c r="AF32" s="430" t="inlineStr">
        <is>
          <t>元/亩/年</t>
        </is>
      </c>
      <c r="AG32" s="430" t="inlineStr">
        <is>
          <t>第三轮（2021-2025年）国家标准上限7.5元/亩/年。此前第一轮（2011-2015年）标准为6元/亩/年，第二轮（2016-2020年）部分地区已调高至7.5元/亩/年。各省在国家上限内确定具体执行标准，区域差异较大。来源：财农〔2021〕82号。</t>
        </is>
      </c>
      <c r="AH32" s="430" t="inlineStr">
        <is>
          <t>牧民须持有禁牧区草原承包经营权证，签订禁牧协议，确保禁牧草原在禁牧期内完全不放牧。实行'四到省'管理：资金、任务、目标、责任到省。</t>
        </is>
      </c>
      <c r="AI32" s="430" t="inlineStr">
        <is>
          <t>N/A</t>
        </is>
      </c>
      <c r="AJ32" s="430" t="inlineStr">
        <is>
          <t>按协议面积和补贴标准计算每户应发补助金额。县级农牧部门组织检查核验禁牧执行情况，确认未发生违规放牧后通过'一卡通'发放补助。违规放牧累计2次扣减50%补助，累计3次取消补助资格。</t>
        </is>
      </c>
      <c r="AK32" s="430" t="inlineStr">
        <is>
          <t>N/A</t>
        </is>
      </c>
      <c r="AL32" s="430" t="inlineStr">
        <is>
          <t>N/A</t>
        </is>
      </c>
      <c r="AM32" s="430" t="inlineStr">
        <is>
          <t>N/A</t>
        </is>
      </c>
      <c r="AN32" s="430" t="inlineStr">
        <is>
          <t>N/A</t>
        </is>
      </c>
      <c r="AO32" s="430" t="inlineStr">
        <is>
          <t>国家标准上限7.5元/亩/年。各省可在上限内自行确定，个别区域由于生态重要性可大幅上浮。多数地区设户均上限（不超过8000-9000元/年）。</t>
        </is>
      </c>
      <c r="AP32" s="430" t="inlineStr">
        <is>
          <t>N/A</t>
        </is>
      </c>
      <c r="AQ32" s="430" t="inlineStr">
        <is>
          <t>中央财政按禁牧面积分配资金→省级细化→县级核定每户禁牧面积→通过'一卡通'直接发放至牧民银行账户。村级公示。</t>
        </is>
      </c>
      <c r="AR32" s="430" t="inlineStr">
        <is>
          <t>按轮次实施，每轮5年。首轮2011-2015年，第二轮2016-2020年，第三轮2021-2025年，第四轮2026-2030年已宣布。禁牧期内补助每年发放。</t>
        </is>
      </c>
      <c r="AS32" s="430" t="inlineStr">
        <is>
          <t>县级农牧部门定期检查禁牧区放牧情况。第一次违规警告，第二次扣减50%补助，第三次取消补助资格并收回禁牧区草原承包经营权。草原管护纳入草原承包经营者责任，设立草原管护员公益性岗位。</t>
        </is>
      </c>
      <c r="AT32" s="430" t="inlineStr">
        <is>
          <t>N/A</t>
        </is>
      </c>
      <c r="AU32" s="430" t="inlineStr">
        <is>
          <t>N/A</t>
        </is>
      </c>
      <c r="AV32" s="430" t="inlineStr">
        <is>
          <t>N/A</t>
        </is>
      </c>
      <c r="AW32" s="430" t="inlineStr">
        <is>
          <t>N/A</t>
        </is>
      </c>
      <c r="AX32" s="430" t="inlineStr">
        <is>
          <t>N/A</t>
        </is>
      </c>
      <c r="AY32" s="430" t="inlineStr">
        <is>
          <t>N/A</t>
        </is>
      </c>
      <c r="AZ32" s="430" t="inlineStr">
        <is>
          <t>N/A</t>
        </is>
      </c>
      <c r="BA32" s="430" t="inlineStr">
        <is>
          <t>N/A</t>
        </is>
      </c>
      <c r="BB32" s="430" t="inlineStr">
        <is>
          <t>N/A</t>
        </is>
      </c>
      <c r="BC32" s="430" t="inlineStr">
        <is>
          <t>N/A</t>
        </is>
      </c>
      <c r="BD32" s="430" t="inlineStr">
        <is>
          <t>N/A</t>
        </is>
      </c>
      <c r="BE32" s="430" t="inlineStr">
        <is>
          <t>N/A</t>
        </is>
      </c>
      <c r="BF32" s="430" t="inlineStr">
        <is>
          <t>A01</t>
        </is>
      </c>
      <c r="BG32" s="430" t="inlineStr">
        <is>
          <t>CO2; CH4; N2O</t>
        </is>
      </c>
      <c r="BH32" s="430" t="inlineStr">
        <is>
          <t>正向</t>
        </is>
      </c>
      <c r="BI32" s="430" t="inlineStr">
        <is>
          <t>生物多样性保护；生态保护；适应气候变化</t>
        </is>
      </c>
      <c r="BJ32" s="430" t="inlineStr">
        <is>
          <t>草原法第三十五条、第四十七条；财农〔2021〕82号</t>
        </is>
      </c>
      <c r="BK32" s="430" t="inlineStr">
        <is>
          <t>https://www.moa.gov.cn/govpublic/CWS/201112/t20111222_2441035.htm</t>
        </is>
      </c>
      <c r="BL32" s="430" t="inlineStr">
        <is>
          <t>http://www.mof.gov.cn/gp/xxgkml/nys/201201/t20120116_2500355.htm</t>
        </is>
      </c>
      <c r="BM32" s="430" t="inlineStr"/>
    </row>
    <row r="33">
      <c r="A33" s="430" t="inlineStr">
        <is>
          <t>CHNSUBESPI03S002</t>
        </is>
      </c>
      <c r="B33" s="430" t="inlineStr">
        <is>
          <t>子方案</t>
        </is>
      </c>
      <c r="C33" s="430" t="inlineStr">
        <is>
          <t>补贴</t>
        </is>
      </c>
      <c r="D33" s="430" t="inlineStr">
        <is>
          <t>生态系统服务付费</t>
        </is>
      </c>
      <c r="E33" s="430" t="inlineStr">
        <is>
          <t>农业、林业和其他土地利用</t>
        </is>
      </c>
      <c r="F33" s="430" t="inlineStr">
        <is>
          <t>草地；畜牧业</t>
        </is>
      </c>
      <c r="G33" s="430" t="inlineStr">
        <is>
          <t>草原生态保护补助奖励—草畜平衡奖励子方案</t>
        </is>
      </c>
      <c r="H33" s="430" t="inlineStr">
        <is>
          <t>Grassland Ecological Protection Subsidy and Reward - Grass-Livestock Balance Reward subscheme</t>
        </is>
      </c>
      <c r="I33" s="430" t="inlineStr">
        <is>
          <t>草原生态保护补助奖励</t>
        </is>
      </c>
      <c r="J33" s="430"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430" t="inlineStr">
        <is>
          <t>生态保护</t>
        </is>
      </c>
      <c r="L33" s="430" t="inlineStr">
        <is>
          <t>间接</t>
        </is>
      </c>
      <c r="M33" s="430" t="inlineStr">
        <is>
          <t>国家</t>
        </is>
      </c>
      <c r="N33" s="430" t="inlineStr">
        <is>
          <t>N/A</t>
        </is>
      </c>
      <c r="O33" s="430" t="inlineStr">
        <is>
          <t>12/10/2010</t>
        </is>
      </c>
      <c r="P33" s="430" t="inlineStr">
        <is>
          <t>01/01/2011</t>
        </is>
      </c>
      <c r="Q33" s="430" t="inlineStr">
        <is>
          <t>N/A</t>
        </is>
      </c>
      <c r="R33" s="430" t="inlineStr">
        <is>
          <t>2021</t>
        </is>
      </c>
      <c r="S33" s="430" t="inlineStr">
        <is>
          <t>第三轮政策（2021-2025年）将草畜平衡奖励国家标准上限从1.5元/亩/年提高至2.5元/亩/年，并引入动态调整机制：草畜平衡区草原退化的可转为禁牧区。</t>
        </is>
      </c>
      <c r="T33" s="430">
        <f>IF(P33="","生效",IF(P33="N/A","生效",IF(TODAY()&lt;DATE(VALUE(RIGHT(P33,4)),VALUE(MID(P33,4,2)),VALUE(LEFT(P33,2))),"计划实施",IF(Q33="","生效",IF(Q33="N/A","生效",IF(TODAY()&lt;DATE(VALUE(RIGHT(Q33,4)),VALUE(MID(Q33,4,2)),VALUE(LEFT(Q33,2))),"生效","已终止"))))))</f>
        <v/>
      </c>
      <c r="U33" s="430" t="inlineStr">
        <is>
          <t>财政部；农业农村部；国家林业和草原局；省级和县级农牧、财政主管部门</t>
        </is>
      </c>
      <c r="V33" s="430" t="inlineStr">
        <is>
          <t>草地</t>
        </is>
      </c>
      <c r="W33" s="430" t="inlineStr">
        <is>
          <t>既有</t>
        </is>
      </c>
      <c r="X33" s="430" t="inlineStr">
        <is>
          <t>禁牧区以外的所有可利用天然草原（草畜平衡区）。草畜平衡区与禁牧区互斥——同一地块不得同时既为禁牧区又为草畜平衡区。草原恢复达标后，禁牧区可动态调整为草畜平衡区。</t>
        </is>
      </c>
      <c r="Y33" s="430" t="inlineStr">
        <is>
          <t>N/A</t>
        </is>
      </c>
      <c r="Z33" s="430" t="inlineStr">
        <is>
          <t>草畜平衡区由各省级政府在禁牧区划定之外，根据可利用草原分布和承载能力确定。</t>
        </is>
      </c>
      <c r="AA33" s="430" t="inlineStr">
        <is>
          <t>家庭</t>
        </is>
      </c>
      <c r="AB33" s="430" t="inlineStr">
        <is>
          <t>持有草畜平衡区草原承包经营权证的牧民（牧户）。全国涉及数百万户草畜平衡区牧民。</t>
        </is>
      </c>
      <c r="AC33" s="430" t="inlineStr">
        <is>
          <t>保存、保护或储藏；生产、发电或转化</t>
        </is>
      </c>
      <c r="AD33" s="430" t="inlineStr">
        <is>
          <t>牧民可在草畜平衡区按核定载畜量放牧，但须将牲畜数量控制在核定的合理载畜量以内，并按当地规定实行季节性休牧（一般在春季返青期休牧45天以上）。牧民须签订草畜平衡协议，承诺不超载放牧。</t>
        </is>
      </c>
      <c r="AE33" s="430" t="inlineStr">
        <is>
          <t>2.5</t>
        </is>
      </c>
      <c r="AF33" s="430" t="inlineStr">
        <is>
          <t>元/亩/年</t>
        </is>
      </c>
      <c r="AG33" s="430" t="inlineStr">
        <is>
          <t>第三轮（2021-2025年）国家标准上限2.5元/亩/年。此前第一轮（2011-2015年）标准为1.5元/亩/年，第二轮（2016-2020年）部分地区已调高至2.5元/亩/年。各省在国家上限内确定具体执行标准。来源：财农〔2021〕82号。</t>
        </is>
      </c>
      <c r="AH33" s="430" t="inlineStr">
        <is>
          <t>牧民须持有草畜平衡区草原承包经营权证，签订草畜平衡协议，确保年度放牧规模不超过经核定公布的草原载畜量。超载10%以上将扣减奖励。须按规定落实季节性休牧制度。</t>
        </is>
      </c>
      <c r="AI33" s="430" t="inlineStr">
        <is>
          <t>N/A</t>
        </is>
      </c>
      <c r="AJ33" s="430"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K33" s="430" t="inlineStr">
        <is>
          <t>N/A</t>
        </is>
      </c>
      <c r="AL33" s="430" t="inlineStr">
        <is>
          <t>N/A</t>
        </is>
      </c>
      <c r="AM33" s="430" t="inlineStr">
        <is>
          <t>N/A</t>
        </is>
      </c>
      <c r="AN33" s="430" t="inlineStr">
        <is>
          <t>N/A</t>
        </is>
      </c>
      <c r="AO33" s="430" t="inlineStr">
        <is>
          <t>国家标准上限2.5元/亩/年。各省可在上限内自行确定。设户均上限（多数地区不超过8000-9000元/年）。</t>
        </is>
      </c>
      <c r="AP33" s="430" t="inlineStr">
        <is>
          <t>N/A</t>
        </is>
      </c>
      <c r="AQ33" s="430" t="inlineStr">
        <is>
          <t>中央财政按草畜平衡面积分配资金→省级细化→县级核定每户草畜平衡面积→通过'一卡通'直接发放。村级公示。</t>
        </is>
      </c>
      <c r="AR33" s="430" t="inlineStr">
        <is>
          <t>按轮次实施，每轮5年。首轮2011-2015年，第二轮2016-2020年，第三轮2021-2025年，第四轮2026-2030年已宣布。草畜平衡奖励每年发放。</t>
        </is>
      </c>
      <c r="AS33" s="430" t="inlineStr">
        <is>
          <t>县级农牧部门定期监测草原载畜量和植被状况。超载&gt;10%的扣减或取消当年度奖励资金。草原管护纳入承包经营者责任，设立草原管护员公益性岗位巡护。省级政府负总责。</t>
        </is>
      </c>
      <c r="AT33" s="430" t="inlineStr">
        <is>
          <t>N/A</t>
        </is>
      </c>
      <c r="AU33" s="430" t="inlineStr">
        <is>
          <t>N/A</t>
        </is>
      </c>
      <c r="AV33" s="430" t="inlineStr">
        <is>
          <t>N/A</t>
        </is>
      </c>
      <c r="AW33" s="430" t="inlineStr">
        <is>
          <t>N/A</t>
        </is>
      </c>
      <c r="AX33" s="430" t="inlineStr">
        <is>
          <t>N/A</t>
        </is>
      </c>
      <c r="AY33" s="430" t="inlineStr">
        <is>
          <t>N/A</t>
        </is>
      </c>
      <c r="AZ33" s="430" t="inlineStr">
        <is>
          <t>N/A</t>
        </is>
      </c>
      <c r="BA33" s="430" t="inlineStr">
        <is>
          <t>N/A</t>
        </is>
      </c>
      <c r="BB33" s="430" t="inlineStr">
        <is>
          <t>N/A</t>
        </is>
      </c>
      <c r="BC33" s="430" t="inlineStr">
        <is>
          <t>N/A</t>
        </is>
      </c>
      <c r="BD33" s="430" t="inlineStr">
        <is>
          <t>N/A</t>
        </is>
      </c>
      <c r="BE33" s="430" t="inlineStr">
        <is>
          <t>N/A</t>
        </is>
      </c>
      <c r="BF33" s="430" t="inlineStr">
        <is>
          <t>A01</t>
        </is>
      </c>
      <c r="BG33" s="430" t="inlineStr">
        <is>
          <t>CO2; CH4; N2O</t>
        </is>
      </c>
      <c r="BH33" s="430" t="inlineStr">
        <is>
          <t>正向</t>
        </is>
      </c>
      <c r="BI33" s="430" t="inlineStr">
        <is>
          <t>生物多样性保护；生态保护；适应气候变化；产业发展</t>
        </is>
      </c>
      <c r="BJ33" s="430" t="inlineStr">
        <is>
          <t>草原法第三十五条、第四十五条；财农〔2021〕82号</t>
        </is>
      </c>
      <c r="BK33" s="430" t="inlineStr">
        <is>
          <t>https://www.moa.gov.cn/govpublic/CWS/201112/t20111222_2441035.htm</t>
        </is>
      </c>
      <c r="BL33" s="430" t="inlineStr">
        <is>
          <t>http://www.mof.gov.cn/gp/xxgkml/nys/201201/t20120116_2500355.htm</t>
        </is>
      </c>
      <c r="BM33" s="430"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t>
        </is>
      </c>
      <c r="L34" s="341" t="inlineStr">
        <is>
          <t>间接</t>
        </is>
      </c>
      <c r="M34" s="341" t="inlineStr">
        <is>
          <t>国家</t>
        </is>
      </c>
      <c r="N34" s="341" t="inlineStr">
        <is>
          <t>N/A</t>
        </is>
      </c>
      <c r="O34" s="341" t="inlineStr">
        <is>
          <t>16/09/2002</t>
        </is>
      </c>
      <c r="P34" s="341" t="inlineStr">
        <is>
          <t>18/03/2003</t>
        </is>
      </c>
      <c r="Q34" s="341" t="inlineStr">
        <is>
          <t>N/A</t>
        </is>
      </c>
      <c r="R34" s="341" t="inlineStr">
        <is>
          <t>2021</t>
        </is>
      </c>
      <c r="S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T34" s="341">
        <f>IF(P34="","生效",IF(P34="N/A","生效",IF(TODAY()&lt;DATE(VALUE(RIGHT(P34,4)),VALUE(MID(P34,4,2)),VALUE(LEFT(P34,2))),"计划实施",IF(Q34="","生效",IF(Q34="N/A","生效",IF(TODAY()&lt;DATE(VALUE(RIGHT(Q34,4)),VALUE(MID(Q34,4,2)),VALUE(LEFT(Q34,2))),"生效","已终止"))))))</f>
        <v/>
      </c>
      <c r="U34" s="341" t="inlineStr">
        <is>
          <t>国家发展改革委（主管工程投资计划）；国家林业和草原局（主管工程实施）；财政部（主管资金管理）；农业农村部；省级和县级发改、林草、农牧主管部门</t>
        </is>
      </c>
      <c r="V34" s="341" t="inlineStr">
        <is>
          <t>草地</t>
        </is>
      </c>
      <c r="W34" s="341" t="inlineStr">
        <is>
          <t>既有</t>
        </is>
      </c>
      <c r="X34" s="341" t="inlineStr">
        <is>
          <t>全国生态脆弱区和严重退化区的天然草原，主要分布在内蒙古、新疆、青海、甘肃、四川、西藏、宁夏、云南等8省（区）和新疆生产建设兵团。工程区草原须符合禁牧围栏、休牧轮牧或补播改良的条件。</t>
        </is>
      </c>
      <c r="Y34" s="341" t="inlineStr">
        <is>
          <t>N/A</t>
        </is>
      </c>
      <c r="Z34" s="341" t="inlineStr">
        <is>
          <t>按国务院关于加强草原保护与建设的若干意见（国发〔2002〕19号）和国家发改委等部门下达的年度退牧还草任务范围确定。各省在中央下达任务内自主选择具体地块。</t>
        </is>
      </c>
      <c r="AA34" s="341" t="inlineStr">
        <is>
          <t>家庭；企业</t>
        </is>
      </c>
      <c r="AB34" s="341" t="inlineStr">
        <is>
          <t>退牧还草工程区的草原承包经营牧民（牧户）为主要受益和实施主体。牧区集体经济组织、牧民专业合作社和牧业企业参与饲草地建设和舍饲棚圈运营。涉及约120万户牧民。</t>
        </is>
      </c>
      <c r="AC34" s="341" t="inlineStr">
        <is>
          <t>保存、保护或储藏；生产、发电或转化</t>
        </is>
      </c>
      <c r="AD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E34" s="341" t="inlineStr">
        <is>
          <t>20;160;3000</t>
        </is>
      </c>
      <c r="AF34" s="341" t="inlineStr">
        <is>
          <t>元/亩；元/亩；元/户</t>
        </is>
      </c>
      <c r="AG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H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I34" s="341" t="inlineStr">
        <is>
          <t>N/A</t>
        </is>
      </c>
      <c r="AJ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K34" s="341" t="inlineStr">
        <is>
          <t>N/A</t>
        </is>
      </c>
      <c r="AL34" s="341" t="inlineStr">
        <is>
          <t>N/A</t>
        </is>
      </c>
      <c r="AM34" s="341" t="inlineStr">
        <is>
          <t>N/A</t>
        </is>
      </c>
      <c r="AN34" s="341" t="inlineStr">
        <is>
          <t>N/A</t>
        </is>
      </c>
      <c r="AO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P34" s="341" t="inlineStr">
        <is>
          <t>N/A</t>
        </is>
      </c>
      <c r="AQ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R34" s="341" t="inlineStr">
        <is>
          <t>退牧还草工程为长期性草原生态建设项目，自2003年启动已连续实施超过20年，目前纳入'十四五'草原保护修复规划继续实施。禁牧围栏区一般实施5年以上或长期禁牧。</t>
        </is>
      </c>
      <c r="AS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T34" s="341" t="inlineStr">
        <is>
          <t>N/A</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A01</t>
        </is>
      </c>
      <c r="BG34" s="341" t="inlineStr">
        <is>
          <t>CO2; CH4; N2O</t>
        </is>
      </c>
      <c r="BH34" s="341" t="inlineStr">
        <is>
          <t>正向</t>
        </is>
      </c>
      <c r="BI34" s="341" t="inlineStr">
        <is>
          <t>生物多样性保护；生态保护；适应气候变化；技术创新</t>
        </is>
      </c>
      <c r="BJ34" s="341" t="inlineStr">
        <is>
          <t>中华人民共和国草原法第三十五条、第四十六条、第四十七条、第四十八条；国务院关于加强草原保护与建设的若干意见（国发〔2002〕19号）</t>
        </is>
      </c>
      <c r="BK34" s="341" t="inlineStr">
        <is>
          <t>http://www.gov.cn/gongbao/content/2002/content_61781.htm</t>
        </is>
      </c>
      <c r="BL34" s="341" t="inlineStr">
        <is>
          <t>https://www.ndrc.gov.cn/xxgk/zcfb/tz/201109/t20110919_964818.html; http://www.gov.cn/gongbao/content/2021/content_5600082.htm; https://www.moa.gov.cn/govpublic/XMYS/201006/t20100606_1534930.htm</t>
        </is>
      </c>
      <c r="BM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生态保护；适应气候变化</t>
        </is>
      </c>
      <c r="L35" s="341" t="inlineStr">
        <is>
          <t>间接</t>
        </is>
      </c>
      <c r="M35" s="341" t="inlineStr">
        <is>
          <t>国家</t>
        </is>
      </c>
      <c r="N35" s="341" t="inlineStr">
        <is>
          <t>N/A</t>
        </is>
      </c>
      <c r="O35" s="341" t="inlineStr">
        <is>
          <t>24/10/2000</t>
        </is>
      </c>
      <c r="P35" s="341" t="inlineStr">
        <is>
          <t>01/12/2000</t>
        </is>
      </c>
      <c r="Q35" s="341" t="inlineStr">
        <is>
          <t>N/A</t>
        </is>
      </c>
      <c r="R35" s="341" t="inlineStr">
        <is>
          <t>23/07/2019</t>
        </is>
      </c>
      <c r="S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T35" s="341">
        <f>IF(P35="","生效",IF(P35="N/A","生效",IF(TODAY()&lt;DATE(VALUE(RIGHT(P35,4)),VALUE(MID(P35,4,2)),VALUE(LEFT(P35,2))),"计划实施",IF(Q35="","生效",IF(Q35="N/A","生效",IF(TODAY()&lt;DATE(VALUE(RIGHT(Q35,4)),VALUE(MID(Q35,4,2)),VALUE(LEFT(Q35,2))),"生效","已终止"))))))</f>
        <v/>
      </c>
      <c r="U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V35" s="341" t="inlineStr">
        <is>
          <t>森林</t>
        </is>
      </c>
      <c r="W35" s="341" t="inlineStr">
        <is>
          <t>既有</t>
        </is>
      </c>
      <c r="X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Y35" s="341" t="inlineStr">
        <is>
          <t>N/A</t>
        </is>
      </c>
      <c r="Z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A35" s="341" t="inlineStr">
        <is>
          <t>家庭；企业；政府</t>
        </is>
      </c>
      <c r="AB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C35" s="341" t="inlineStr">
        <is>
          <t>保存、保护或储藏；生产、发电或转化</t>
        </is>
      </c>
      <c r="AD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E35" s="341" t="inlineStr">
        <is>
          <t>500;100;120</t>
        </is>
      </c>
      <c r="AF35" s="341" t="inlineStr">
        <is>
          <t>元/亩</t>
        </is>
      </c>
      <c r="AG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H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I35" s="341" t="inlineStr">
        <is>
          <t>N/A</t>
        </is>
      </c>
      <c r="AJ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K35" s="341" t="inlineStr">
        <is>
          <t>N/A</t>
        </is>
      </c>
      <c r="AL35" s="341" t="inlineStr">
        <is>
          <t>N/A</t>
        </is>
      </c>
      <c r="AM35" s="341" t="inlineStr">
        <is>
          <t>N/A</t>
        </is>
      </c>
      <c r="AN35" s="341" t="inlineStr">
        <is>
          <t>约250亿元/年（天保二期2011-2020年年均中央投资244亿元；来源：国家发改委天保二期方案。1998-2020年累计中央投资超过5000亿元）。</t>
        </is>
      </c>
      <c r="AO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P35" s="341" t="inlineStr">
        <is>
          <t>N/A</t>
        </is>
      </c>
      <c r="AQ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R35" s="341" t="inlineStr">
        <is>
          <t>天保工程一期10年（2000-2010年），二期10年（2011-2020年）。2019年制度方案将天然林保护从阶段性工程提升为永久性制度。2025年中长期规划覆盖2021-2035年，确立了长期稳定的中央财政投入机制。</t>
        </is>
      </c>
      <c r="AS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T35" s="341" t="inlineStr">
        <is>
          <t>N/A</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E35" s="341" t="inlineStr">
        <is>
          <t>N/A</t>
        </is>
      </c>
      <c r="BF35" s="341" t="inlineStr">
        <is>
          <t>A02</t>
        </is>
      </c>
      <c r="BG35" s="341" t="inlineStr">
        <is>
          <t>CO2</t>
        </is>
      </c>
      <c r="BH35" s="341" t="inlineStr">
        <is>
          <t>正向</t>
        </is>
      </c>
      <c r="BI35" s="341" t="inlineStr">
        <is>
          <t>污染防治；生物多样性保护；生态保护；适应气候变化；就业和减贫</t>
        </is>
      </c>
      <c r="BJ35" s="341" t="inlineStr">
        <is>
          <t>中华人民共和国森林法（2019年修订）第三十二条；天然林保护修复制度方案（厅字〔2019〕39号）；天然林保护修复中长期规划（2025年2月六部门印发）</t>
        </is>
      </c>
      <c r="BK35" s="341" t="inlineStr">
        <is>
          <t>https://www.gov.cn/zhengce/2019-07/23/content_5413850.htm</t>
        </is>
      </c>
      <c r="BL35" s="341" t="inlineStr">
        <is>
          <t>https://www.forestry.gov.cn/c/www/gkgfxwj/300304.jhtml; https://www.forestry.gov.cn/c/www/stgtlh/608745.jhtml; http://big5.www.gov.cn/gate/big5/www.gov.cn/govweb/gzdt/2011-05/17/content_1865437.htm</t>
        </is>
      </c>
      <c r="BM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国家</t>
        </is>
      </c>
      <c r="N36" s="341" t="inlineStr">
        <is>
          <t>N/A</t>
        </is>
      </c>
      <c r="O36" s="341" t="inlineStr">
        <is>
          <t>30/12/2010</t>
        </is>
      </c>
      <c r="P36" s="341" t="inlineStr">
        <is>
          <t>01/01/2011</t>
        </is>
      </c>
      <c r="Q36" s="341" t="inlineStr">
        <is>
          <t>N/A</t>
        </is>
      </c>
      <c r="R36" s="341" t="inlineStr">
        <is>
          <t>17/12/2013</t>
        </is>
      </c>
      <c r="S36" s="341" t="inlineStr">
        <is>
          <t>N/A</t>
        </is>
      </c>
      <c r="T36" s="341">
        <f>IF(P36="","生效",IF(P36="N/A","生效",IF(TODAY()&lt;DATE(VALUE(RIGHT(P36,4)),VALUE(MID(P36,4,2)),VALUE(LEFT(P36,2))),"计划实施",IF(Q36="","生效",IF(Q36="N/A","生效",IF(TODAY()&lt;DATE(VALUE(RIGHT(Q36,4)),VALUE(MID(Q36,4,2)),VALUE(LEFT(Q36,2))),"生效","已终止"))))))</f>
        <v/>
      </c>
      <c r="U36" s="341" t="inlineStr">
        <is>
          <t>财政部（负责企业所得税优惠政策制定）；国家税务总局（负责企业所得税征收和优惠政策管理）；国家发展和改革委员会（负责节能服务产业和合同能源管理项目管理）</t>
        </is>
      </c>
      <c r="V36" s="341" t="inlineStr">
        <is>
          <t>节能项目；用能设备</t>
        </is>
      </c>
      <c r="W36" s="341" t="inlineStr">
        <is>
          <t>既有</t>
        </is>
      </c>
      <c r="X36" s="341" t="inlineStr">
        <is>
          <t>节能服务公司实施的合同能源管理项目，包括余热余压利用、绿色照明、电机系统节能、能源系统优化及其他节能减排技术改造项目。项目须符合合同能源管理技术通则（GB/T 24915）技术要求。</t>
        </is>
      </c>
      <c r="Y36" s="341" t="inlineStr">
        <is>
          <t>N/A</t>
        </is>
      </c>
      <c r="Z36" s="341" t="inlineStr">
        <is>
          <t>节能服务公司投资比例不低于项目总投资的70%</t>
        </is>
      </c>
      <c r="AA36" s="341" t="inlineStr">
        <is>
          <t>企业</t>
        </is>
      </c>
      <c r="AB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C36" s="341" t="inlineStr">
        <is>
          <t>生产、发电或转换</t>
        </is>
      </c>
      <c r="AD36" s="341" t="inlineStr">
        <is>
          <t>节能服务公司通过与用能单位签订节能效益分享型合同，投资节能设备和技术，对用能单位现有用能设备和系统进行改造，并实施运行管理。</t>
        </is>
      </c>
      <c r="AE36" s="341" t="inlineStr">
        <is>
          <t>100; 50</t>
        </is>
      </c>
      <c r="AF36" s="341" t="inlineStr">
        <is>
          <t>%（企业所得税税率百分比）</t>
        </is>
      </c>
      <c r="AG36" s="341" t="inlineStr">
        <is>
          <t>第1-3年：企业所得税免征（100%减免）。第4-6年：企业所得税减按50%征收，即12.5%税率（50%减免，法定税率25%）。若效益分享期短于6年，则按实际分享期享受优惠。</t>
        </is>
      </c>
      <c r="AH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I36" s="341" t="inlineStr">
        <is>
          <t>第1-3年：应纳税额 = 0（免征）。第4-6年：应纳税额 = 应纳税所得额 × 25% × 50% = 应纳税所得额 × 12.5%。优惠期自项目取得第一笔生产经营收入所属纳税年度起连续计算6年。</t>
        </is>
      </c>
      <c r="AJ36" s="341" t="inlineStr">
        <is>
          <t>实际效益分享期短于6年的，按实际分享期享受优惠。优惠期内项目转让的，受让方可继续享受剩余期限的优惠。</t>
        </is>
      </c>
      <c r="AK36" s="341" t="inlineStr">
        <is>
          <t>N/A</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M74</t>
        </is>
      </c>
      <c r="BG36" s="341" t="inlineStr">
        <is>
          <t>CO2</t>
        </is>
      </c>
      <c r="BH36" s="341" t="inlineStr">
        <is>
          <t>正向</t>
        </is>
      </c>
      <c r="BI36" s="341" t="inlineStr">
        <is>
          <t>产业发展；技术创新；能源安全</t>
        </is>
      </c>
      <c r="BJ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K36" s="341" t="inlineStr">
        <is>
          <t>https://fgk.chinatax.gov.cn/zcfgk/c102416/c5203598/content.html</t>
        </is>
      </c>
      <c r="BL36" s="341" t="inlineStr">
        <is>
          <t>https://www.chinatax.gov.cn/chinatax/n810341/n810765/n812146/n812300/c1080063/content.html</t>
        </is>
      </c>
      <c r="BM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污染防治；能源效率；循环经济</t>
        </is>
      </c>
      <c r="L37" s="341" t="inlineStr">
        <is>
          <t>直接</t>
        </is>
      </c>
      <c r="M37" s="341" t="inlineStr">
        <is>
          <t>国家</t>
        </is>
      </c>
      <c r="N37" s="341" t="inlineStr">
        <is>
          <t>N/A</t>
        </is>
      </c>
      <c r="O37" s="341" t="inlineStr">
        <is>
          <t>16/03/2007</t>
        </is>
      </c>
      <c r="P37" s="341" t="inlineStr">
        <is>
          <t>01/01/2008</t>
        </is>
      </c>
      <c r="Q37" s="341" t="inlineStr">
        <is>
          <t>N/A</t>
        </is>
      </c>
      <c r="R37" s="341" t="inlineStr">
        <is>
          <t>01/01/2021</t>
        </is>
      </c>
      <c r="S37" s="341" t="inlineStr">
        <is>
          <t>N/A</t>
        </is>
      </c>
      <c r="T37" s="341">
        <f>IF(P37="","生效",IF(P37="N/A","生效",IF(TODAY()&lt;DATE(VALUE(RIGHT(P37,4)),VALUE(MID(P37,4,2)),VALUE(LEFT(P37,2))),"计划实施",IF(Q37="","生效",IF(Q37="N/A","生效",IF(TODAY()&lt;DATE(VALUE(RIGHT(Q37,4)),VALUE(MID(Q37,4,2)),VALUE(LEFT(Q37,2))),"生效","已终止"))))))</f>
        <v/>
      </c>
      <c r="U37" s="341" t="inlineStr">
        <is>
          <t>财政部（负责企业所得税优惠政策制定）；国家税务总局（负责企业所得税征收和优惠政策管理）；国家发展和改革委员会（参与优惠目录制定）；生态环境部（参与环境保护项目目录制定）</t>
        </is>
      </c>
      <c r="V37" s="341" t="inlineStr">
        <is>
          <t>污水处理设施；废物处理设施；沼气项目；碳捕集利用与封存设施；建筑节能系统；通信基站和数据中心节能系统；海水淡化设施</t>
        </is>
      </c>
      <c r="W37" s="341" t="inlineStr">
        <is>
          <t>既有; 新建</t>
        </is>
      </c>
      <c r="X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Y37" s="341" t="inlineStr">
        <is>
          <t>N/A</t>
        </is>
      </c>
      <c r="Z37" s="341" t="inlineStr">
        <is>
          <t>N/A</t>
        </is>
      </c>
      <c r="AA37" s="341" t="inlineStr">
        <is>
          <t>企业</t>
        </is>
      </c>
      <c r="AB37" s="341" t="inlineStr">
        <is>
          <t>从事符合目录条件的环境保护、节能节水项目的居民企业。企业须实行查账征收，采用自行申报、留存备查方式享受优惠。</t>
        </is>
      </c>
      <c r="AC37" s="341" t="inlineStr">
        <is>
          <t>生产、发电或转换</t>
        </is>
      </c>
      <c r="AD37" s="341" t="inlineStr">
        <is>
          <t>企业投资、建设和运营符合条件的环境保护、节能节水项目（如污水处理厂、垃圾处理厂、沼气项目、CCUS项目、海水淡化厂）并取得项目运营收入。</t>
        </is>
      </c>
      <c r="AE37" s="341" t="inlineStr">
        <is>
          <t>100; 50</t>
        </is>
      </c>
      <c r="AF37" s="341" t="inlineStr">
        <is>
          <t>%（企业所得税税率百分比）</t>
        </is>
      </c>
      <c r="AG37" s="341" t="inlineStr">
        <is>
          <t>第1-3年：企业所得税免征（100%减免）。第4-6年：企业所得税减按50%征收，即12.5%税率（50%减免，法定税率25%）。优惠期自项目取得第一笔生产经营收入所属纳税年度起连续计算6年。</t>
        </is>
      </c>
      <c r="AH37" s="341" t="inlineStr">
        <is>
          <t>企业须满足：项目列入2021年版目录；项目满足目录规定的技术标准；同一项目不得同时享受其他企业所得税优惠。企业采用自行评估、申报、留存备查方式。</t>
        </is>
      </c>
      <c r="AI37" s="341" t="inlineStr">
        <is>
          <t>第1-3年：应纳税额 = 0（免征）。第4-6年：应纳税额 = 项目应纳税所得额 × 25% × 50% = 项目应纳税所得额 × 12.5%。优惠期自项目取得第一笔生产经营收入所属纳税年度起连续计算6年。</t>
        </is>
      </c>
      <c r="AJ37" s="341" t="inlineStr">
        <is>
          <t>企业同时经营优惠项目和非优惠项目的，应分别核算收入与成本。优惠期内项目转让的，受让方可继续享受剩余期限的优惠。</t>
        </is>
      </c>
      <c r="AK37" s="341" t="inlineStr">
        <is>
          <t>N/A</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E36; E37; E38; E39</t>
        </is>
      </c>
      <c r="BG37" s="341" t="inlineStr">
        <is>
          <t>CO2; CH4; N2O</t>
        </is>
      </c>
      <c r="BH37" s="341" t="inlineStr">
        <is>
          <t>正向</t>
        </is>
      </c>
      <c r="BI37" s="341" t="inlineStr">
        <is>
          <t>污染防治；资源节约；循环经济；技术创新</t>
        </is>
      </c>
      <c r="BJ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K37" s="341" t="inlineStr">
        <is>
          <t>https://www.gov.cn/zhengce/zhengceku/2021-12/29/content_5665116.htm</t>
        </is>
      </c>
      <c r="BL37" s="341" t="inlineStr">
        <is>
          <t>https://www.gov.cn/zhengce/zhengceku/2021-12/29/content_5665116.htm</t>
        </is>
      </c>
      <c r="BM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国家</t>
        </is>
      </c>
      <c r="N38" s="341" t="inlineStr">
        <is>
          <t>N/A</t>
        </is>
      </c>
      <c r="O38" s="341" t="inlineStr">
        <is>
          <t>22/08/2008</t>
        </is>
      </c>
      <c r="P38" s="341" t="inlineStr">
        <is>
          <t>01/01/2008</t>
        </is>
      </c>
      <c r="Q38" s="341" t="inlineStr">
        <is>
          <t>N/A</t>
        </is>
      </c>
      <c r="R38" s="341" t="inlineStr">
        <is>
          <t>01/01/2017</t>
        </is>
      </c>
      <c r="S38" s="341" t="inlineStr">
        <is>
          <t>N/A</t>
        </is>
      </c>
      <c r="T38" s="341">
        <f>IF(P38="","生效",IF(P38="N/A","生效",IF(TODAY()&lt;DATE(VALUE(RIGHT(P38,4)),VALUE(MID(P38,4,2)),VALUE(LEFT(P38,2))),"计划实施",IF(Q38="","生效",IF(Q38="N/A","生效",IF(TODAY()&lt;DATE(VALUE(RIGHT(Q38,4)),VALUE(MID(Q38,4,2)),VALUE(LEFT(Q38,2))),"生效","已终止"))))))</f>
        <v/>
      </c>
      <c r="U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V38" s="341" t="inlineStr">
        <is>
          <t>环境保护专用设备；节能节水专用设备</t>
        </is>
      </c>
      <c r="W38" s="341" t="inlineStr">
        <is>
          <t>新建</t>
        </is>
      </c>
      <c r="X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Y38" s="341" t="inlineStr">
        <is>
          <t>N/A</t>
        </is>
      </c>
      <c r="Z38" s="341" t="inlineStr">
        <is>
          <t>N/A</t>
        </is>
      </c>
      <c r="AA38" s="341" t="inlineStr">
        <is>
          <t>企业</t>
        </is>
      </c>
      <c r="AB38" s="341" t="inlineStr">
        <is>
          <t>购置并实际使用目录所列专用设备的居民企业。包括制造业企业、公用事业企业、资源综合利用企业等。企业须在年度汇算清缴时申报抵免。设备须以自有资金或银行贷款购置，不得使用政府拨款。</t>
        </is>
      </c>
      <c r="AC38" s="341" t="inlineStr">
        <is>
          <t>所有权、使用或资本形成</t>
        </is>
      </c>
      <c r="AD38" s="341" t="inlineStr">
        <is>
          <t>企业从优惠目录中购买符合条件的环境保护、节能节水专用设备并投入实际使用。设备须由企业自身实际使用（不得出租）。5年内转让或出租的，须补缴已抵免税款。</t>
        </is>
      </c>
      <c r="AE38" s="341" t="inlineStr">
        <is>
          <t>10</t>
        </is>
      </c>
      <c r="AF38" s="341" t="inlineStr">
        <is>
          <t>%（设备投资额百分比）</t>
        </is>
      </c>
      <c r="AG38" s="341" t="inlineStr">
        <is>
          <t>专用设备投资额的10%抵免企业当年应纳税额。当年不足抵免的，可在以后五个纳税年度内结转抵免。投资额不包括设备运输、安装、调试费用和退还的增值税。</t>
        </is>
      </c>
      <c r="AH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I38" s="341" t="inlineStr">
        <is>
          <t>可抵免额 = 专用设备投资额（扣除可抵扣进项税额）× 10%。当年实际抵免额不超过当年应纳税额，不足部分结转以后五个纳税年度。</t>
        </is>
      </c>
      <c r="AJ38" s="341" t="inlineStr">
        <is>
          <t>企业自设备投入使用之月起5年内转让或出租设备的，须补缴已抵免税款。补缴额 = 实际已抵免额 ×（1 - 自投入使用之月起已过月数 / 60）。</t>
        </is>
      </c>
      <c r="AK38" s="341" t="inlineStr">
        <is>
          <t>N/A</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C28; D35</t>
        </is>
      </c>
      <c r="BG38" s="341" t="inlineStr">
        <is>
          <t>CO2; CH4; N2O</t>
        </is>
      </c>
      <c r="BH38" s="341" t="inlineStr">
        <is>
          <t>正向</t>
        </is>
      </c>
      <c r="BI38" s="341" t="inlineStr">
        <is>
          <t>污染防治；资源节约；产业发展；技术创新</t>
        </is>
      </c>
      <c r="BJ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K38" s="341" t="inlineStr">
        <is>
          <t>https://fgk.chinatax.gov.cn/zcfgk/c102416/c5202514/content.html</t>
        </is>
      </c>
      <c r="BL38" s="341" t="inlineStr">
        <is>
          <t>https://fgk.chinatax.gov.cn/zcfgk/c102416/c5202514/content.html</t>
        </is>
      </c>
      <c r="BM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国家</t>
        </is>
      </c>
      <c r="N39" s="341" t="inlineStr">
        <is>
          <t>N/A</t>
        </is>
      </c>
      <c r="O39" s="341" t="inlineStr">
        <is>
          <t>12/07/2024</t>
        </is>
      </c>
      <c r="P39" s="341" t="inlineStr">
        <is>
          <t>01/01/2024</t>
        </is>
      </c>
      <c r="Q39" s="341" t="inlineStr">
        <is>
          <t>31/12/2027</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财政部（负责企业所得税优惠政策制定）；国家税务总局（负责企业所得税征收和抵免管理）；工业和信息化部（参与数字化智能化改造技术评估）；科学技术部（参与数字化智能化改造技术评估）</t>
        </is>
      </c>
      <c r="V39" s="341" t="inlineStr">
        <is>
          <t>环境保护专用设备；节能节水专用设备；数字化智能化改造</t>
        </is>
      </c>
      <c r="W39" s="341" t="inlineStr">
        <is>
          <t>既有</t>
        </is>
      </c>
      <c r="X39" s="341" t="inlineStr">
        <is>
          <t>改造对象须为财税〔2017〕71号目录所列设备，改造前后均须符合目录条件。数字化智能化改造涵盖六类：（1）数据采集；（2）数据传输与存储；（3）数据分析；（4）智能控制；（5）安全与防护；（6）系统集成与互联互通。</t>
        </is>
      </c>
      <c r="Y39" s="341" t="inlineStr">
        <is>
          <t>N/A</t>
        </is>
      </c>
      <c r="Z39" s="341" t="inlineStr">
        <is>
          <t>抵免基数不超过设备原计税基础的50%；改造投入须形成该专用设备的固定资产价值</t>
        </is>
      </c>
      <c r="AA39" s="341" t="inlineStr">
        <is>
          <t>企业</t>
        </is>
      </c>
      <c r="AB39" s="341" t="inlineStr">
        <is>
          <t>对目录所列设备进行数字化智能化改造的居民企业。改造资金不得来源于政府拨款。改造完成后5年内转让或出租改造后设备的，须停止享受优惠并补缴已抵免税款。</t>
        </is>
      </c>
      <c r="AC39" s="341" t="inlineStr">
        <is>
          <t>所有权、使用或资本形成</t>
        </is>
      </c>
      <c r="AD39" s="341" t="inlineStr">
        <is>
          <t>企业对现有环境保护、节能节水专用设备进行数字化智能化改造。须事先制定改造方案或取得登记的技术开发或技术服务合同。改造投入须单独核算。</t>
        </is>
      </c>
      <c r="AE39" s="341" t="inlineStr">
        <is>
          <t>10</t>
        </is>
      </c>
      <c r="AF39" s="341" t="inlineStr">
        <is>
          <t>%（改造投入百分比）</t>
        </is>
      </c>
      <c r="AG39" s="341" t="inlineStr">
        <is>
          <t>符合条件的改造投入（不超过设备原计税基础50%的部分）的10%抵免当年应纳税额。当年不足抵免的，可在以后五个纳税年度内结转抵免。</t>
        </is>
      </c>
      <c r="AH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I39" s="341" t="inlineStr">
        <is>
          <t>可抵免额 = 符合条件的改造投入（不超过设备原计税基础 × 50%）× 10%。当年实际抵免额不超过当年应纳税额，不足部分结转以后五个纳税年度。</t>
        </is>
      </c>
      <c r="AJ39" s="341" t="inlineStr">
        <is>
          <t>改造完成后5年内转让或出租改造后设备的，须停止享受优惠并补缴已抵免税款。补缴额 = 实际已抵免额 ×（1 - 自投入使用之月起已过月数 / 60）。</t>
        </is>
      </c>
      <c r="AK39" s="341" t="inlineStr">
        <is>
          <t>N/A</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C28; D35</t>
        </is>
      </c>
      <c r="BG39" s="341" t="inlineStr">
        <is>
          <t>CO2</t>
        </is>
      </c>
      <c r="BH39" s="341" t="inlineStr">
        <is>
          <t>正向</t>
        </is>
      </c>
      <c r="BI39" s="341" t="inlineStr">
        <is>
          <t>产业发展；技术创新</t>
        </is>
      </c>
      <c r="BJ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K39" s="341" t="inlineStr">
        <is>
          <t>https://fgk.chinatax.gov.cn/zcfgk/c102416/c5232952/content.html</t>
        </is>
      </c>
      <c r="BL39" s="341" t="inlineStr">
        <is>
          <t>https://www.gov.cn/zhengce/content/202403/content_6938990.htm</t>
        </is>
      </c>
      <c r="BM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t>
        </is>
      </c>
      <c r="L40" s="341" t="inlineStr">
        <is>
          <t>间接</t>
        </is>
      </c>
      <c r="M40" s="341" t="inlineStr">
        <is>
          <t>国家</t>
        </is>
      </c>
      <c r="N40" s="341" t="inlineStr">
        <is>
          <t>N/A</t>
        </is>
      </c>
      <c r="O40" s="341" t="inlineStr">
        <is>
          <t>16/03/2007</t>
        </is>
      </c>
      <c r="P40" s="341" t="inlineStr">
        <is>
          <t>01/01/2008</t>
        </is>
      </c>
      <c r="Q40" s="341" t="inlineStr">
        <is>
          <t>N/A</t>
        </is>
      </c>
      <c r="R40" s="341" t="inlineStr">
        <is>
          <t>01/01/2021</t>
        </is>
      </c>
      <c r="S40" s="341" t="inlineStr">
        <is>
          <t>N/A</t>
        </is>
      </c>
      <c r="T40" s="341">
        <f>IF(P40="","生效",IF(P40="N/A","生效",IF(TODAY()&lt;DATE(VALUE(RIGHT(P40,4)),VALUE(MID(P40,4,2)),VALUE(LEFT(P40,2))),"计划实施",IF(Q40="","生效",IF(Q40="N/A","生效",IF(TODAY()&lt;DATE(VALUE(RIGHT(Q40,4)),VALUE(MID(Q40,4,2)),VALUE(LEFT(Q40,2))),"生效","已终止"))))))</f>
        <v/>
      </c>
      <c r="U40" s="341" t="inlineStr">
        <is>
          <t>财政部（负责企业所得税优惠政策制定）；国家税务总局（负责企业所得税征收和优惠政策管理）；国家发展和改革委员会（参与优惠目录制定）；生态环境部（参与资源利用目录制定和废物管理）</t>
        </is>
      </c>
      <c r="V40" s="341" t="inlineStr">
        <is>
          <t>共伴生矿产资源；工业废渣和废水（液）；废气；废塑料；废金属；废纸；废玻璃；废轮胎；废弃电器电子产品；农林剩余物；CO2等碳源气体</t>
        </is>
      </c>
      <c r="W40" s="341" t="inlineStr">
        <is>
          <t>既有</t>
        </is>
      </c>
      <c r="X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Y40" s="341" t="inlineStr">
        <is>
          <t>N/A</t>
        </is>
      </c>
      <c r="Z40" s="341" t="inlineStr">
        <is>
          <t>N/A</t>
        </is>
      </c>
      <c r="AA40" s="341" t="inlineStr">
        <is>
          <t>企业</t>
        </is>
      </c>
      <c r="AB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C40" s="341" t="inlineStr">
        <is>
          <t>回收、再利用或其他消费后处理</t>
        </is>
      </c>
      <c r="AD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E40" s="341" t="inlineStr">
        <is>
          <t>10</t>
        </is>
      </c>
      <c r="AF40" s="341" t="inlineStr">
        <is>
          <t>%（应纳税所得额减免百分比）</t>
        </is>
      </c>
      <c r="AG40" s="341" t="inlineStr">
        <is>
          <t>资源综合利用产品收入减按90%计入收入总额，即产品收入的10%不计入应纳税所得额。该比例统一适用于目录中所有资源类别，不区分资源或产品类型。</t>
        </is>
      </c>
      <c r="AH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I40" s="341" t="inlineStr">
        <is>
          <t>应纳税所得额 =（资源综合利用产品收入 × 90%）- 相应成本费用 - 其他扣除项。实质为资源综合利用产品收入的10%免于计入应纳税所得额。</t>
        </is>
      </c>
      <c r="AJ40" s="341" t="inlineStr">
        <is>
          <t>企业同时经营优惠项目和非优惠项目的，收入和成本须分别核算。产品须符合国家和行业标准。企业须留存采购凭证、生产记录和产品质量检验报告备查。</t>
        </is>
      </c>
      <c r="AK40" s="341" t="inlineStr">
        <is>
          <t>N/A</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E38; C20; A02</t>
        </is>
      </c>
      <c r="BG40" s="341" t="inlineStr">
        <is>
          <t>CO2; CH4</t>
        </is>
      </c>
      <c r="BH40" s="341" t="inlineStr">
        <is>
          <t>正向</t>
        </is>
      </c>
      <c r="BI40" s="341" t="inlineStr">
        <is>
          <t>循环经济；资源节约；技术创新</t>
        </is>
      </c>
      <c r="BJ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K40" s="341" t="inlineStr">
        <is>
          <t>https://www.chinatax.gov.cn/chinatax/c102166/c5178971/content.html</t>
        </is>
      </c>
      <c r="BL40" s="341" t="inlineStr">
        <is>
          <t>https://shenzhen.chinatax.gov.cn/sztax/zdgkml/gkmlzcjd/tpjd/202405/611dfb0c35fb4b3c9a78a10521854b06.shtml</t>
        </is>
      </c>
      <c r="BM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国家</t>
        </is>
      </c>
      <c r="N41" s="341" t="inlineStr">
        <is>
          <t>N/A</t>
        </is>
      </c>
      <c r="O41" s="341" t="inlineStr">
        <is>
          <t>01/11/1988</t>
        </is>
      </c>
      <c r="P41" s="341" t="inlineStr">
        <is>
          <t>01/11/1988</t>
        </is>
      </c>
      <c r="Q41" s="341" t="inlineStr">
        <is>
          <t>N/A</t>
        </is>
      </c>
      <c r="R41" s="341" t="inlineStr">
        <is>
          <t>17/03/2019</t>
        </is>
      </c>
      <c r="S41" s="341" t="inlineStr">
        <is>
          <t>根据2019年3月17日国务院关于修改部分行政法规的决定（国务院令第709号）第四次修订</t>
        </is>
      </c>
      <c r="T41" s="341">
        <f>IF(P41="","生效",IF(P41="N/A","生效",IF(TODAY()&lt;DATE(VALUE(RIGHT(P41,4)),VALUE(MID(P41,4,2)),VALUE(LEFT(P41,2))),"计划实施",IF(Q41="","生效",IF(Q41="N/A","生效",IF(TODAY()&lt;DATE(VALUE(RIGHT(Q41,4)),VALUE(MID(Q41,4,2)),VALUE(LEFT(Q41,2))),"生效","已终止"))))))</f>
        <v/>
      </c>
      <c r="U41" s="341" t="inlineStr">
        <is>
          <t>国家税务总局</t>
        </is>
      </c>
      <c r="V41" s="341" t="inlineStr">
        <is>
          <t>水能</t>
        </is>
      </c>
      <c r="W41" s="341" t="inlineStr">
        <is>
          <t>新；现有</t>
        </is>
      </c>
      <c r="X41" s="341" t="inlineStr">
        <is>
          <t>水电站大坝、水库、厂房等用地，包括拦河坝、溢洪道、引水隧洞、调压井、压力管道、水电站厂房、变电站等水工建筑物和发电设施占用的土地</t>
        </is>
      </c>
      <c r="Y41" s="341" t="inlineStr">
        <is>
          <t>N/A</t>
        </is>
      </c>
      <c r="Z41" s="341" t="inlineStr">
        <is>
          <t>N/A</t>
        </is>
      </c>
      <c r="AA41" s="341" t="inlineStr">
        <is>
          <t>企业</t>
        </is>
      </c>
      <c r="AB41" s="341" t="inlineStr">
        <is>
          <t>水力发电企业</t>
        </is>
      </c>
      <c r="AC41" s="341" t="inlineStr">
        <is>
          <t>生产、发电或转换</t>
        </is>
      </c>
      <c r="AD41" s="341" t="inlineStr">
        <is>
          <t>水力发电企业利用水电站大坝、水库、厂房等用地进行水力发电活动，依法免缴相应城镇土地使用税</t>
        </is>
      </c>
      <c r="AE41" s="341" t="inlineStr">
        <is>
          <t>100</t>
        </is>
      </c>
      <c r="AF41" s="341" t="inlineStr">
        <is>
          <t>%（应纳税额减免比例）</t>
        </is>
      </c>
      <c r="AG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H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I41" s="341" t="inlineStr">
        <is>
          <t>应纳城镇土地使用税 = 应税土地面积 × 适用税额标准。免税后应纳税额 = 0。适用税额标准由省、自治区、直辖市人民政府在规定幅度内确定。</t>
        </is>
      </c>
      <c r="AJ41" s="341" t="inlineStr">
        <is>
          <t>N/A</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D35</t>
        </is>
      </c>
      <c r="BG41" s="341" t="inlineStr">
        <is>
          <t>CO2</t>
        </is>
      </c>
      <c r="BH41" s="341" t="inlineStr">
        <is>
          <t>正向</t>
        </is>
      </c>
      <c r="BI41" s="341" t="inlineStr">
        <is>
          <t>污染防治；能源安全</t>
        </is>
      </c>
      <c r="BJ41" s="341" t="inlineStr">
        <is>
          <t>中华人民共和国城镇土地使用税暂行条例</t>
        </is>
      </c>
      <c r="BK41" s="341" t="inlineStr">
        <is>
          <t>https://www.gov.cn/zhengce/content/2008-03/28/content_2526.htm</t>
        </is>
      </c>
      <c r="BL41" s="341" t="inlineStr">
        <is>
          <t>https://www.gov.cn/gongbao/content/2019/content_5377104.htm</t>
        </is>
      </c>
      <c r="BM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能源安全；减缓气候变化；非化石能源</t>
        </is>
      </c>
      <c r="L42" s="341" t="inlineStr">
        <is>
          <t>直接</t>
        </is>
      </c>
      <c r="M42" s="341" t="inlineStr">
        <is>
          <t>国家</t>
        </is>
      </c>
      <c r="N42" s="341" t="inlineStr">
        <is>
          <t>N/A</t>
        </is>
      </c>
      <c r="O42" s="341" t="inlineStr">
        <is>
          <t>01/11/1988</t>
        </is>
      </c>
      <c r="P42" s="341" t="inlineStr">
        <is>
          <t>01/11/1988</t>
        </is>
      </c>
      <c r="Q42" s="341" t="inlineStr">
        <is>
          <t>N/A</t>
        </is>
      </c>
      <c r="R42" s="341" t="inlineStr">
        <is>
          <t>17/03/2019</t>
        </is>
      </c>
      <c r="S42" s="341" t="inlineStr">
        <is>
          <t>根据2019年3月17日国务院关于修改部分行政法规的决定（国务院令第709号）第四次修订</t>
        </is>
      </c>
      <c r="T42" s="341">
        <f>IF(P42="","生效",IF(P42="N/A","生效",IF(TODAY()&lt;DATE(VALUE(RIGHT(P42,4)),VALUE(MID(P42,4,2)),VALUE(LEFT(P42,2))),"计划实施",IF(Q42="","生效",IF(Q42="N/A","生效",IF(TODAY()&lt;DATE(VALUE(RIGHT(Q42,4)),VALUE(MID(Q42,4,2)),VALUE(LEFT(Q42,2))),"生效","已终止"))))))</f>
        <v/>
      </c>
      <c r="U42" s="341" t="inlineStr">
        <is>
          <t>国家税务总局</t>
        </is>
      </c>
      <c r="V42" s="341" t="inlineStr">
        <is>
          <t>核能</t>
        </is>
      </c>
      <c r="W42" s="341" t="inlineStr">
        <is>
          <t>新；现有</t>
        </is>
      </c>
      <c r="X42" s="341" t="inlineStr">
        <is>
          <t>核电站用地，包括核岛（反应堆厂房）、常规岛（汽轮发电机厂房）、核燃料储存设施、放射性废物处理设施等生产性用地</t>
        </is>
      </c>
      <c r="Y42" s="341" t="inlineStr">
        <is>
          <t>N/A</t>
        </is>
      </c>
      <c r="Z42" s="341" t="inlineStr">
        <is>
          <t>N/A</t>
        </is>
      </c>
      <c r="AA42" s="341" t="inlineStr">
        <is>
          <t>企业</t>
        </is>
      </c>
      <c r="AB42" s="341" t="inlineStr">
        <is>
          <t>核电企业</t>
        </is>
      </c>
      <c r="AC42" s="341" t="inlineStr">
        <is>
          <t>生产、发电或转换</t>
        </is>
      </c>
      <c r="AD42" s="341" t="inlineStr">
        <is>
          <t>核电企业利用核电站用地进行核能发电活动，依法免缴相应城镇土地使用税</t>
        </is>
      </c>
      <c r="AE42" s="341" t="inlineStr">
        <is>
          <t>100</t>
        </is>
      </c>
      <c r="AF42" s="341" t="inlineStr">
        <is>
          <t>%（应纳税额减免比例）</t>
        </is>
      </c>
      <c r="AG42" s="341" t="inlineStr">
        <is>
          <t>对符合条件的核电站用地全额免征城镇土地使用税，免征比例为应纳税额的100%。城镇土地使用税年税额标准因城市等级而异。免征后实际税负为零。</t>
        </is>
      </c>
      <c r="AH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I42" s="341" t="inlineStr">
        <is>
          <t>应纳城镇土地使用税 = 应税土地面积 × 适用税额标准。免税后应纳税额 = 0。适用税额标准由省、自治区、直辖市人民政府在规定幅度内确定。</t>
        </is>
      </c>
      <c r="AJ42" s="341" t="inlineStr">
        <is>
          <t>N/A</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D35</t>
        </is>
      </c>
      <c r="BG42" s="341" t="inlineStr">
        <is>
          <t>CO2</t>
        </is>
      </c>
      <c r="BH42" s="341" t="inlineStr">
        <is>
          <t>正向</t>
        </is>
      </c>
      <c r="BI42" s="341" t="inlineStr">
        <is>
          <t>污染防治；能源安全</t>
        </is>
      </c>
      <c r="BJ42" s="341" t="inlineStr">
        <is>
          <t>中华人民共和国城镇土地使用税暂行条例</t>
        </is>
      </c>
      <c r="BK42" s="341" t="inlineStr">
        <is>
          <t>https://www.gov.cn/zhengce/content/2008-03/28/content_2526.htm</t>
        </is>
      </c>
      <c r="BL42" s="341" t="inlineStr">
        <is>
          <t>https://www.gov.cn/gongbao/content/2019/content_5377104.htm</t>
        </is>
      </c>
      <c r="BM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循环经济；减缓气候变化</t>
        </is>
      </c>
      <c r="L43" s="341" t="inlineStr">
        <is>
          <t>间接</t>
        </is>
      </c>
      <c r="M43" s="341" t="inlineStr">
        <is>
          <t>国家</t>
        </is>
      </c>
      <c r="N43" s="341" t="inlineStr">
        <is>
          <t>N/A</t>
        </is>
      </c>
      <c r="O43" s="341" t="inlineStr">
        <is>
          <t>31/12/2021</t>
        </is>
      </c>
      <c r="P43" s="341" t="inlineStr">
        <is>
          <t>01/03/2022</t>
        </is>
      </c>
      <c r="Q43" s="341" t="inlineStr">
        <is>
          <t>N/A</t>
        </is>
      </c>
      <c r="R43" s="341" t="inlineStr">
        <is>
          <t>01/03/2022</t>
        </is>
      </c>
      <c r="S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T43" s="341">
        <f>IF(P43="","生效",IF(P43="N/A","生效",IF(TODAY()&lt;DATE(VALUE(RIGHT(P43,4)),VALUE(MID(P43,4,2)),VALUE(LEFT(P43,2))),"计划实施",IF(Q43="","生效",IF(Q43="N/A","生效",IF(TODAY()&lt;DATE(VALUE(RIGHT(Q43,4)),VALUE(MID(Q43,4,2)),VALUE(LEFT(Q43,2))),"生效","已终止"))))))</f>
        <v/>
      </c>
      <c r="U43" s="341" t="inlineStr">
        <is>
          <t>财政部（主管增值税即征即退政策制定）；国家税务总局（主管增值税征收和退税管理）；省级财政和税务部门（负责退税审批和资金拨付）</t>
        </is>
      </c>
      <c r="V43" s="341" t="inlineStr">
        <is>
          <t>工业废弃物；城市废弃物；其他机械和设备</t>
        </is>
      </c>
      <c r="W43" s="341" t="inlineStr">
        <is>
          <t>N/A</t>
        </is>
      </c>
      <c r="X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Y43" s="341" t="inlineStr">
        <is>
          <t>N/A</t>
        </is>
      </c>
      <c r="Z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A43" s="341" t="inlineStr">
        <is>
          <t>企业</t>
        </is>
      </c>
      <c r="AB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C43" s="341" t="inlineStr">
        <is>
          <t>回收、再利用或其他消费后处理</t>
        </is>
      </c>
      <c r="AD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E43" s="341" t="inlineStr">
        <is>
          <t>30%; 50%; 70%; 100%</t>
        </is>
      </c>
      <c r="AF43" s="341" t="inlineStr">
        <is>
          <t>% of VAT paid refunded</t>
        </is>
      </c>
      <c r="AG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H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I43" s="341" t="inlineStr">
        <is>
          <t>应退税额 = 当期实际缴纳的增值税额 × 适用退税比例（30%/50%/70%/100%）</t>
        </is>
      </c>
      <c r="AJ43" s="341" t="inlineStr">
        <is>
          <t>N/A</t>
        </is>
      </c>
      <c r="AK43" s="341" t="inlineStr">
        <is>
          <t>N/A</t>
        </is>
      </c>
      <c r="AL43" s="341" t="inlineStr">
        <is>
          <t>N/A</t>
        </is>
      </c>
      <c r="AM43" s="341" t="inlineStr">
        <is>
          <t>百亿元级（估计）</t>
        </is>
      </c>
      <c r="AN43" s="341" t="inlineStr">
        <is>
          <t>N/A</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E38</t>
        </is>
      </c>
      <c r="BG43" s="341" t="inlineStr">
        <is>
          <t>CO2; CH4</t>
        </is>
      </c>
      <c r="BH43" s="341" t="inlineStr">
        <is>
          <t>正向</t>
        </is>
      </c>
      <c r="BI43" s="341" t="inlineStr">
        <is>
          <t>产业发展；技术创新；循环经济</t>
        </is>
      </c>
      <c r="BJ43" s="341" t="inlineStr">
        <is>
          <t>财政部 税务总局公告2021年第40号关于完善资源综合利用增值税政策的公告</t>
        </is>
      </c>
      <c r="BK43" s="341" t="inlineStr">
        <is>
          <t>http://szs.mof.gov.cn/zhengcefabu/202112/t20211231_3780338.htm</t>
        </is>
      </c>
      <c r="BL43" s="341" t="inlineStr">
        <is>
          <t>https://12366.chinatax.gov.cn/zqdetail/getcontentPage?lmbm=1b2f350af217414e88fad088c1ae1af5&amp;contentId=4c2044701c2446ba9c780b132a86dd94</t>
        </is>
      </c>
      <c r="BM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国家</t>
        </is>
      </c>
      <c r="N44" s="341" t="inlineStr">
        <is>
          <t>N/A</t>
        </is>
      </c>
      <c r="O44" s="341" t="inlineStr">
        <is>
          <t>10/06/2008</t>
        </is>
      </c>
      <c r="P44" s="341" t="inlineStr">
        <is>
          <t>01/06/2008</t>
        </is>
      </c>
      <c r="Q44" s="341" t="inlineStr">
        <is>
          <t>31/12/2027</t>
        </is>
      </c>
      <c r="R44" s="341" t="inlineStr">
        <is>
          <t>01/01/2026</t>
        </is>
      </c>
      <c r="S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T44" s="341">
        <f>IF(P44="","生效",IF(P44="N/A","生效",IF(TODAY()&lt;DATE(VALUE(RIGHT(P44,4)),VALUE(MID(P44,4,2)),VALUE(LEFT(P44,2))),"计划实施",IF(Q44="","生效",IF(Q44="N/A","生效",IF(TODAY()&lt;DATE(VALUE(RIGHT(Q44,4)),VALUE(MID(Q44,4,2)),VALUE(LEFT(Q44,2))),"生效","已终止"))))))</f>
        <v/>
      </c>
      <c r="U44" s="341" t="inlineStr">
        <is>
          <t>财政部（主管增值税免税政策制定）；国家税务总局（主管增值税征收管理和免税备案）；农业农村部（主管有机肥产品登记管理和有机肥推广）</t>
        </is>
      </c>
      <c r="V44" s="341" t="inlineStr">
        <is>
          <t>生物质</t>
        </is>
      </c>
      <c r="W44" s="341" t="inlineStr">
        <is>
          <t>N/A</t>
        </is>
      </c>
      <c r="X44" s="341" t="inlineStr">
        <is>
          <t>有机肥产品包括：有机肥料（NY/T 525-2021标准）、有机-无机复混肥料（GB/T 18877-2020标准）、生物有机肥（NY 884-2012标准）。不符合上述国家标准或行业标准的肥料产品不得享受免税优惠。</t>
        </is>
      </c>
      <c r="Y44" s="341" t="inlineStr">
        <is>
          <t>N/A</t>
        </is>
      </c>
      <c r="Z44" s="341" t="inlineStr">
        <is>
          <t>产品须符合NY/T 525-2021（有机肥料）、GB/T 18877-2020（有机-无机复混肥料）、NY 884-2012（生物有机肥）国家标准/行业标准。纳税人须取得农业农村部门颁发的肥料登记证。</t>
        </is>
      </c>
      <c r="AA44" s="341" t="inlineStr">
        <is>
          <t>企业</t>
        </is>
      </c>
      <c r="AB44" s="341" t="inlineStr">
        <is>
          <t>有机肥产品的生产企业、批发企业和零售企业。包括有机肥生产制造商、农资经销商和农资零售商。不包括化肥销售企业（化肥适用正常增值税税率9%）。</t>
        </is>
      </c>
      <c r="AC44" s="341" t="inlineStr">
        <is>
          <t>进口、销售或购买</t>
        </is>
      </c>
      <c r="AD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E44" s="341" t="inlineStr">
        <is>
          <t>100</t>
        </is>
      </c>
      <c r="AF44" s="341" t="inlineStr">
        <is>
          <t>% VAT exempted</t>
        </is>
      </c>
      <c r="AG44" s="341" t="inlineStr">
        <is>
          <t>免征增值税（100%减免），原适用税率为9%。2008年6月1日至2025年12月31日为无固定期限免税。2026年1月1日至2027年12月31日为延续有期限免税（依据财政部 税务总局公告2026年第10号）。</t>
        </is>
      </c>
      <c r="AH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I44" s="341" t="inlineStr">
        <is>
          <t>N/A</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C20</t>
        </is>
      </c>
      <c r="BG44" s="341" t="inlineStr">
        <is>
          <t>CO2; N2O</t>
        </is>
      </c>
      <c r="BH44" s="341" t="inlineStr">
        <is>
          <t>正向</t>
        </is>
      </c>
      <c r="BI44" s="341" t="inlineStr">
        <is>
          <t>技术创新；生态保护；污染防治</t>
        </is>
      </c>
      <c r="BJ44" s="341" t="inlineStr">
        <is>
          <t>财税〔2008〕56号关于有机肥产品免征增值税的通知；财政部 税务总局公告2026年第10号关于增值税法施行后增值税优惠政策衔接事项的公告</t>
        </is>
      </c>
      <c r="BK44" s="341" t="inlineStr">
        <is>
          <t>https://tianjin.chinatax.gov.cn/11200000000/0300/030003/20240515092009434.shtml</t>
        </is>
      </c>
      <c r="BL44" s="341" t="inlineStr">
        <is>
          <t>https://www.gov.cn/zhengce/zhengceku/2008-06/10/content_1157.htm</t>
        </is>
      </c>
      <c r="BM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减缓气候变化；能源安全；绿色经济；非化石能源</t>
        </is>
      </c>
      <c r="L45" s="341" t="inlineStr">
        <is>
          <t>直接</t>
        </is>
      </c>
      <c r="M45" s="341" t="inlineStr">
        <is>
          <t>国家</t>
        </is>
      </c>
      <c r="N45" s="341" t="inlineStr">
        <is>
          <t>N/A</t>
        </is>
      </c>
      <c r="O45" s="341" t="inlineStr">
        <is>
          <t>17/10/2025</t>
        </is>
      </c>
      <c r="P45" s="341" t="inlineStr">
        <is>
          <t>01/11/2025</t>
        </is>
      </c>
      <c r="Q45" s="341" t="inlineStr">
        <is>
          <t>31/12/2027</t>
        </is>
      </c>
      <c r="R45" s="341" t="inlineStr">
        <is>
          <t>01/11/2025</t>
        </is>
      </c>
      <c r="S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T45" s="341">
        <f>IF(P45="","生效",IF(P45="N/A","生效",IF(TODAY()&lt;DATE(VALUE(RIGHT(P45,4)),VALUE(MID(P45,4,2)),VALUE(LEFT(P45,2))),"计划实施",IF(Q45="","生效",IF(Q45="N/A","生效",IF(TODAY()&lt;DATE(VALUE(RIGHT(Q45,4)),VALUE(MID(Q45,4,2)),VALUE(LEFT(Q45,2))),"生效","已终止"))))))</f>
        <v/>
      </c>
      <c r="U45" s="341" t="inlineStr">
        <is>
          <t>财政部（主管增值税即征即退政策制定）；国家税务总局（主管增值税征收和退税管理）；海关总署（参与联合发文）；国家能源局（主管海上风电产业政策）</t>
        </is>
      </c>
      <c r="V45" s="341" t="inlineStr">
        <is>
          <t>风能</t>
        </is>
      </c>
      <c r="W45" s="341" t="inlineStr">
        <is>
          <t>新建</t>
        </is>
      </c>
      <c r="X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Y45" s="341" t="inlineStr">
        <is>
          <t>N/A</t>
        </is>
      </c>
      <c r="Z45" s="341" t="inlineStr">
        <is>
          <t>N/A</t>
        </is>
      </c>
      <c r="AA45" s="341" t="inlineStr">
        <is>
          <t>企业</t>
        </is>
      </c>
      <c r="AB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C45" s="341" t="inlineStr">
        <is>
          <t>生产、发电或转化</t>
        </is>
      </c>
      <c r="AD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E45" s="341" t="inlineStr">
        <is>
          <t>50</t>
        </is>
      </c>
      <c r="AF45" s="341" t="inlineStr">
        <is>
          <t>% of VAT paid refunded</t>
        </is>
      </c>
      <c r="AG45" s="341" t="inlineStr">
        <is>
          <t>增值税即征即退50%，实际有效增值税率降至6.5%（原税率13%）。退税机制为即征即退（先缴后退），不改变名义税率。政策有效期为2025年11月1日至2027年12月31日。</t>
        </is>
      </c>
      <c r="AH45" s="341" t="inlineStr">
        <is>
          <t>纳税人须为增值税一般纳税人，销售自产的利用海上风力生产的电力产品。海上风电场须依法取得海域使用权、电力业务许可证等相关审批手续。即征即退须按规定进行纳税申报和退税申请。</t>
        </is>
      </c>
      <c r="AI45" s="341" t="inlineStr">
        <is>
          <t>即退税额 = 当期实际缴纳的增值税额 × 50%。当期实际缴纳增值税额 = 当期销项税额（电力销售收入×13%）- 当期进项税额。</t>
        </is>
      </c>
      <c r="AJ45" s="341" t="inlineStr">
        <is>
          <t>N/A</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D35</t>
        </is>
      </c>
      <c r="BG45" s="341" t="inlineStr">
        <is>
          <t>CO2</t>
        </is>
      </c>
      <c r="BH45" s="341" t="inlineStr">
        <is>
          <t>正向</t>
        </is>
      </c>
      <c r="BI45" s="341" t="inlineStr">
        <is>
          <t>能源安全；产业发展；技术创新</t>
        </is>
      </c>
      <c r="BJ45" s="341" t="inlineStr">
        <is>
          <t>财政部 海关总署 税务总局公告2025年第10号关于调整风力发电等增值税政策的公告</t>
        </is>
      </c>
      <c r="BK45" s="341" t="inlineStr">
        <is>
          <t>https://shanghai.chinatax.gov.cn/zcfw/zcfgk/zzs/202510/t478010.html</t>
        </is>
      </c>
      <c r="BL45" s="341" t="inlineStr">
        <is>
          <t>https://shandong.chinatax.gov.cn/art/2025/10/17/art_1053_24771.html; https://12366.chinatax.gov.cn/fwtz/print?bh=0000000002025102000003</t>
        </is>
      </c>
      <c r="BM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国家</t>
        </is>
      </c>
      <c r="N46" s="341" t="inlineStr">
        <is>
          <t>N/A</t>
        </is>
      </c>
      <c r="O46" s="341" t="inlineStr">
        <is>
          <t>01/08/2008</t>
        </is>
      </c>
      <c r="P46" s="341" t="inlineStr">
        <is>
          <t>01/09/2008</t>
        </is>
      </c>
      <c r="Q46" s="341" t="inlineStr">
        <is>
          <t>N/A</t>
        </is>
      </c>
      <c r="R46" s="341" t="inlineStr">
        <is>
          <t>01/09/2008</t>
        </is>
      </c>
      <c r="S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T46" s="341">
        <f>IF(P46="","生效",IF(P46="N/A","生效",IF(TODAY()&lt;DATE(VALUE(RIGHT(P46,4)),VALUE(MID(P46,4,2)),VALUE(LEFT(P46,2))),"计划实施",IF(Q46="","生效",IF(Q46="N/A","生效",IF(TODAY()&lt;DATE(VALUE(RIGHT(Q46,4)),VALUE(MID(Q46,4,2)),VALUE(LEFT(Q46,2))),"生效","已终止"))))))</f>
        <v/>
      </c>
      <c r="U46" s="341" t="inlineStr">
        <is>
          <t>财政部（主管消费税政策制定和税率调整）；国家税务总局（主管汽车消费税征收管理）；海关总署（主管进口汽车消费税征收）</t>
        </is>
      </c>
      <c r="V46" s="341" t="inlineStr">
        <is>
          <t>汽车</t>
        </is>
      </c>
      <c r="W46" s="341" t="inlineStr">
        <is>
          <t>N/A</t>
        </is>
      </c>
      <c r="X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Y46" s="341" t="inlineStr">
        <is>
          <t>N/A</t>
        </is>
      </c>
      <c r="Z46" s="341" t="inlineStr">
        <is>
          <t>排量≤1.0L：1%；1.0-1.5L：3%；1.5-2.0L：5%；2.0-2.5L：9%；2.5-3.0L：12%；3.0-4.0L：25%；&gt;4.0L：40%。中轻型商用客车：5%。超豪华小汽车（零售价格≥90万元，即原130万元标准下调后）另在零售环节加征10%消费税（2016年起引入）。</t>
        </is>
      </c>
      <c r="AA46" s="341" t="inlineStr">
        <is>
          <t>企业</t>
        </is>
      </c>
      <c r="AB46" s="341" t="inlineStr">
        <is>
          <t>汽车消费税的法定纳税人为在中国境内生产、委托加工和进口应税汽车的单位。实际税负通过价格传导机制由汽车购买者承担，但价格信号通过制造商/进口商的定价决策响应。</t>
        </is>
      </c>
      <c r="AC46" s="341" t="inlineStr">
        <is>
          <t>生产、发电或转化；进口、销售或购买</t>
        </is>
      </c>
      <c r="AD46" s="341" t="inlineStr">
        <is>
          <t>汽车消费税在生产环节（汽车制造厂出厂时）、委托加工环节和进口环节（报关进口时）缴纳。税收通过提高大排量汽车出厂价格，影响消费者购车选择，引导消费结构向小排量、低排放汽车转型。</t>
        </is>
      </c>
      <c r="AE46" s="341" t="inlineStr">
        <is>
          <t>1%-40%</t>
        </is>
      </c>
      <c r="AF46" s="341" t="inlineStr">
        <is>
          <t>% of taxable price</t>
        </is>
      </c>
      <c r="AG46" s="341" t="inlineStr">
        <is>
          <t>按排量差别化：≤1.0L 1%; 1.0-1.5L 3%; 1.5-2.0L 5%; 2.0-2.5L 9%; 2.5-3.0L 12%; 3.0-4.0L 25%; &gt;4.0L 40%。中轻型商用客车统一5%。超豪华小汽车（零售价≥90万元）另在零售环节加征10%。</t>
        </is>
      </c>
      <c r="AH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I46" s="341" t="inlineStr">
        <is>
          <t>应纳税额 = 应税汽车不含增值税销售额 × 适用差别化税率（按排量确定）。税率按气缸容量（排量）分为7档：1%-40%。</t>
        </is>
      </c>
      <c r="AJ46" s="341" t="inlineStr">
        <is>
          <t>N/A</t>
        </is>
      </c>
      <c r="AK46" s="341" t="inlineStr">
        <is>
          <t>约1000亿元（2024年估计）</t>
        </is>
      </c>
      <c r="AL46" s="341" t="inlineStr">
        <is>
          <t>汽车消费税收入纳入一般公共预算管理，未明确指定专项资金。</t>
        </is>
      </c>
      <c r="AM46" s="341" t="inlineStr">
        <is>
          <t>N/A</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C29</t>
        </is>
      </c>
      <c r="BG46" s="341" t="inlineStr">
        <is>
          <t>CO2</t>
        </is>
      </c>
      <c r="BH46" s="341" t="inlineStr">
        <is>
          <t>正向</t>
        </is>
      </c>
      <c r="BI46" s="341" t="inlineStr">
        <is>
          <t>污染防治；产业发展</t>
        </is>
      </c>
      <c r="BJ46" s="341" t="inlineStr">
        <is>
          <t>中华人民共和国消费税暂行条例（国务院令第539号，2008年修订）；财税〔2008〕105号关于调整乘用车消费税政策的通知</t>
        </is>
      </c>
      <c r="BK46" s="341" t="inlineStr">
        <is>
          <t>https://fgk.chinatax.gov.cn/zcfgk/c102416/c5203314/content.html</t>
        </is>
      </c>
      <c r="BL46" s="341" t="inlineStr">
        <is>
          <t>https://www.gov.cn/gongbao/content/2009/content_1221339.htm</t>
        </is>
      </c>
      <c r="BM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国家</t>
        </is>
      </c>
      <c r="N47" s="341" t="inlineStr">
        <is>
          <t>N/A</t>
        </is>
      </c>
      <c r="O47" s="341" t="inlineStr">
        <is>
          <t>04/07/2013</t>
        </is>
      </c>
      <c r="P47" s="341" t="inlineStr">
        <is>
          <t>15/07/2013</t>
        </is>
      </c>
      <c r="Q47" s="341" t="inlineStr">
        <is>
          <t>N/A</t>
        </is>
      </c>
      <c r="R47" s="341" t="inlineStr">
        <is>
          <t>N/A</t>
        </is>
      </c>
      <c r="S47" s="341" t="inlineStr">
        <is>
          <t>N/A</t>
        </is>
      </c>
      <c r="T47" s="341">
        <f>IF(P47="","生效",IF(P47="N/A","生效",IF(TODAY()&lt;DATE(VALUE(RIGHT(P47,4)),VALUE(MID(P47,4,2)),VALUE(LEFT(P47,2))),"计划实施",IF(Q47="","生效",IF(Q47="N/A","生效",IF(TODAY()&lt;DATE(VALUE(RIGHT(Q47,4)),VALUE(MID(Q47,4,2)),VALUE(LEFT(Q47,2))),"生效","已终止"))))))</f>
        <v/>
      </c>
      <c r="U47" s="341" t="inlineStr">
        <is>
          <t>财政部;国家发展改革委</t>
        </is>
      </c>
      <c r="V47" s="341" t="inlineStr">
        <is>
          <t>太阳能</t>
        </is>
      </c>
      <c r="W47" s="341" t="inlineStr">
        <is>
          <t>新</t>
        </is>
      </c>
      <c r="X47" s="341" t="inlineStr">
        <is>
          <t>分布式光伏发电系统自发自用电量，免征可再生能源发展基金、国家重大水利工程建设基金、大中型水库移民后期扶持基金、农网还贷资金等政府性基金</t>
        </is>
      </c>
      <c r="Y47" s="341" t="inlineStr">
        <is>
          <t>N/A</t>
        </is>
      </c>
      <c r="Z47" s="341" t="inlineStr">
        <is>
          <t>N/A</t>
        </is>
      </c>
      <c r="AA47" s="341" t="inlineStr">
        <is>
          <t>家庭；企业</t>
        </is>
      </c>
      <c r="AB47" s="341" t="inlineStr">
        <is>
          <t>分布式光伏发电用户</t>
        </is>
      </c>
      <c r="AC47" s="341" t="inlineStr">
        <is>
          <t>生产、发电或转换</t>
        </is>
      </c>
      <c r="AD47" s="341" t="inlineStr">
        <is>
          <t>分布式光伏发电用户利用光伏发电系统发电并自发自用，对自发自用电量免缴各项政府性基金附加。全额上网的分布式光伏发电项目不享受该免征政策。</t>
        </is>
      </c>
      <c r="AE47" s="341" t="inlineStr">
        <is>
          <t>100</t>
        </is>
      </c>
      <c r="AF47" s="341" t="inlineStr">
        <is>
          <t>%（政府性基金减免比例）</t>
        </is>
      </c>
      <c r="AG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H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I47" s="341" t="inlineStr">
        <is>
          <t>应缴政府性基金 = 自发自用电量 × 各项基金征收标准之和。免征后应缴金额 = 0。各项基金征收标准由国务院价格主管部门和财政部门规定。</t>
        </is>
      </c>
      <c r="AJ47" s="341" t="inlineStr">
        <is>
          <t>N/A</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D35</t>
        </is>
      </c>
      <c r="BG47" s="341" t="inlineStr">
        <is>
          <t>CO2</t>
        </is>
      </c>
      <c r="BH47" s="341" t="inlineStr">
        <is>
          <t>正向</t>
        </is>
      </c>
      <c r="BI47" s="341" t="inlineStr">
        <is>
          <t>能源安全；污染防治</t>
        </is>
      </c>
      <c r="BJ47" s="341" t="inlineStr">
        <is>
          <t>国务院关于促进光伏产业健康发展的若干意见</t>
        </is>
      </c>
      <c r="BK47" s="341" t="inlineStr">
        <is>
          <t>https://www.gov.cn/zwgk/2013-07/15/content_2447814.htm</t>
        </is>
      </c>
      <c r="BL47" s="341" t="inlineStr">
        <is>
          <t>N/A</t>
        </is>
      </c>
      <c r="BM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国家</t>
        </is>
      </c>
      <c r="N48" s="341" t="inlineStr">
        <is>
          <t>N/A</t>
        </is>
      </c>
      <c r="O48" s="341" t="inlineStr">
        <is>
          <t>26/01/2015</t>
        </is>
      </c>
      <c r="P48" s="341" t="inlineStr">
        <is>
          <t>01/02/2015</t>
        </is>
      </c>
      <c r="Q48" s="341" t="inlineStr">
        <is>
          <t>N/A</t>
        </is>
      </c>
      <c r="R48" s="341" t="inlineStr">
        <is>
          <t>N/A</t>
        </is>
      </c>
      <c r="S48" s="341" t="inlineStr">
        <is>
          <t>N/A</t>
        </is>
      </c>
      <c r="T48" s="341">
        <f>IF(P48="","生效",IF(P48="N/A","生效",IF(TODAY()&lt;DATE(VALUE(RIGHT(P48,4)),VALUE(MID(P48,4,2)),VALUE(LEFT(P48,2))),"计划实施",IF(Q48="","生效",IF(Q48="N/A","生效",IF(TODAY()&lt;DATE(VALUE(RIGHT(Q48,4)),VALUE(MID(Q48,4,2)),VALUE(LEFT(Q48,2))),"生效","已终止"))))))</f>
        <v/>
      </c>
      <c r="U48" s="341" t="inlineStr">
        <is>
          <t>财政部;国家税务总局</t>
        </is>
      </c>
      <c r="V48" s="341" t="inlineStr">
        <is>
          <t>蓄电池、原电池和原电池组及其零件</t>
        </is>
      </c>
      <c r="W48" s="341" t="inlineStr">
        <is>
          <t>新；现有</t>
        </is>
      </c>
      <c r="X48" s="341" t="inlineStr">
        <is>
          <t>无汞原电池、金属氢化物镍蓄电池（氢镍蓄电池）、锂原电池、锂离子蓄电池、太阳能电池、燃料电池和全钒液流电池</t>
        </is>
      </c>
      <c r="Y48" s="341" t="inlineStr">
        <is>
          <t>N/A</t>
        </is>
      </c>
      <c r="Z48" s="341" t="inlineStr">
        <is>
          <t>N/A</t>
        </is>
      </c>
      <c r="AA48" s="341" t="inlineStr">
        <is>
          <t>企业</t>
        </is>
      </c>
      <c r="AB48" s="341" t="inlineStr">
        <is>
          <t>电池生产企业</t>
        </is>
      </c>
      <c r="AC48" s="341" t="inlineStr">
        <is>
          <t>生产、发电或转换</t>
        </is>
      </c>
      <c r="AD48" s="341" t="inlineStr">
        <is>
          <t>电池生产企业生产、销售上述节能环保电池，依法免缴消费税。不含铅蓄电池（自2016年1月1日起按4%税率征收消费税）</t>
        </is>
      </c>
      <c r="AE48" s="341" t="inlineStr">
        <is>
          <t>100</t>
        </is>
      </c>
      <c r="AF48" s="341" t="inlineStr">
        <is>
          <t>%（消费税额减免比例）</t>
        </is>
      </c>
      <c r="AG48" s="341" t="inlineStr">
        <is>
          <t>对符合条件的节能环保电池全额免征消费税，免征比例为应纳税额的100%。其他应税电池（铅蓄电池）适用税率为4%。免征后实际消费税负为零。</t>
        </is>
      </c>
      <c r="AH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I48" s="341" t="inlineStr">
        <is>
          <t>应纳消费税 = 电池销售额 × 适用税率。免税电池适用税率为0%（免征）。应税电池（铅蓄电池）适用税率4%。</t>
        </is>
      </c>
      <c r="AJ48" s="341" t="inlineStr">
        <is>
          <t>N/A</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C27</t>
        </is>
      </c>
      <c r="BG48" s="341" t="inlineStr">
        <is>
          <t>CO2</t>
        </is>
      </c>
      <c r="BH48" s="341" t="inlineStr">
        <is>
          <t>正向</t>
        </is>
      </c>
      <c r="BI48" s="341" t="inlineStr">
        <is>
          <t>技术创新；污染防治</t>
        </is>
      </c>
      <c r="BJ48" s="341" t="inlineStr">
        <is>
          <t>财政部 国家税务总局关于对电池、涂料征收消费税的通知</t>
        </is>
      </c>
      <c r="BK48" s="341" t="inlineStr">
        <is>
          <t>https://www.gov.cn/zhengce/zhengceku/2015-01/28/content_9419.htm</t>
        </is>
      </c>
      <c r="BL48" s="341" t="inlineStr">
        <is>
          <t>N/A</t>
        </is>
      </c>
      <c r="BM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国家</t>
        </is>
      </c>
      <c r="N49" s="341" t="inlineStr">
        <is>
          <t>N/A</t>
        </is>
      </c>
      <c r="O49" s="341" t="inlineStr">
        <is>
          <t>01/12/2010</t>
        </is>
      </c>
      <c r="P49" s="341" t="inlineStr">
        <is>
          <t>01/01/2011</t>
        </is>
      </c>
      <c r="Q49" s="341" t="inlineStr">
        <is>
          <t>N/A</t>
        </is>
      </c>
      <c r="R49" s="341" t="inlineStr">
        <is>
          <t>N/A</t>
        </is>
      </c>
      <c r="S49" s="341" t="inlineStr">
        <is>
          <t>N/A</t>
        </is>
      </c>
      <c r="T49" s="341">
        <f>IF(P49="","生效",IF(P49="N/A","生效",IF(TODAY()&lt;DATE(VALUE(RIGHT(P49,4)),VALUE(MID(P49,4,2)),VALUE(LEFT(P49,2))),"计划实施",IF(Q49="","生效",IF(Q49="N/A","生效",IF(TODAY()&lt;DATE(VALUE(RIGHT(Q49,4)),VALUE(MID(Q49,4,2)),VALUE(LEFT(Q49,2))),"生效","已终止"))))))</f>
        <v/>
      </c>
      <c r="U49" s="341" t="inlineStr">
        <is>
          <t>财政部;国家税务总局</t>
        </is>
      </c>
      <c r="V49" s="341" t="inlineStr">
        <is>
          <t>生物燃料</t>
        </is>
      </c>
      <c r="W49" s="341" t="inlineStr">
        <is>
          <t>新；现有</t>
        </is>
      </c>
      <c r="X49" s="341" t="inlineStr">
        <is>
          <t>利用废弃的动物油和植物油为原料生产的纯生物柴油（BD100）</t>
        </is>
      </c>
      <c r="Y49" s="341" t="inlineStr">
        <is>
          <t>N/A</t>
        </is>
      </c>
      <c r="Z49" s="341" t="inlineStr">
        <is>
          <t>N/A</t>
        </is>
      </c>
      <c r="AA49" s="341" t="inlineStr">
        <is>
          <t>企业</t>
        </is>
      </c>
      <c r="AB49" s="341" t="inlineStr">
        <is>
          <t>生物柴油生产企业</t>
        </is>
      </c>
      <c r="AC49" s="341" t="inlineStr">
        <is>
          <t>生产、发电或转换</t>
        </is>
      </c>
      <c r="AD49" s="341" t="inlineStr">
        <is>
          <t>企业收集废弃动物油和植物油（包括餐饮废油、地沟油等），通过酯交换等工艺生产符合国家标准的纯生物柴油（BD100），依法免缴消费税</t>
        </is>
      </c>
      <c r="AE49" s="341" t="inlineStr">
        <is>
          <t>100</t>
        </is>
      </c>
      <c r="AF49" s="341" t="inlineStr">
        <is>
          <t>%（消费税额减免比例）</t>
        </is>
      </c>
      <c r="AG49" s="341" t="inlineStr">
        <is>
          <t>对利用废弃动植物油生产的纯生物柴油全额免征消费税，免征比例为应纳税额的100%。该政策仅适用于BD100纯生物柴油，以生物柴油与其他燃油混合的产品不享受该免税待遇。</t>
        </is>
      </c>
      <c r="AH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I49" s="341" t="inlineStr">
        <is>
          <t>应纳消费税 = 生物柴油销售额 × 适用税率。利用废弃动植物油生产的纯生物柴油适用税率为0%（免征）。其他来源生物柴油按适用税率征税。</t>
        </is>
      </c>
      <c r="AJ49" s="341" t="inlineStr">
        <is>
          <t>N/A</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C20</t>
        </is>
      </c>
      <c r="BG49" s="341" t="inlineStr">
        <is>
          <t>CO2</t>
        </is>
      </c>
      <c r="BH49" s="341" t="inlineStr">
        <is>
          <t>正向</t>
        </is>
      </c>
      <c r="BI49" s="341" t="inlineStr">
        <is>
          <t>污染防治；能源安全</t>
        </is>
      </c>
      <c r="BJ49" s="341" t="inlineStr">
        <is>
          <t>关于对利用废弃的动植物油生产纯生物柴油免征消费税的通知</t>
        </is>
      </c>
      <c r="BK49" s="341" t="inlineStr">
        <is>
          <t>https://www.gov.cn/zwgk/2011-01/06/content_1778611.htm</t>
        </is>
      </c>
      <c r="BL49" s="341" t="inlineStr">
        <is>
          <t>N/A</t>
        </is>
      </c>
      <c r="BM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循环经济；减缓气候变化</t>
        </is>
      </c>
      <c r="L50" s="341" t="inlineStr">
        <is>
          <t>直接</t>
        </is>
      </c>
      <c r="M50" s="341" t="inlineStr">
        <is>
          <t>国家</t>
        </is>
      </c>
      <c r="N50" s="341" t="inlineStr">
        <is>
          <t>N/A</t>
        </is>
      </c>
      <c r="O50" s="341" t="inlineStr">
        <is>
          <t>01/10/2013</t>
        </is>
      </c>
      <c r="P50" s="341" t="inlineStr">
        <is>
          <t>01/11/2013</t>
        </is>
      </c>
      <c r="Q50" s="341" t="inlineStr">
        <is>
          <t>N/A</t>
        </is>
      </c>
      <c r="R50" s="341" t="inlineStr">
        <is>
          <t>N/A</t>
        </is>
      </c>
      <c r="S50" s="341" t="inlineStr">
        <is>
          <t>N/A</t>
        </is>
      </c>
      <c r="T50" s="341">
        <f>IF(P50="","生效",IF(P50="N/A","生效",IF(TODAY()&lt;DATE(VALUE(RIGHT(P50,4)),VALUE(MID(P50,4,2)),VALUE(LEFT(P50,2))),"计划实施",IF(Q50="","生效",IF(Q50="N/A","生效",IF(TODAY()&lt;DATE(VALUE(RIGHT(Q50,4)),VALUE(MID(Q50,4,2)),VALUE(LEFT(Q50,2))),"生效","已终止"))))))</f>
        <v/>
      </c>
      <c r="U50" s="341" t="inlineStr">
        <is>
          <t>财政部;国家税务总局</t>
        </is>
      </c>
      <c r="V50" s="341" t="inlineStr">
        <is>
          <t>工业废弃物</t>
        </is>
      </c>
      <c r="W50" s="341" t="inlineStr">
        <is>
          <t>新；现有</t>
        </is>
      </c>
      <c r="X50" s="341" t="inlineStr">
        <is>
          <t>利用废矿物油为原料生产的润滑油基础油、汽油、柴油等工业油料</t>
        </is>
      </c>
      <c r="Y50" s="341" t="inlineStr">
        <is>
          <t>N/A</t>
        </is>
      </c>
      <c r="Z50" s="341" t="inlineStr">
        <is>
          <t>N/A</t>
        </is>
      </c>
      <c r="AA50" s="341" t="inlineStr">
        <is>
          <t>企业</t>
        </is>
      </c>
      <c r="AB50" s="341" t="inlineStr">
        <is>
          <t>废矿物油再生企业</t>
        </is>
      </c>
      <c r="AC50" s="341" t="inlineStr">
        <is>
          <t>回收、再加工或其他使用后处理</t>
        </is>
      </c>
      <c r="AD50" s="341" t="inlineStr">
        <is>
          <t>企业收集废矿物油（包括废机油、废液压油、废变压器油等），通过再生工艺生产润滑油基础油、汽油、柴油等工业油料，依法免缴消费税</t>
        </is>
      </c>
      <c r="AE50" s="341" t="inlineStr">
        <is>
          <t>100</t>
        </is>
      </c>
      <c r="AF50" s="341" t="inlineStr">
        <is>
          <t>%（消费税额减免比例）</t>
        </is>
      </c>
      <c r="AG50" s="341" t="inlineStr">
        <is>
          <t>对利用废矿物油生产的工业油料全额免征消费税，免征比例为应纳税额的100%。汽油消费税定额税率1.52元/升，柴油消费税定额税率1.20元/升，润滑油消费税定额税率1.52元/升。免征后实际消费税负为零。</t>
        </is>
      </c>
      <c r="AH50" s="341" t="inlineStr">
        <is>
          <t>须以废矿物油为原料，再生工艺须符合相关行业技术规范。纳税人须建立废矿物油收购台账，记录废油来源、数量和供应商信息，相关凭证留存备查。产品须符合对应油品的国家标准。</t>
        </is>
      </c>
      <c r="AI50" s="341" t="inlineStr">
        <is>
          <t>应纳消费税 = 油品销售数量 × 适用定额税率。利用废矿物油生产的工业油料适用税率为0（免征）。其他来源油品按适用定额税率征收。</t>
        </is>
      </c>
      <c r="AJ50" s="341" t="inlineStr">
        <is>
          <t>N/A</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C19</t>
        </is>
      </c>
      <c r="BG50" s="341" t="inlineStr">
        <is>
          <t>CO2</t>
        </is>
      </c>
      <c r="BH50" s="341" t="inlineStr">
        <is>
          <t>正向</t>
        </is>
      </c>
      <c r="BI50" s="341" t="inlineStr">
        <is>
          <t>污染防治；产业发展</t>
        </is>
      </c>
      <c r="BJ50" s="341" t="inlineStr">
        <is>
          <t>关于对废矿物油再生油品免征消费税的通知</t>
        </is>
      </c>
      <c r="BK50" s="341" t="inlineStr">
        <is>
          <t>https://www.gov.cn/zwgk/2013-11/06/content_2521646.htm</t>
        </is>
      </c>
      <c r="BL50" s="341" t="inlineStr">
        <is>
          <t>https://www.chinatax.gov.cn/chinatax/c102166/c5178973/content.html; https://www.gov.cn/zhengce/zhengceku/202309/content_6907133.htm</t>
        </is>
      </c>
      <c r="BM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国家</t>
        </is>
      </c>
      <c r="N51" s="341" t="inlineStr">
        <is>
          <t>N/A</t>
        </is>
      </c>
      <c r="O51" s="341" t="inlineStr">
        <is>
          <t>10/11/2008</t>
        </is>
      </c>
      <c r="P51" s="341" t="inlineStr">
        <is>
          <t>01/01/2009</t>
        </is>
      </c>
      <c r="Q51" s="341" t="inlineStr">
        <is>
          <t>N/A</t>
        </is>
      </c>
      <c r="R51" s="341" t="inlineStr">
        <is>
          <t>13/01/2015</t>
        </is>
      </c>
      <c r="S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T51" s="341">
        <f>IF(P51="","生效",IF(P51="N/A","生效",IF(TODAY()&lt;DATE(VALUE(RIGHT(P51,4)),VALUE(MID(P51,4,2)),VALUE(LEFT(P51,2))),"计划实施",IF(Q51="","生效",IF(Q51="N/A","生效",IF(TODAY()&lt;DATE(VALUE(RIGHT(Q51,4)),VALUE(MID(Q51,4,2)),VALUE(LEFT(Q51,2))),"生效","已终止"))))))</f>
        <v/>
      </c>
      <c r="U51" s="341" t="inlineStr">
        <is>
          <t>财政部（主管消费税政策制定和税率调整）；国家税务总局（主管成品油消费税征收管理）；海关总署（主管进口环节成品油消费税征收）</t>
        </is>
      </c>
      <c r="V51" s="341" t="inlineStr">
        <is>
          <t>车用汽油；柴油；煤油型喷气燃料；燃料油；石脑油</t>
        </is>
      </c>
      <c r="W51" s="341" t="inlineStr">
        <is>
          <t>N/A</t>
        </is>
      </c>
      <c r="X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Y51" s="341" t="inlineStr">
        <is>
          <t>N/A</t>
        </is>
      </c>
      <c r="Z51" s="341" t="inlineStr">
        <is>
          <t>N/A</t>
        </is>
      </c>
      <c r="AA51" s="341" t="inlineStr">
        <is>
          <t>家庭；企业</t>
        </is>
      </c>
      <c r="AB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C51" s="341" t="inlineStr">
        <is>
          <t>生产、发电或转化；进口、销售或购买</t>
        </is>
      </c>
      <c r="AD51" s="341" t="inlineStr">
        <is>
          <t>成品油在生产环节（炼油厂出厂时）、委托加工环节（委托方收回时）和进口环节（报关进口时）缴纳消费税。税收通过提高成品油终端零售价格影响消费行为，降低化石燃料消费需求。</t>
        </is>
      </c>
      <c r="AE51" s="341" t="inlineStr">
        <is>
          <t>1.52; 1.20</t>
        </is>
      </c>
      <c r="AF51" s="341" t="inlineStr">
        <is>
          <t>元/升</t>
        </is>
      </c>
      <c r="AG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H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I51" s="341" t="inlineStr">
        <is>
          <t>应纳税额 = 应税成品油数量（升）× 适用单位税额（元/升）。生产环节按实际产量计算，进口环节按海关核定的数量计算。</t>
        </is>
      </c>
      <c r="AJ51" s="341" t="inlineStr">
        <is>
          <t>吨升换算标准依据消费税暂行条例实施细则第十条：汽油1吨=1388升，柴油1吨=1176升，航空煤油1吨=1246升，石脑油1吨=1385升，燃料油1吨=1015升，润滑油1吨=1126升。</t>
        </is>
      </c>
      <c r="AK51" s="341" t="inlineStr">
        <is>
          <t>约1.6万亿元（2024年）</t>
        </is>
      </c>
      <c r="AL51" s="341" t="inlineStr">
        <is>
          <t>成品油消费税收入纳入一般公共预算管理，未明确指定专项资金。部分收入通过转移支付方式用于公路养护、交通运输基础设施建设和农村公路建设。</t>
        </is>
      </c>
      <c r="AM51" s="341" t="inlineStr">
        <is>
          <t>N/A</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C19</t>
        </is>
      </c>
      <c r="BG51" s="341" t="inlineStr">
        <is>
          <t>CO2</t>
        </is>
      </c>
      <c r="BH51" s="341" t="inlineStr">
        <is>
          <t>正向</t>
        </is>
      </c>
      <c r="BI51" s="341" t="inlineStr">
        <is>
          <t>污染防治；能源安全</t>
        </is>
      </c>
      <c r="BJ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K51" s="341" t="inlineStr">
        <is>
          <t>https://szs.mof.gov.cn/zhengcefabu/201501/t20150112_1178908.htm</t>
        </is>
      </c>
      <c r="BL51" s="341" t="inlineStr">
        <is>
          <t>https://www.gov.cn/gongbao/content/2009/content_1221339.htm; https://fgk.chinatax.gov.cn/zcfgk/c102416/c5203422/content.html</t>
        </is>
      </c>
      <c r="BM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国家</t>
        </is>
      </c>
      <c r="N52" s="341" t="inlineStr">
        <is>
          <t>N/A</t>
        </is>
      </c>
      <c r="O52" s="341" t="inlineStr">
        <is>
          <t>25/12/2016</t>
        </is>
      </c>
      <c r="P52" s="341" t="inlineStr">
        <is>
          <t>01/01/2018</t>
        </is>
      </c>
      <c r="Q52" s="341" t="inlineStr">
        <is>
          <t>N/A</t>
        </is>
      </c>
      <c r="R52" s="341" t="inlineStr">
        <is>
          <t>30/12/2017</t>
        </is>
      </c>
      <c r="S52" s="341" t="inlineStr">
        <is>
          <t>2017年12月30日国务院发布中华人民共和国环境保护税法实施条例（国务院令第693号），自2018年1月1日起与环境保护税法同步施行</t>
        </is>
      </c>
      <c r="T52" s="341">
        <f>IF(P52="","生效",IF(P52="N/A","生效",IF(TODAY()&lt;DATE(VALUE(RIGHT(P52,4)),VALUE(MID(P52,4,2)),VALUE(LEFT(P52,2))),"计划实施",IF(Q52="","生效",IF(Q52="N/A","生效",IF(TODAY()&lt;DATE(VALUE(RIGHT(Q52,4)),VALUE(MID(Q52,4,2)),VALUE(LEFT(Q52,2))),"生效","已终止"))))))</f>
        <v/>
      </c>
      <c r="U52" s="341" t="inlineStr">
        <is>
          <t>国家税务总局; 生态环境部</t>
        </is>
      </c>
      <c r="V52" s="341" t="inlineStr">
        <is>
          <t>N/A</t>
        </is>
      </c>
      <c r="W52" s="341" t="inlineStr">
        <is>
          <t>N/A</t>
        </is>
      </c>
      <c r="X52" s="341" t="inlineStr">
        <is>
          <t>N/A</t>
        </is>
      </c>
      <c r="Y52" s="341" t="inlineStr">
        <is>
          <t>N/A</t>
        </is>
      </c>
      <c r="Z52" s="341" t="inlineStr">
        <is>
          <t>N/A</t>
        </is>
      </c>
      <c r="AA52" s="341" t="inlineStr">
        <is>
          <t>企业</t>
        </is>
      </c>
      <c r="AB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C52" s="341" t="inlineStr">
        <is>
          <t>排放大气污染物; 排放水污染物; 排放固体废物; 排放工业噪声</t>
        </is>
      </c>
      <c r="AD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E52" s="341" t="inlineStr">
        <is>
          <t>大气污染物1.2-12元/污染当量; 水污染物1.4-14元/污染当量; 固体废物5-1000元/吨; 工业噪声350-11200元/月</t>
        </is>
      </c>
      <c r="AF52" s="341" t="inlineStr">
        <is>
          <t>元/污染当量; 元/吨; 元/月</t>
        </is>
      </c>
      <c r="AG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H52" s="341" t="inlineStr">
        <is>
          <t>N/A</t>
        </is>
      </c>
      <c r="AI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J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K52" s="341" t="inlineStr">
        <is>
          <t>约200亿元（2023年）</t>
        </is>
      </c>
      <c r="AL52" s="341" t="inlineStr">
        <is>
          <t>全部作为地方收入，纳入一般公共预算管理</t>
        </is>
      </c>
      <c r="AM52" s="341" t="inlineStr">
        <is>
          <t>N/A</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D35; C24; C23; C20; E38</t>
        </is>
      </c>
      <c r="BG52" s="341" t="inlineStr">
        <is>
          <t>CO2</t>
        </is>
      </c>
      <c r="BH52" s="341" t="inlineStr">
        <is>
          <t>N/A</t>
        </is>
      </c>
      <c r="BI52" s="341" t="inlineStr">
        <is>
          <t>污染防治</t>
        </is>
      </c>
      <c r="BJ52" s="341" t="inlineStr">
        <is>
          <t>中华人民共和国环境保护税法（2016年12月25日，主席令第六十一号）；中华人民共和国环境保护税法实施条例（国务院令第693号，2017年12月30日）</t>
        </is>
      </c>
      <c r="BK52" s="341" t="inlineStr">
        <is>
          <t>https://www.gov.cn/zhengce/2016-12/25/content_5152763.htm</t>
        </is>
      </c>
      <c r="BL52" s="341" t="inlineStr">
        <is>
          <t>https://www.gov.cn/zhengce/content/2017-12/30/content_5251703.htm</t>
        </is>
      </c>
      <c r="BM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国家</t>
        </is>
      </c>
      <c r="N53" s="341" t="inlineStr">
        <is>
          <t>N/A</t>
        </is>
      </c>
      <c r="O53" s="341" t="inlineStr">
        <is>
          <t>25/02/2011</t>
        </is>
      </c>
      <c r="P53" s="341" t="inlineStr">
        <is>
          <t>01/01/2012</t>
        </is>
      </c>
      <c r="Q53" s="341" t="inlineStr">
        <is>
          <t>N/A</t>
        </is>
      </c>
      <c r="R53" s="341" t="inlineStr">
        <is>
          <t>01/07/2024</t>
        </is>
      </c>
      <c r="S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T53" s="341">
        <f>IF(P53="","生效",IF(P53="N/A","生效",IF(TODAY()&lt;DATE(VALUE(RIGHT(P53,4)),VALUE(MID(P53,4,2)),VALUE(LEFT(P53,2))),"计划实施",IF(Q53="","生效",IF(Q53="N/A","生效",IF(TODAY()&lt;DATE(VALUE(RIGHT(Q53,4)),VALUE(MID(Q53,4,2)),VALUE(LEFT(Q53,2))),"生效","已终止"))))))</f>
        <v/>
      </c>
      <c r="U53" s="341" t="inlineStr">
        <is>
          <t>财政部（主管车船税政策制定）；国家税务总局（主管车船税征收管理）；工业和信息化部（主管节能与新能源汽车车型目录管理和技术标准）；交通运输部（参与车船税优惠政策制定）</t>
        </is>
      </c>
      <c r="V53" s="341" t="inlineStr">
        <is>
          <t>道路运输车辆；汽车；公交车；轻型卡车；重型卡车</t>
        </is>
      </c>
      <c r="W53" s="341" t="inlineStr">
        <is>
          <t>既有</t>
        </is>
      </c>
      <c r="X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Y53" s="341" t="inlineStr">
        <is>
          <t>N/A</t>
        </is>
      </c>
      <c r="Z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A53" s="341" t="inlineStr">
        <is>
          <t>家庭；企业</t>
        </is>
      </c>
      <c r="AB53" s="341" t="inlineStr">
        <is>
          <t>车船税优惠的受益主体为符合条件的节能与新能源汽车的车船所有人或管理人（自然人和各类企业、机构）。优惠通过减征或免征年度车船税降低车辆持有成本，激励消费者和企业选择低碳车型。</t>
        </is>
      </c>
      <c r="AC53" s="341" t="inlineStr">
        <is>
          <t>拥有、使用或资本形成</t>
        </is>
      </c>
      <c r="AD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E53" s="341" t="inlineStr">
        <is>
          <t>100; 50</t>
        </is>
      </c>
      <c r="AF53" s="341" t="inlineStr">
        <is>
          <t>% of annual vehicle and vessel tax</t>
        </is>
      </c>
      <c r="AG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H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I53" s="341" t="inlineStr">
        <is>
          <t>免征：车船税应纳税额×0%（符合条件的纯电动商用车、插电式混合动力汽车、燃料电池商用车）。减半：车船税应纳税额×50%（符合条件的节能乘用车和节能商用车）。</t>
        </is>
      </c>
      <c r="AJ53" s="341" t="inlineStr">
        <is>
          <t>N/A</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H49</t>
        </is>
      </c>
      <c r="BG53" s="341" t="inlineStr">
        <is>
          <t>CO2</t>
        </is>
      </c>
      <c r="BH53" s="341" t="inlineStr">
        <is>
          <t>正向</t>
        </is>
      </c>
      <c r="BI53" s="341" t="inlineStr">
        <is>
          <t>污染防治；能源安全；产业发展</t>
        </is>
      </c>
      <c r="BJ53" s="341" t="inlineStr">
        <is>
          <t>中华人民共和国车船税法（2011年2月25日第十一届全国人大常委会第十九次会议通过，2012年1月1日起施行）；中华人民共和国车船税法实施条例；财税〔2018〕74号；工信部 财政部 税务总局公告2024年第10号</t>
        </is>
      </c>
      <c r="BK53" s="341" t="inlineStr">
        <is>
          <t>https://guangdong.chinatax.gov.cn/gdsw/zjfg/2025-10/11/content_a027bb417fc0413aa2dbf4222e5e6f4b.shtml</t>
        </is>
      </c>
      <c r="BL53" s="341" t="inlineStr">
        <is>
          <t>https://fgk.chinatax.gov.cn/zcfgk/c102416/c5203774/content.html; https://www.gov.cn/gongbao/content/2011/content_1907087.htm</t>
        </is>
      </c>
      <c r="BM53" s="341" t="inlineStr"/>
    </row>
    <row r="54">
      <c r="A54" s="430" t="inlineStr">
        <is>
          <t>CHNTAXVOTI01S001</t>
        </is>
      </c>
      <c r="B54" s="430" t="inlineStr">
        <is>
          <t>子方案</t>
        </is>
      </c>
      <c r="C54" s="430" t="inlineStr">
        <is>
          <t>税收</t>
        </is>
      </c>
      <c r="D54" s="430" t="inlineStr">
        <is>
          <t>车船税优惠</t>
        </is>
      </c>
      <c r="E54" s="430" t="inlineStr">
        <is>
          <t>交通</t>
        </is>
      </c>
      <c r="F54" s="430" t="inlineStr">
        <is>
          <t>商用车</t>
        </is>
      </c>
      <c r="G54" s="430" t="inlineStr">
        <is>
          <t>新能源汽车免征车船税</t>
        </is>
      </c>
      <c r="H54" s="430" t="inlineStr">
        <is>
          <t>New energy vehicle and vessel tax exemption</t>
        </is>
      </c>
      <c r="I54" s="430" t="inlineStr">
        <is>
          <t>节能与新能源车船税优惠</t>
        </is>
      </c>
      <c r="J54" s="430"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430" t="inlineStr">
        <is>
          <t>减缓气候变化；能源效率；电气化</t>
        </is>
      </c>
      <c r="L54" s="430" t="inlineStr">
        <is>
          <t>直接</t>
        </is>
      </c>
      <c r="M54" s="430" t="inlineStr">
        <is>
          <t>国家</t>
        </is>
      </c>
      <c r="N54" s="430" t="inlineStr">
        <is>
          <t>N/A</t>
        </is>
      </c>
      <c r="O54" s="430" t="inlineStr">
        <is>
          <t>25/02/2011</t>
        </is>
      </c>
      <c r="P54" s="430" t="inlineStr">
        <is>
          <t>01/01/2012</t>
        </is>
      </c>
      <c r="Q54" s="430" t="inlineStr">
        <is>
          <t>N/A</t>
        </is>
      </c>
      <c r="R54" s="430" t="inlineStr">
        <is>
          <t>01/07/2024</t>
        </is>
      </c>
      <c r="S54" s="430" t="inlineStr">
        <is>
          <t>2024年5月公告（2024年第10号）自2024年7月1日起更新新能源汽车技术标准。</t>
        </is>
      </c>
      <c r="T54" s="430">
        <f>IF(P54="","生效",IF(P54="N/A","生效",IF(TODAY()&lt;DATE(VALUE(RIGHT(P54,4)),VALUE(MID(P54,4,2)),VALUE(LEFT(P54,2))),"计划实施",IF(Q54="","生效",IF(Q54="N/A","生效",IF(TODAY()&lt;DATE(VALUE(RIGHT(Q54,4)),VALUE(MID(Q54,4,2)),VALUE(LEFT(Q54,2))),"生效","已终止"))))))</f>
        <v/>
      </c>
      <c r="U54" s="430" t="inlineStr">
        <is>
          <t>工业和信息化部（车型目录管理）；国家税务总局（车船税征收管理）；财政部（政策制定）</t>
        </is>
      </c>
      <c r="V54" s="430" t="inlineStr">
        <is>
          <t>公交车；轻型卡车；重型卡车</t>
        </is>
      </c>
      <c r="W54" s="430" t="inlineStr">
        <is>
          <t>既有</t>
        </is>
      </c>
      <c r="X54" s="430" t="inlineStr">
        <is>
          <t>纯电动商用车（包括纯电动客车、纯电动货车等）、插电式混合动力汽车（含增程式）、燃料电池商用车。须通过新能源汽车专项检测，生产企业须在质量保证、售后服务、安全监测、动力电池回收利用等方面达标。</t>
        </is>
      </c>
      <c r="Y54" s="430" t="inlineStr">
        <is>
          <t>N/A</t>
        </is>
      </c>
      <c r="Z54" s="430" t="inlineStr">
        <is>
          <t>N/A</t>
        </is>
      </c>
      <c r="AA54" s="430" t="inlineStr">
        <is>
          <t>家庭；企业</t>
        </is>
      </c>
      <c r="AB54" s="430" t="inlineStr">
        <is>
          <t>符合条件的新能源商用车的所有人或管理人（包括物流企业、公交公司、出租汽车公司、各类机构和个人消费者）。纯电动乘用车和燃料电池乘用车的所有人不属于征税范围，无需缴纳车船税。</t>
        </is>
      </c>
      <c r="AC54" s="430" t="inlineStr">
        <is>
          <t>拥有、使用或资本形成</t>
        </is>
      </c>
      <c r="AD54" s="430" t="inlineStr">
        <is>
          <t>新能源商用车所有人在每年缴纳车船税时，凭车型列入优惠目录的证明，由税务机关免征车船税。优惠在车辆持有期间每年持续适用。</t>
        </is>
      </c>
      <c r="AE54" s="430" t="inlineStr">
        <is>
          <t>100</t>
        </is>
      </c>
      <c r="AF54" s="430" t="inlineStr">
        <is>
          <t>% of annual vehicle and vessel tax exempted</t>
        </is>
      </c>
      <c r="AG54" s="430" t="inlineStr">
        <is>
          <t>免征车船税（100%减免）。纯电动乘用车和燃料电池乘用车属于不征车船税范围（非免征优惠）。</t>
        </is>
      </c>
      <c r="AH54" s="430"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I54" s="430" t="inlineStr">
        <is>
          <t>应纳税额=0（免征）</t>
        </is>
      </c>
      <c r="AJ54" s="430" t="inlineStr">
        <is>
          <t>N/A</t>
        </is>
      </c>
      <c r="AK54" s="430" t="inlineStr">
        <is>
          <t>N/A</t>
        </is>
      </c>
      <c r="AL54" s="430" t="inlineStr">
        <is>
          <t>N/A</t>
        </is>
      </c>
      <c r="AM54" s="430" t="inlineStr">
        <is>
          <t>N/A</t>
        </is>
      </c>
      <c r="AN54" s="430" t="inlineStr">
        <is>
          <t>N/A</t>
        </is>
      </c>
      <c r="AO54" s="430" t="inlineStr">
        <is>
          <t>N/A</t>
        </is>
      </c>
      <c r="AP54" s="430" t="inlineStr">
        <is>
          <t>N/A</t>
        </is>
      </c>
      <c r="AQ54" s="430" t="inlineStr">
        <is>
          <t>N/A</t>
        </is>
      </c>
      <c r="AR54" s="430" t="inlineStr">
        <is>
          <t>N/A</t>
        </is>
      </c>
      <c r="AS54" s="430" t="inlineStr">
        <is>
          <t>N/A</t>
        </is>
      </c>
      <c r="AT54" s="430" t="inlineStr">
        <is>
          <t>N/A</t>
        </is>
      </c>
      <c r="AU54" s="430" t="inlineStr">
        <is>
          <t>N/A</t>
        </is>
      </c>
      <c r="AV54" s="430" t="inlineStr">
        <is>
          <t>N/A</t>
        </is>
      </c>
      <c r="AW54" s="430" t="inlineStr">
        <is>
          <t>N/A</t>
        </is>
      </c>
      <c r="AX54" s="430" t="inlineStr">
        <is>
          <t>N/A</t>
        </is>
      </c>
      <c r="AY54" s="430" t="inlineStr">
        <is>
          <t>N/A</t>
        </is>
      </c>
      <c r="AZ54" s="430" t="inlineStr">
        <is>
          <t>N/A</t>
        </is>
      </c>
      <c r="BA54" s="430" t="inlineStr">
        <is>
          <t>N/A</t>
        </is>
      </c>
      <c r="BB54" s="430" t="inlineStr">
        <is>
          <t>N/A</t>
        </is>
      </c>
      <c r="BC54" s="430" t="inlineStr">
        <is>
          <t>N/A</t>
        </is>
      </c>
      <c r="BD54" s="430" t="inlineStr">
        <is>
          <t>N/A</t>
        </is>
      </c>
      <c r="BE54" s="430" t="inlineStr">
        <is>
          <t>N/A</t>
        </is>
      </c>
      <c r="BF54" s="430" t="inlineStr">
        <is>
          <t>H49</t>
        </is>
      </c>
      <c r="BG54" s="430" t="inlineStr">
        <is>
          <t>CO2</t>
        </is>
      </c>
      <c r="BH54" s="430" t="inlineStr">
        <is>
          <t>正向</t>
        </is>
      </c>
      <c r="BI54" s="430" t="inlineStr">
        <is>
          <t>污染防治；能源安全；产业发展</t>
        </is>
      </c>
      <c r="BJ54" s="430" t="inlineStr">
        <is>
          <t>中华人民共和国车船税法第四条；财税〔2018〕74号；工信部 财政部 税务总局公告2024年第10号</t>
        </is>
      </c>
      <c r="BK54" s="430" t="inlineStr">
        <is>
          <t>https://guangdong.chinatax.gov.cn/gdsw/zjfg/2025-10/11/content_a027bb417fc0413aa2dbf4222e5e6f4b.shtml</t>
        </is>
      </c>
      <c r="BL54" s="430" t="inlineStr">
        <is>
          <t>https://fgk.chinatax.gov.cn/zcfgk/c102416/c5203774/content.html</t>
        </is>
      </c>
      <c r="BM54" s="430" t="inlineStr"/>
    </row>
    <row r="55">
      <c r="A55" s="430" t="inlineStr">
        <is>
          <t>CHNTAXVOTI01S002</t>
        </is>
      </c>
      <c r="B55" s="430" t="inlineStr">
        <is>
          <t>子方案</t>
        </is>
      </c>
      <c r="C55" s="430" t="inlineStr">
        <is>
          <t>税收</t>
        </is>
      </c>
      <c r="D55" s="430" t="inlineStr">
        <is>
          <t>车船税优惠</t>
        </is>
      </c>
      <c r="E55" s="430" t="inlineStr">
        <is>
          <t>交通</t>
        </is>
      </c>
      <c r="F55" s="430" t="inlineStr">
        <is>
          <t>道路交通；乘用车；商用车</t>
        </is>
      </c>
      <c r="G55" s="430" t="inlineStr">
        <is>
          <t>节能汽车减半征收车船税</t>
        </is>
      </c>
      <c r="H55" s="430" t="inlineStr">
        <is>
          <t>Energy-saving vehicle 50% vehicle and vessel tax reduction</t>
        </is>
      </c>
      <c r="I55" s="430" t="inlineStr">
        <is>
          <t>节能与新能源车船税优惠</t>
        </is>
      </c>
      <c r="J55" s="430"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430" t="inlineStr">
        <is>
          <t>减缓气候变化；能源效率</t>
        </is>
      </c>
      <c r="L55" s="430" t="inlineStr">
        <is>
          <t>直接</t>
        </is>
      </c>
      <c r="M55" s="430" t="inlineStr">
        <is>
          <t>国家</t>
        </is>
      </c>
      <c r="N55" s="430" t="inlineStr">
        <is>
          <t>N/A</t>
        </is>
      </c>
      <c r="O55" s="430" t="inlineStr">
        <is>
          <t>25/02/2011</t>
        </is>
      </c>
      <c r="P55" s="430" t="inlineStr">
        <is>
          <t>01/01/2012</t>
        </is>
      </c>
      <c r="Q55" s="430" t="inlineStr">
        <is>
          <t>N/A</t>
        </is>
      </c>
      <c r="R55" s="430" t="inlineStr">
        <is>
          <t>01/07/2024</t>
        </is>
      </c>
      <c r="S55" s="430" t="inlineStr">
        <is>
          <t>2024年5月公告（2024年第10号）自2024年7月1日起更新节能汽车综合工况燃料消耗量技术标准。</t>
        </is>
      </c>
      <c r="T55" s="430">
        <f>IF(P55="","生效",IF(P55="N/A","生效",IF(TODAY()&lt;DATE(VALUE(RIGHT(P55,4)),VALUE(MID(P55,4,2)),VALUE(LEFT(P55,2))),"计划实施",IF(Q55="","生效",IF(Q55="N/A","生效",IF(TODAY()&lt;DATE(VALUE(RIGHT(Q55,4)),VALUE(MID(Q55,4,2)),VALUE(LEFT(Q55,2))),"生效","已终止"))))))</f>
        <v/>
      </c>
      <c r="U55" s="430" t="inlineStr">
        <is>
          <t>工业和信息化部（车型目录管理和技术标准）；国家税务总局（车船税征收管理）；财政部（政策制定）</t>
        </is>
      </c>
      <c r="V55" s="430" t="inlineStr">
        <is>
          <t>汽车；轻型卡车；重型卡车</t>
        </is>
      </c>
      <c r="W55" s="430" t="inlineStr">
        <is>
          <t>既有</t>
        </is>
      </c>
      <c r="X55" s="430"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Y55" s="430" t="inlineStr">
        <is>
          <t>N/A</t>
        </is>
      </c>
      <c r="Z55" s="430" t="inlineStr">
        <is>
          <t>乘用车排量不超过1.6升（≤1.6L）。轻型商用车最大设计总质量不超过3500kg。重型商用车最大设计总质量超过3500kg。</t>
        </is>
      </c>
      <c r="AA55" s="430" t="inlineStr">
        <is>
          <t>家庭；企业</t>
        </is>
      </c>
      <c r="AB55" s="430" t="inlineStr">
        <is>
          <t>符合条件的节能汽车的所有人或管理人（包括个人消费者、各类企业和机构）。优惠通过减半征收年度车船税降低车辆持有成本。</t>
        </is>
      </c>
      <c r="AC55" s="430" t="inlineStr">
        <is>
          <t>拥有、使用或资本形成</t>
        </is>
      </c>
      <c r="AD55" s="430" t="inlineStr">
        <is>
          <t>节能汽车所有人在每年缴纳车船税时，凭车型列入优惠目录的证明，由税务机关按50%税率征收车船税。优惠在车辆持有期间每年持续适用。</t>
        </is>
      </c>
      <c r="AE55" s="430" t="inlineStr">
        <is>
          <t>50</t>
        </is>
      </c>
      <c r="AF55" s="430" t="inlineStr">
        <is>
          <t>% of annual vehicle and vessel tax reduced</t>
        </is>
      </c>
      <c r="AG55" s="430" t="inlineStr">
        <is>
          <t>减半征收车船税（50%减免），即实际缴纳车船税应纳税额的50%。</t>
        </is>
      </c>
      <c r="AH55" s="430"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I55" s="430" t="inlineStr">
        <is>
          <t>实际应纳车船税 = 车船税应纳税额 × 50%</t>
        </is>
      </c>
      <c r="AJ55" s="430" t="inlineStr">
        <is>
          <t>N/A</t>
        </is>
      </c>
      <c r="AK55" s="430" t="inlineStr">
        <is>
          <t>N/A</t>
        </is>
      </c>
      <c r="AL55" s="430" t="inlineStr">
        <is>
          <t>N/A</t>
        </is>
      </c>
      <c r="AM55" s="430" t="inlineStr">
        <is>
          <t>N/A</t>
        </is>
      </c>
      <c r="AN55" s="430" t="inlineStr">
        <is>
          <t>N/A</t>
        </is>
      </c>
      <c r="AO55" s="430" t="inlineStr">
        <is>
          <t>N/A</t>
        </is>
      </c>
      <c r="AP55" s="430" t="inlineStr">
        <is>
          <t>N/A</t>
        </is>
      </c>
      <c r="AQ55" s="430" t="inlineStr">
        <is>
          <t>N/A</t>
        </is>
      </c>
      <c r="AR55" s="430" t="inlineStr">
        <is>
          <t>N/A</t>
        </is>
      </c>
      <c r="AS55" s="430" t="inlineStr">
        <is>
          <t>N/A</t>
        </is>
      </c>
      <c r="AT55" s="430" t="inlineStr">
        <is>
          <t>N/A</t>
        </is>
      </c>
      <c r="AU55" s="430" t="inlineStr">
        <is>
          <t>N/A</t>
        </is>
      </c>
      <c r="AV55" s="430" t="inlineStr">
        <is>
          <t>N/A</t>
        </is>
      </c>
      <c r="AW55" s="430" t="inlineStr">
        <is>
          <t>N/A</t>
        </is>
      </c>
      <c r="AX55" s="430" t="inlineStr">
        <is>
          <t>N/A</t>
        </is>
      </c>
      <c r="AY55" s="430" t="inlineStr">
        <is>
          <t>N/A</t>
        </is>
      </c>
      <c r="AZ55" s="430" t="inlineStr">
        <is>
          <t>N/A</t>
        </is>
      </c>
      <c r="BA55" s="430" t="inlineStr">
        <is>
          <t>N/A</t>
        </is>
      </c>
      <c r="BB55" s="430" t="inlineStr">
        <is>
          <t>N/A</t>
        </is>
      </c>
      <c r="BC55" s="430" t="inlineStr">
        <is>
          <t>N/A</t>
        </is>
      </c>
      <c r="BD55" s="430" t="inlineStr">
        <is>
          <t>N/A</t>
        </is>
      </c>
      <c r="BE55" s="430" t="inlineStr">
        <is>
          <t>N/A</t>
        </is>
      </c>
      <c r="BF55" s="430" t="inlineStr">
        <is>
          <t>H49</t>
        </is>
      </c>
      <c r="BG55" s="430" t="inlineStr">
        <is>
          <t>CO2</t>
        </is>
      </c>
      <c r="BH55" s="430" t="inlineStr">
        <is>
          <t>正向</t>
        </is>
      </c>
      <c r="BI55" s="430" t="inlineStr">
        <is>
          <t>污染防治；能源安全</t>
        </is>
      </c>
      <c r="BJ55" s="430" t="inlineStr">
        <is>
          <t>中华人民共和国车船税法第五条；财税〔2018〕74号；工信部 财政部 税务总局公告2024年第10号</t>
        </is>
      </c>
      <c r="BK55" s="430" t="inlineStr">
        <is>
          <t>https://guangdong.chinatax.gov.cn/gdsw/zjfg/2025-10/11/content_a027bb417fc0413aa2dbf4222e5e6f4b.shtml</t>
        </is>
      </c>
      <c r="BL55" s="430" t="inlineStr">
        <is>
          <t>https://fgk.chinatax.gov.cn/zcfgk/c102416/c5203774/content.html</t>
        </is>
      </c>
      <c r="BM55" s="430"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产业发展；绿色消费；绿色经济；电气化</t>
        </is>
      </c>
      <c r="L56" s="341" t="inlineStr">
        <is>
          <t>直接</t>
        </is>
      </c>
      <c r="M56" s="341" t="inlineStr">
        <is>
          <t>国家</t>
        </is>
      </c>
      <c r="N56" s="341" t="inlineStr">
        <is>
          <t>N/A</t>
        </is>
      </c>
      <c r="O56" s="341" t="inlineStr">
        <is>
          <t>01/08/2014</t>
        </is>
      </c>
      <c r="P56" s="341" t="inlineStr">
        <is>
          <t>01/09/2014</t>
        </is>
      </c>
      <c r="Q56" s="341" t="inlineStr">
        <is>
          <t>31/12/2027</t>
        </is>
      </c>
      <c r="R56" s="341" t="inlineStr">
        <is>
          <t>19/06/2023</t>
        </is>
      </c>
      <c r="S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T56" s="341">
        <f>IF(P56="","生效",IF(P56="N/A","生效",IF(TODAY()&lt;DATE(VALUE(RIGHT(P56,4)),VALUE(MID(P56,4,2)),VALUE(LEFT(P56,2))),"计划实施",IF(Q56="","生效",IF(Q56="N/A","生效",IF(TODAY()&lt;DATE(VALUE(RIGHT(Q56,4)),VALUE(MID(Q56,4,2)),VALUE(LEFT(Q56,2))),"生效","已终止"))))))</f>
        <v/>
      </c>
      <c r="U56" s="341" t="inlineStr">
        <is>
          <t>财政部；税务总局；工业和信息化部</t>
        </is>
      </c>
      <c r="V56" s="341" t="inlineStr">
        <is>
          <t>道路运输车辆；汽车</t>
        </is>
      </c>
      <c r="W56" s="341" t="inlineStr">
        <is>
          <t>新建</t>
        </is>
      </c>
      <c r="X56" s="341" t="inlineStr">
        <is>
          <t>符合条件的新能源汽车，包括列入免征或减免车辆购置税新能源汽车车型目录的纯电动汽车、插电式混合动力汽车（含增程式）和燃料电池汽车。</t>
        </is>
      </c>
      <c r="Y56" s="341" t="inlineStr">
        <is>
          <t>N/A</t>
        </is>
      </c>
      <c r="Z56" s="341" t="inlineStr">
        <is>
          <t>2024-2025年购置的符合条件新能源汽车免征车辆购置税，新能源乘用车每辆免税额不超过3万元；2026-2027年购置的符合条件新能源汽车减半征收车辆购置税，新能源乘用车每辆减税额不超过1.5万元。</t>
        </is>
      </c>
      <c r="AA56" s="341" t="inlineStr">
        <is>
          <t>家庭；企业</t>
        </is>
      </c>
      <c r="AB56" s="341" t="inlineStr">
        <is>
          <t>符合条件新能源汽车的购买者；车辆销售方和生产企业配合车型目录和税务资料管理。</t>
        </is>
      </c>
      <c r="AC56" s="341" t="inlineStr">
        <is>
          <t>购置、租赁或改装</t>
        </is>
      </c>
      <c r="AD56" s="341" t="inlineStr">
        <is>
          <t>购买符合条件的新能源汽车，并申报车辆购置税免征或减半征收。</t>
        </is>
      </c>
      <c r="AE56" s="341" t="inlineStr">
        <is>
          <t>100；50</t>
        </is>
      </c>
      <c r="AF56" s="341" t="inlineStr">
        <is>
          <t>%车辆购置税免征/减征</t>
        </is>
      </c>
      <c r="AG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H56" s="341" t="inlineStr">
        <is>
          <t>车辆须属于列入免征或减免车辆购置税车型目录的新能源汽车；购置日期按机动车销售统一发票或海关关税专用缴款书等有效凭证的开具日期确定。</t>
        </is>
      </c>
      <c r="AI56" s="341" t="inlineStr">
        <is>
          <t>减免税额 = 应纳车辆购置税额 × 适用减免比例，并受新能源乘用车单车上限约束。</t>
        </is>
      </c>
      <c r="AJ56" s="341" t="inlineStr">
        <is>
          <t>2024-2025年新能源乘用车单车免税额上限为3万元；2026-2027年新能源乘用车单车减税额上限为1.5万元。</t>
        </is>
      </c>
      <c r="AK56" s="341" t="inlineStr">
        <is>
          <t>N/A</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C29; G45</t>
        </is>
      </c>
      <c r="BG56" s="341" t="inlineStr">
        <is>
          <t>CO2</t>
        </is>
      </c>
      <c r="BH56" s="341" t="inlineStr">
        <is>
          <t>正向</t>
        </is>
      </c>
      <c r="BI56" s="341" t="inlineStr">
        <is>
          <t>污染防治；能源安全；产业发展</t>
        </is>
      </c>
      <c r="BJ56" s="341" t="inlineStr">
        <is>
          <t>财政部 税务总局 工业和信息化部关于延续和优化新能源汽车车辆购置税减免政策的公告</t>
        </is>
      </c>
      <c r="BK56" s="341" t="inlineStr">
        <is>
          <t>https://szs.mof.gov.cn/zhengcefabu/202306/t20230620_3891500.htm</t>
        </is>
      </c>
      <c r="BL56" s="341" t="inlineStr">
        <is>
          <t>https://policy.mofcom.gov.cn/claw/clawContent.shtml?id=48973</t>
        </is>
      </c>
      <c r="BM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能源安全；非化石能源</t>
        </is>
      </c>
      <c r="L57" s="341" t="inlineStr">
        <is>
          <t>间接</t>
        </is>
      </c>
      <c r="M57" s="341" t="inlineStr">
        <is>
          <t>国家</t>
        </is>
      </c>
      <c r="N57" s="341" t="inlineStr">
        <is>
          <t>N/A</t>
        </is>
      </c>
      <c r="O57" s="341" t="inlineStr">
        <is>
          <t>08/11/2023</t>
        </is>
      </c>
      <c r="P57" s="341" t="inlineStr">
        <is>
          <t>01/01/2024</t>
        </is>
      </c>
      <c r="Q57" s="341" t="inlineStr">
        <is>
          <t>N/A</t>
        </is>
      </c>
      <c r="R57" s="341" t="inlineStr">
        <is>
          <t>27/01/2026</t>
        </is>
      </c>
      <c r="S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T57" s="341">
        <f>IF(P57="","生效",IF(P57="N/A","生效",IF(TODAY()&lt;DATE(VALUE(RIGHT(P57,4)),VALUE(MID(P57,4,2)),VALUE(LEFT(P57,2))),"计划实施",IF(Q57="","生效",IF(Q57="N/A","生效",IF(TODAY()&lt;DATE(VALUE(RIGHT(Q57,4)),VALUE(MID(Q57,4,2)),VALUE(LEFT(Q57,2))),"生效","已终止"))))))</f>
        <v/>
      </c>
      <c r="U57" s="341" t="inlineStr">
        <is>
          <t>国家发展和改革委员会；国家能源局</t>
        </is>
      </c>
      <c r="V57" s="341" t="inlineStr">
        <is>
          <t>发电机组；储能设施</t>
        </is>
      </c>
      <c r="W57" s="341" t="inlineStr">
        <is>
          <t>新建；既有</t>
        </is>
      </c>
      <c r="X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Y57" s="341" t="inlineStr">
        <is>
          <t>N/A</t>
        </is>
      </c>
      <c r="Z57" s="341" t="inlineStr">
        <is>
          <t>N/A</t>
        </is>
      </c>
      <c r="AA57" s="341" t="inlineStr">
        <is>
          <t>企业</t>
        </is>
      </c>
      <c r="AB57" s="341" t="inlineStr">
        <is>
          <t>拥有合规、并网、在运发电机组或储能设施的发电企业或储能运营商。</t>
        </is>
      </c>
      <c r="AC57" s="341" t="inlineStr">
        <is>
          <t>生产、发电或转化；购买或使用</t>
        </is>
      </c>
      <c r="AD57" s="341" t="inlineStr">
        <is>
          <t>发电机组提供可用容量；储能设施基于可用容量和放电时长提供容量支撑。</t>
        </is>
      </c>
      <c r="AE57" s="341" t="inlineStr">
        <is>
          <t>见各子方案</t>
        </is>
      </c>
      <c r="AF57" s="341" t="inlineStr">
        <is>
          <t>见各子方案</t>
        </is>
      </c>
      <c r="AG57" s="341" t="inlineStr">
        <is>
          <t>容量电价或补偿标准因技术类型而异，详见各子方案。容量电费通过系统运行费从全体工商业用户按用电量均摊回收。</t>
        </is>
      </c>
      <c r="AH57" s="341" t="inlineStr">
        <is>
          <t>发电企业和储能运营商须按调度指令提供可用容量；各技术类型的容量电价标准和考核结算规则详见各子方案。容量电费通过系统运行费从全体工商业用户按用电量回收。</t>
        </is>
      </c>
      <c r="AI57" s="341" t="inlineStr">
        <is>
          <t>电网企业根据机组申报最大出力及实际调度考核结果按月计算容量电费。</t>
        </is>
      </c>
      <c r="AJ57" s="341" t="inlineStr">
        <is>
          <t>月度容量电费=容量电价×机组申报最大出力÷12，按月考核调整和结算。</t>
        </is>
      </c>
      <c r="AK57" s="341" t="inlineStr">
        <is>
          <t>N/A</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D35</t>
        </is>
      </c>
      <c r="BG57" s="341" t="inlineStr">
        <is>
          <t>CO2</t>
        </is>
      </c>
      <c r="BH57" s="341" t="inlineStr">
        <is>
          <t>正向</t>
        </is>
      </c>
      <c r="BI57" s="341" t="inlineStr">
        <is>
          <t>污染防治</t>
        </is>
      </c>
      <c r="BJ57" s="341" t="inlineStr">
        <is>
          <t>关于建立煤电容量电价机制的通知（发改价格〔2023〕1501号）；关于完善发电侧容量电价机制的通知（发改价格〔2026〕114号）</t>
        </is>
      </c>
      <c r="BK57" s="341" t="inlineStr">
        <is>
          <t>https://www.gov.cn/zhengce/zhengceku/202311/content_6914744.htm</t>
        </is>
      </c>
      <c r="BL57" s="341" t="inlineStr">
        <is>
          <t>https://www.ndrc.gov.cn/xxgk/zcfb/tz/202311/t20231110_1361897.html; https://www.gov.cn/zhengce/zhengceku/202601/content_7056676.htm</t>
        </is>
      </c>
      <c r="BM57" s="341" t="inlineStr"/>
    </row>
    <row r="58">
      <c r="A58" s="430" t="inlineStr">
        <is>
          <t>CHNADPCPMI01S001</t>
        </is>
      </c>
      <c r="B58" s="430" t="inlineStr">
        <is>
          <t>子方案</t>
        </is>
      </c>
      <c r="C58" s="430" t="inlineStr">
        <is>
          <t>行政定价</t>
        </is>
      </c>
      <c r="D58" s="430" t="inlineStr">
        <is>
          <t>容量电价机制</t>
        </is>
      </c>
      <c r="E58" s="430" t="inlineStr">
        <is>
          <t>能源</t>
        </is>
      </c>
      <c r="F58" s="430" t="inlineStr">
        <is>
          <t>煤电</t>
        </is>
      </c>
      <c r="G58" s="430" t="inlineStr">
        <is>
          <t>煤电容量电价</t>
        </is>
      </c>
      <c r="H58" s="430" t="inlineStr">
        <is>
          <t>Coal-fired capacity pricing</t>
        </is>
      </c>
      <c r="I58" s="430" t="inlineStr">
        <is>
          <t>N/A</t>
        </is>
      </c>
      <c r="J58" s="430"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430" t="inlineStr">
        <is>
          <t>能源安全</t>
        </is>
      </c>
      <c r="L58" s="430" t="inlineStr">
        <is>
          <t>间接</t>
        </is>
      </c>
      <c r="M58" s="430" t="inlineStr">
        <is>
          <t>国家</t>
        </is>
      </c>
      <c r="N58" s="430" t="inlineStr">
        <is>
          <t>N/A</t>
        </is>
      </c>
      <c r="O58" s="430" t="inlineStr">
        <is>
          <t>08/11/2023</t>
        </is>
      </c>
      <c r="P58" s="430" t="inlineStr">
        <is>
          <t>01/01/2024</t>
        </is>
      </c>
      <c r="Q58" s="430" t="inlineStr">
        <is>
          <t>N/A</t>
        </is>
      </c>
      <c r="R58" s="430" t="inlineStr">
        <is>
          <t>27/01/2026</t>
        </is>
      </c>
      <c r="S58" s="430" t="inlineStr">
        <is>
          <t>发改价格〔2026〕114号将煤电容量电价固定成本回收比例从多数省份30%提高至不低于50%，云南等部分省份不低于70%。</t>
        </is>
      </c>
      <c r="T58" s="430">
        <f>IF(P58="","生效",IF(P58="N/A","生效",IF(TODAY()&lt;DATE(VALUE(RIGHT(P58,4)),VALUE(MID(P58,4,2)),VALUE(LEFT(P58,2))),"计划实施",IF(Q58="","生效",IF(Q58="N/A","生效",IF(TODAY()&lt;DATE(VALUE(RIGHT(Q58,4)),VALUE(MID(Q58,4,2)),VALUE(LEFT(Q58,2))),"生效","已终止"))))))</f>
        <v/>
      </c>
      <c r="U58" s="430" t="inlineStr">
        <is>
          <t>国家发展和改革委员会；国家能源局</t>
        </is>
      </c>
      <c r="V58" s="430" t="inlineStr">
        <is>
          <t>煤电机组</t>
        </is>
      </c>
      <c r="W58" s="430" t="inlineStr">
        <is>
          <t>新建；既有</t>
        </is>
      </c>
      <c r="X58" s="430" t="inlineStr">
        <is>
          <t>合规、并网、在运的公用煤电机组。不含自备电厂、未并网或已关停机组的煤电机组，不包括不符合能耗、环保、灵活调节要求的煤电机组。</t>
        </is>
      </c>
      <c r="Y58" s="430" t="inlineStr">
        <is>
          <t>N/A</t>
        </is>
      </c>
      <c r="Z58" s="430" t="inlineStr">
        <is>
          <t>N/A</t>
        </is>
      </c>
      <c r="AA58" s="430" t="inlineStr">
        <is>
          <t>企业</t>
        </is>
      </c>
      <c r="AB58" s="430" t="inlineStr">
        <is>
          <t>拥有合规、并网、在运公用煤电机组的发电企业。</t>
        </is>
      </c>
      <c r="AC58" s="430" t="inlineStr">
        <is>
          <t>生产、发电或转化</t>
        </is>
      </c>
      <c r="AD58" s="430" t="inlineStr">
        <is>
          <t>煤电机组申报最大出力并按调度指令提供可用容量。</t>
        </is>
      </c>
      <c r="AE58" s="430" t="inlineStr">
        <is>
          <t>330; 100; 165</t>
        </is>
      </c>
      <c r="AF58" s="430" t="inlineStr">
        <is>
          <t>元/千瓦/年</t>
        </is>
      </c>
      <c r="AG58" s="430" t="inlineStr">
        <is>
          <t>全国统一固定成本标准：330元/千瓦/年。2024-2025年回收比例：多数省份30%（即100元/千瓦/年），部分省份50%（即165元/千瓦/年）。2026年起：多数省份不低于50%，云南等部分省份不低于70%（来源：发改价格〔2023〕1501号；发改价格〔2026〕114号）。</t>
        </is>
      </c>
      <c r="AH58" s="430" t="inlineStr">
        <is>
          <t>煤电机组按月申报最大出力，容量电费按月结算。容量电费纳入系统运行费，由工商业用户按用电量分摊。机组需通过调度考核方可全额获得容量电费。</t>
        </is>
      </c>
      <c r="AI58" s="430" t="inlineStr">
        <is>
          <t>电网企业根据机组申报最大出力及实际调度考核结果按月计算容量电费。</t>
        </is>
      </c>
      <c r="AJ58" s="430" t="inlineStr">
        <is>
          <t>容量电价=固定成本标准（330元/千瓦/年）×回收比例（30%至不低于50%）。月度容量电费=容量电价×机组申报最大出力÷12，按月考核调整和结算。</t>
        </is>
      </c>
      <c r="AK58" s="430" t="inlineStr">
        <is>
          <t>N/A</t>
        </is>
      </c>
      <c r="AL58" s="430" t="inlineStr">
        <is>
          <t>N/A</t>
        </is>
      </c>
      <c r="AM58" s="430" t="inlineStr">
        <is>
          <t>N/A</t>
        </is>
      </c>
      <c r="AN58" s="430" t="inlineStr">
        <is>
          <t>N/A</t>
        </is>
      </c>
      <c r="AO58" s="430" t="inlineStr">
        <is>
          <t>N/A</t>
        </is>
      </c>
      <c r="AP58" s="430" t="inlineStr">
        <is>
          <t>N/A</t>
        </is>
      </c>
      <c r="AQ58" s="430" t="inlineStr">
        <is>
          <t>N/A</t>
        </is>
      </c>
      <c r="AR58" s="430" t="inlineStr">
        <is>
          <t>N/A</t>
        </is>
      </c>
      <c r="AS58" s="430" t="inlineStr">
        <is>
          <t>N/A</t>
        </is>
      </c>
      <c r="AT58" s="430" t="inlineStr">
        <is>
          <t>N/A</t>
        </is>
      </c>
      <c r="AU58" s="430" t="inlineStr">
        <is>
          <t>N/A</t>
        </is>
      </c>
      <c r="AV58" s="430" t="inlineStr">
        <is>
          <t>N/A</t>
        </is>
      </c>
      <c r="AW58" s="430" t="inlineStr">
        <is>
          <t>N/A</t>
        </is>
      </c>
      <c r="AX58" s="430" t="inlineStr">
        <is>
          <t>N/A</t>
        </is>
      </c>
      <c r="AY58" s="430" t="inlineStr">
        <is>
          <t>N/A</t>
        </is>
      </c>
      <c r="AZ58" s="430" t="inlineStr">
        <is>
          <t>N/A</t>
        </is>
      </c>
      <c r="BA58" s="430" t="inlineStr">
        <is>
          <t>N/A</t>
        </is>
      </c>
      <c r="BB58" s="430" t="inlineStr">
        <is>
          <t>N/A</t>
        </is>
      </c>
      <c r="BC58" s="430" t="inlineStr">
        <is>
          <t>N/A</t>
        </is>
      </c>
      <c r="BD58" s="430" t="inlineStr">
        <is>
          <t>N/A</t>
        </is>
      </c>
      <c r="BE58" s="430" t="inlineStr">
        <is>
          <t>N/A</t>
        </is>
      </c>
      <c r="BF58" s="430" t="inlineStr">
        <is>
          <t>D35</t>
        </is>
      </c>
      <c r="BG58" s="430" t="inlineStr">
        <is>
          <t>CO2</t>
        </is>
      </c>
      <c r="BH58" s="430" t="inlineStr">
        <is>
          <t>未知</t>
        </is>
      </c>
      <c r="BI58" s="430" t="inlineStr">
        <is>
          <t>能源安全；可再生能源发展</t>
        </is>
      </c>
      <c r="BJ58" s="430" t="inlineStr">
        <is>
          <t>关于建立煤电容量电价机制的通知（发改价格〔2023〕1501号）</t>
        </is>
      </c>
      <c r="BK58" s="430" t="inlineStr">
        <is>
          <t>https://www.gov.cn/zhengce/zhengceku/202311/content_6914744.htm</t>
        </is>
      </c>
      <c r="BL58" s="430" t="inlineStr">
        <is>
          <t>https://www.ndrc.gov.cn/xxgk/zcfb/tz/202311/t20231110_1361897.html</t>
        </is>
      </c>
      <c r="BM58" s="430" t="inlineStr"/>
    </row>
    <row r="59">
      <c r="A59" s="430" t="inlineStr">
        <is>
          <t>CHNADPCPMI01S002</t>
        </is>
      </c>
      <c r="B59" s="430" t="inlineStr">
        <is>
          <t>子方案</t>
        </is>
      </c>
      <c r="C59" s="430" t="inlineStr">
        <is>
          <t>行政定价</t>
        </is>
      </c>
      <c r="D59" s="430" t="inlineStr">
        <is>
          <t>容量电价机制</t>
        </is>
      </c>
      <c r="E59" s="430" t="inlineStr">
        <is>
          <t>能源</t>
        </is>
      </c>
      <c r="F59" s="430" t="inlineStr">
        <is>
          <t>天然气发电</t>
        </is>
      </c>
      <c r="G59" s="430" t="inlineStr">
        <is>
          <t>天然气发电容量电价</t>
        </is>
      </c>
      <c r="H59" s="430" t="inlineStr">
        <is>
          <t>Natural gas-fired capacity pricing</t>
        </is>
      </c>
      <c r="I59" s="430" t="inlineStr">
        <is>
          <t>N/A</t>
        </is>
      </c>
      <c r="J59" s="430"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430" t="inlineStr">
        <is>
          <t>能源安全</t>
        </is>
      </c>
      <c r="L59" s="430" t="inlineStr">
        <is>
          <t>间接</t>
        </is>
      </c>
      <c r="M59" s="430" t="inlineStr">
        <is>
          <t>国家</t>
        </is>
      </c>
      <c r="N59" s="430" t="inlineStr">
        <is>
          <t>N/A</t>
        </is>
      </c>
      <c r="O59" s="430" t="inlineStr">
        <is>
          <t>27/01/2026</t>
        </is>
      </c>
      <c r="P59" s="430" t="inlineStr">
        <is>
          <t>27/01/2026</t>
        </is>
      </c>
      <c r="Q59" s="430" t="inlineStr">
        <is>
          <t>N/A</t>
        </is>
      </c>
      <c r="R59" s="430" t="inlineStr">
        <is>
          <t>N/A</t>
        </is>
      </c>
      <c r="S59" s="430" t="inlineStr">
        <is>
          <t>N/A</t>
        </is>
      </c>
      <c r="T59" s="430">
        <f>IF(P59="","生效",IF(P59="N/A","生效",IF(TODAY()&lt;DATE(VALUE(RIGHT(P59,4)),VALUE(MID(P59,4,2)),VALUE(LEFT(P59,2))),"计划实施",IF(Q59="","生效",IF(Q59="N/A","生效",IF(TODAY()&lt;DATE(VALUE(RIGHT(Q59,4)),VALUE(MID(Q59,4,2)),VALUE(LEFT(Q59,2))),"生效","已终止"))))))</f>
        <v/>
      </c>
      <c r="U59" s="430" t="inlineStr">
        <is>
          <t>国家发展和改革委员会；国家能源局</t>
        </is>
      </c>
      <c r="V59" s="430" t="inlineStr">
        <is>
          <t>天然气发电机组</t>
        </is>
      </c>
      <c r="W59" s="430" t="inlineStr">
        <is>
          <t>新建；既有</t>
        </is>
      </c>
      <c r="X59" s="430" t="inlineStr">
        <is>
          <t>合规、并网、在运的公用天然气发电机组。</t>
        </is>
      </c>
      <c r="Y59" s="430" t="inlineStr">
        <is>
          <t>N/A</t>
        </is>
      </c>
      <c r="Z59" s="430" t="inlineStr">
        <is>
          <t>N/A</t>
        </is>
      </c>
      <c r="AA59" s="430" t="inlineStr">
        <is>
          <t>企业</t>
        </is>
      </c>
      <c r="AB59" s="430" t="inlineStr">
        <is>
          <t>拥有合规、并网天然气发电机组的发电企业。</t>
        </is>
      </c>
      <c r="AC59" s="430" t="inlineStr">
        <is>
          <t>生产、发电或转化</t>
        </is>
      </c>
      <c r="AD59" s="430" t="inlineStr">
        <is>
          <t>天然气发电机组申报可用容量并按调度指令提供调峰和调节服务。</t>
        </is>
      </c>
      <c r="AE59" s="430" t="inlineStr">
        <is>
          <t>N/A</t>
        </is>
      </c>
      <c r="AF59" s="430" t="inlineStr">
        <is>
          <t>N/A</t>
        </is>
      </c>
      <c r="AG59" s="430" t="inlineStr">
        <is>
          <t>由省级价格主管部门会同能源主管部门自主确定，无全国统一标准（来源：发改价格〔2026〕114号）。</t>
        </is>
      </c>
      <c r="AH59" s="430" t="inlineStr">
        <is>
          <t>天然气发电机组须按调度指令提供可用容量；具体考核和结算规则由省级层面确定。</t>
        </is>
      </c>
      <c r="AI59" s="430" t="inlineStr">
        <is>
          <t>N/A</t>
        </is>
      </c>
      <c r="AJ59" s="430" t="inlineStr">
        <is>
          <t>N/A</t>
        </is>
      </c>
      <c r="AK59" s="430" t="inlineStr">
        <is>
          <t>N/A</t>
        </is>
      </c>
      <c r="AL59" s="430" t="inlineStr">
        <is>
          <t>N/A</t>
        </is>
      </c>
      <c r="AM59" s="430" t="inlineStr">
        <is>
          <t>N/A</t>
        </is>
      </c>
      <c r="AN59" s="430" t="inlineStr">
        <is>
          <t>N/A</t>
        </is>
      </c>
      <c r="AO59" s="430" t="inlineStr">
        <is>
          <t>N/A</t>
        </is>
      </c>
      <c r="AP59" s="430" t="inlineStr">
        <is>
          <t>N/A</t>
        </is>
      </c>
      <c r="AQ59" s="430" t="inlineStr">
        <is>
          <t>N/A</t>
        </is>
      </c>
      <c r="AR59" s="430" t="inlineStr">
        <is>
          <t>N/A</t>
        </is>
      </c>
      <c r="AS59" s="430" t="inlineStr">
        <is>
          <t>N/A</t>
        </is>
      </c>
      <c r="AT59" s="430" t="inlineStr">
        <is>
          <t>N/A</t>
        </is>
      </c>
      <c r="AU59" s="430" t="inlineStr">
        <is>
          <t>N/A</t>
        </is>
      </c>
      <c r="AV59" s="430" t="inlineStr">
        <is>
          <t>N/A</t>
        </is>
      </c>
      <c r="AW59" s="430" t="inlineStr">
        <is>
          <t>N/A</t>
        </is>
      </c>
      <c r="AX59" s="430" t="inlineStr">
        <is>
          <t>N/A</t>
        </is>
      </c>
      <c r="AY59" s="430" t="inlineStr">
        <is>
          <t>N/A</t>
        </is>
      </c>
      <c r="AZ59" s="430" t="inlineStr">
        <is>
          <t>N/A</t>
        </is>
      </c>
      <c r="BA59" s="430" t="inlineStr">
        <is>
          <t>N/A</t>
        </is>
      </c>
      <c r="BB59" s="430" t="inlineStr">
        <is>
          <t>N/A</t>
        </is>
      </c>
      <c r="BC59" s="430" t="inlineStr">
        <is>
          <t>N/A</t>
        </is>
      </c>
      <c r="BD59" s="430" t="inlineStr">
        <is>
          <t>N/A</t>
        </is>
      </c>
      <c r="BE59" s="430" t="inlineStr">
        <is>
          <t>N/A</t>
        </is>
      </c>
      <c r="BF59" s="430" t="inlineStr">
        <is>
          <t>D35</t>
        </is>
      </c>
      <c r="BG59" s="430" t="inlineStr">
        <is>
          <t>CO2</t>
        </is>
      </c>
      <c r="BH59" s="430" t="inlineStr">
        <is>
          <t>未知</t>
        </is>
      </c>
      <c r="BI59" s="430" t="inlineStr">
        <is>
          <t>能源安全；可再生能源发展</t>
        </is>
      </c>
      <c r="BJ59" s="430" t="inlineStr">
        <is>
          <t>关于完善发电侧容量电价机制的通知（发改价格〔2026〕114号）</t>
        </is>
      </c>
      <c r="BK59" s="430" t="inlineStr">
        <is>
          <t>https://www.gov.cn/zhengce/zhengceku/202601/content_7056676.htm</t>
        </is>
      </c>
      <c r="BL59" s="430" t="inlineStr">
        <is>
          <t>https://zfxxgk.ndrc.gov.cn/wap/iteminfo.jsp?id=20602</t>
        </is>
      </c>
      <c r="BM59" s="430" t="inlineStr"/>
    </row>
    <row r="60">
      <c r="A60" s="430" t="inlineStr">
        <is>
          <t>CHNADPCPMI01S003</t>
        </is>
      </c>
      <c r="B60" s="430" t="inlineStr">
        <is>
          <t>子方案</t>
        </is>
      </c>
      <c r="C60" s="430" t="inlineStr">
        <is>
          <t>行政定价</t>
        </is>
      </c>
      <c r="D60" s="430" t="inlineStr">
        <is>
          <t>容量电价机制</t>
        </is>
      </c>
      <c r="E60" s="430" t="inlineStr">
        <is>
          <t>能源</t>
        </is>
      </c>
      <c r="F60" s="430" t="inlineStr">
        <is>
          <t>新型储能</t>
        </is>
      </c>
      <c r="G60" s="430" t="inlineStr">
        <is>
          <t>新型储能容量补偿</t>
        </is>
      </c>
      <c r="H60" s="430" t="inlineStr">
        <is>
          <t>New-type energy storage capacity compensation</t>
        </is>
      </c>
      <c r="I60" s="430" t="inlineStr">
        <is>
          <t>N/A</t>
        </is>
      </c>
      <c r="J60" s="430"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430" t="inlineStr">
        <is>
          <t>能源安全；非化石能源</t>
        </is>
      </c>
      <c r="L60" s="430" t="inlineStr">
        <is>
          <t>间接</t>
        </is>
      </c>
      <c r="M60" s="430" t="inlineStr">
        <is>
          <t>国家</t>
        </is>
      </c>
      <c r="N60" s="430" t="inlineStr">
        <is>
          <t>N/A</t>
        </is>
      </c>
      <c r="O60" s="430" t="inlineStr">
        <is>
          <t>27/01/2026</t>
        </is>
      </c>
      <c r="P60" s="430" t="inlineStr">
        <is>
          <t>27/01/2026</t>
        </is>
      </c>
      <c r="Q60" s="430" t="inlineStr">
        <is>
          <t>N/A</t>
        </is>
      </c>
      <c r="R60" s="430" t="inlineStr">
        <is>
          <t>N/A</t>
        </is>
      </c>
      <c r="S60" s="430" t="inlineStr">
        <is>
          <t>N/A</t>
        </is>
      </c>
      <c r="T60" s="430">
        <f>IF(P60="","生效",IF(P60="N/A","生效",IF(TODAY()&lt;DATE(VALUE(RIGHT(P60,4)),VALUE(MID(P60,4,2)),VALUE(LEFT(P60,2))),"计划实施",IF(Q60="","生效",IF(Q60="N/A","生效",IF(TODAY()&lt;DATE(VALUE(RIGHT(Q60,4)),VALUE(MID(Q60,4,2)),VALUE(LEFT(Q60,2))),"生效","已终止"))))))</f>
        <v/>
      </c>
      <c r="U60" s="430" t="inlineStr">
        <is>
          <t>国家发展和改革委员会；国家能源局</t>
        </is>
      </c>
      <c r="V60" s="430" t="inlineStr">
        <is>
          <t>新型储能</t>
        </is>
      </c>
      <c r="W60" s="430" t="inlineStr">
        <is>
          <t>新建；既有</t>
        </is>
      </c>
      <c r="X60" s="430" t="inlineStr">
        <is>
          <t>合规的独立储能电站。</t>
        </is>
      </c>
      <c r="Y60" s="430" t="inlineStr">
        <is>
          <t>N/A</t>
        </is>
      </c>
      <c r="Z60" s="430" t="inlineStr">
        <is>
          <t>N/A</t>
        </is>
      </c>
      <c r="AA60" s="430" t="inlineStr">
        <is>
          <t>企业</t>
        </is>
      </c>
      <c r="AB60" s="430" t="inlineStr">
        <is>
          <t>独立储能电站运营商。</t>
        </is>
      </c>
      <c r="AC60" s="430" t="inlineStr">
        <is>
          <t>生产、发电或转化</t>
        </is>
      </c>
      <c r="AD60" s="430" t="inlineStr">
        <is>
          <t>独立储能电站基于可用容量和放电时长提供容量支撑。</t>
        </is>
      </c>
      <c r="AE60" s="430" t="inlineStr">
        <is>
          <t>N/A</t>
        </is>
      </c>
      <c r="AF60" s="430" t="inlineStr">
        <is>
          <t>N/A</t>
        </is>
      </c>
      <c r="AG60" s="430" t="inlineStr">
        <is>
          <t>容量补偿标准锚定当地煤电容量电价，按储能放电时长折算（来源：发改价格〔2026〕114号）。</t>
        </is>
      </c>
      <c r="AH60" s="430" t="inlineStr">
        <is>
          <t>独立储能电站须具备独立计量和调度能力，按调度指令提供容量支撑；具体考核和结算规则由省级层面确定。</t>
        </is>
      </c>
      <c r="AI60" s="430" t="inlineStr">
        <is>
          <t>N/A</t>
        </is>
      </c>
      <c r="AJ60" s="430" t="inlineStr">
        <is>
          <t>N/A</t>
        </is>
      </c>
      <c r="AK60" s="430" t="inlineStr">
        <is>
          <t>N/A</t>
        </is>
      </c>
      <c r="AL60" s="430" t="inlineStr">
        <is>
          <t>N/A</t>
        </is>
      </c>
      <c r="AM60" s="430" t="inlineStr">
        <is>
          <t>N/A</t>
        </is>
      </c>
      <c r="AN60" s="430" t="inlineStr">
        <is>
          <t>N/A</t>
        </is>
      </c>
      <c r="AO60" s="430" t="inlineStr">
        <is>
          <t>N/A</t>
        </is>
      </c>
      <c r="AP60" s="430" t="inlineStr">
        <is>
          <t>N/A</t>
        </is>
      </c>
      <c r="AQ60" s="430" t="inlineStr">
        <is>
          <t>N/A</t>
        </is>
      </c>
      <c r="AR60" s="430" t="inlineStr">
        <is>
          <t>N/A</t>
        </is>
      </c>
      <c r="AS60" s="430" t="inlineStr">
        <is>
          <t>N/A</t>
        </is>
      </c>
      <c r="AT60" s="430" t="inlineStr">
        <is>
          <t>N/A</t>
        </is>
      </c>
      <c r="AU60" s="430" t="inlineStr">
        <is>
          <t>N/A</t>
        </is>
      </c>
      <c r="AV60" s="430" t="inlineStr">
        <is>
          <t>N/A</t>
        </is>
      </c>
      <c r="AW60" s="430" t="inlineStr">
        <is>
          <t>N/A</t>
        </is>
      </c>
      <c r="AX60" s="430" t="inlineStr">
        <is>
          <t>N/A</t>
        </is>
      </c>
      <c r="AY60" s="430" t="inlineStr">
        <is>
          <t>N/A</t>
        </is>
      </c>
      <c r="AZ60" s="430" t="inlineStr">
        <is>
          <t>N/A</t>
        </is>
      </c>
      <c r="BA60" s="430" t="inlineStr">
        <is>
          <t>N/A</t>
        </is>
      </c>
      <c r="BB60" s="430" t="inlineStr">
        <is>
          <t>N/A</t>
        </is>
      </c>
      <c r="BC60" s="430" t="inlineStr">
        <is>
          <t>N/A</t>
        </is>
      </c>
      <c r="BD60" s="430" t="inlineStr">
        <is>
          <t>N/A</t>
        </is>
      </c>
      <c r="BE60" s="430" t="inlineStr">
        <is>
          <t>N/A</t>
        </is>
      </c>
      <c r="BF60" s="430" t="inlineStr">
        <is>
          <t>D35</t>
        </is>
      </c>
      <c r="BG60" s="430" t="inlineStr">
        <is>
          <t>CO2</t>
        </is>
      </c>
      <c r="BH60" s="430" t="inlineStr">
        <is>
          <t>正向</t>
        </is>
      </c>
      <c r="BI60" s="430" t="inlineStr">
        <is>
          <t>污染防治</t>
        </is>
      </c>
      <c r="BJ60" s="430" t="inlineStr">
        <is>
          <t>关于完善发电侧容量电价机制的通知（发改价格〔2026〕114号）</t>
        </is>
      </c>
      <c r="BK60" s="430" t="inlineStr">
        <is>
          <t>https://www.gov.cn/zhengce/zhengceku/202601/content_7056676.htm</t>
        </is>
      </c>
      <c r="BL60" s="430" t="inlineStr">
        <is>
          <t>https://zfxxgk.ndrc.gov.cn/wap/iteminfo.jsp?id=20602</t>
        </is>
      </c>
      <c r="BM60" s="430" t="inlineStr"/>
    </row>
    <row r="61">
      <c r="A61" s="430" t="inlineStr">
        <is>
          <t>CHNADPCPMI01S004</t>
        </is>
      </c>
      <c r="B61" s="430" t="inlineStr">
        <is>
          <t>子方案</t>
        </is>
      </c>
      <c r="C61" s="430" t="inlineStr">
        <is>
          <t>行政定价</t>
        </is>
      </c>
      <c r="D61" s="430" t="inlineStr">
        <is>
          <t>容量电价机制</t>
        </is>
      </c>
      <c r="E61" s="430" t="inlineStr">
        <is>
          <t>能源</t>
        </is>
      </c>
      <c r="F61" s="430" t="inlineStr">
        <is>
          <t>抽水蓄能</t>
        </is>
      </c>
      <c r="G61" s="430" t="inlineStr">
        <is>
          <t>抽水蓄能容量电价</t>
        </is>
      </c>
      <c r="H61" s="430" t="inlineStr">
        <is>
          <t>Pumped hydro storage capacity pricing</t>
        </is>
      </c>
      <c r="I61" s="430" t="inlineStr">
        <is>
          <t>N/A</t>
        </is>
      </c>
      <c r="J61" s="430"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430" t="inlineStr">
        <is>
          <t>能源安全；非化石能源</t>
        </is>
      </c>
      <c r="L61" s="430" t="inlineStr">
        <is>
          <t>间接</t>
        </is>
      </c>
      <c r="M61" s="430" t="inlineStr">
        <is>
          <t>国家</t>
        </is>
      </c>
      <c r="N61" s="430" t="inlineStr">
        <is>
          <t>N/A</t>
        </is>
      </c>
      <c r="O61" s="430" t="inlineStr">
        <is>
          <t>27/01/2026</t>
        </is>
      </c>
      <c r="P61" s="430" t="inlineStr">
        <is>
          <t>27/01/2026</t>
        </is>
      </c>
      <c r="Q61" s="430" t="inlineStr">
        <is>
          <t>N/A</t>
        </is>
      </c>
      <c r="R61" s="430" t="inlineStr">
        <is>
          <t>N/A</t>
        </is>
      </c>
      <c r="S61" s="430" t="inlineStr">
        <is>
          <t>N/A</t>
        </is>
      </c>
      <c r="T61" s="430">
        <f>IF(P61="","生效",IF(P61="N/A","生效",IF(TODAY()&lt;DATE(VALUE(RIGHT(P61,4)),VALUE(MID(P61,4,2)),VALUE(LEFT(P61,2))),"计划实施",IF(Q61="","生效",IF(Q61="N/A","生效",IF(TODAY()&lt;DATE(VALUE(RIGHT(Q61,4)),VALUE(MID(Q61,4,2)),VALUE(LEFT(Q61,2))),"生效","已终止"))))))</f>
        <v/>
      </c>
      <c r="U61" s="430" t="inlineStr">
        <is>
          <t>国家发展和改革委员会；国家能源局</t>
        </is>
      </c>
      <c r="V61" s="430" t="inlineStr">
        <is>
          <t>抽水蓄能</t>
        </is>
      </c>
      <c r="W61" s="430" t="inlineStr">
        <is>
          <t>新建；既有</t>
        </is>
      </c>
      <c r="X61" s="430" t="inlineStr">
        <is>
          <t>合规的在运抽水蓄能电站。</t>
        </is>
      </c>
      <c r="Y61" s="430" t="inlineStr">
        <is>
          <t>N/A</t>
        </is>
      </c>
      <c r="Z61" s="430" t="inlineStr">
        <is>
          <t>N/A</t>
        </is>
      </c>
      <c r="AA61" s="430" t="inlineStr">
        <is>
          <t>企业</t>
        </is>
      </c>
      <c r="AB61" s="430" t="inlineStr">
        <is>
          <t>抽水蓄能电站运营商（主要为电网企业和发电企业）。</t>
        </is>
      </c>
      <c r="AC61" s="430" t="inlineStr">
        <is>
          <t>生产、发电或转化</t>
        </is>
      </c>
      <c r="AD61" s="430" t="inlineStr">
        <is>
          <t>抽水蓄能电站提供可用容量和削峰填谷服务。</t>
        </is>
      </c>
      <c r="AE61" s="430" t="inlineStr">
        <is>
          <t>N/A</t>
        </is>
      </c>
      <c r="AF61" s="430" t="inlineStr">
        <is>
          <t>N/A</t>
        </is>
      </c>
      <c r="AG61" s="430" t="inlineStr">
        <is>
          <t>采用经营期定价法，按项目投产时间差异化定价。新建项目投产即核定容量电价；已运行一定年限项目按实际运维成本定价（来源：发改价格〔2026〕114号）。</t>
        </is>
      </c>
      <c r="AH61" s="430" t="inlineStr">
        <is>
          <t>抽水蓄能电站须按调度指令提供抽水和发电服务；具体考核和结算规则由省级层面确定。</t>
        </is>
      </c>
      <c r="AI61" s="430" t="inlineStr">
        <is>
          <t>N/A</t>
        </is>
      </c>
      <c r="AJ61" s="430" t="inlineStr">
        <is>
          <t>N/A</t>
        </is>
      </c>
      <c r="AK61" s="430" t="inlineStr">
        <is>
          <t>N/A</t>
        </is>
      </c>
      <c r="AL61" s="430" t="inlineStr">
        <is>
          <t>N/A</t>
        </is>
      </c>
      <c r="AM61" s="430" t="inlineStr">
        <is>
          <t>N/A</t>
        </is>
      </c>
      <c r="AN61" s="430" t="inlineStr">
        <is>
          <t>N/A</t>
        </is>
      </c>
      <c r="AO61" s="430" t="inlineStr">
        <is>
          <t>N/A</t>
        </is>
      </c>
      <c r="AP61" s="430" t="inlineStr">
        <is>
          <t>N/A</t>
        </is>
      </c>
      <c r="AQ61" s="430" t="inlineStr">
        <is>
          <t>N/A</t>
        </is>
      </c>
      <c r="AR61" s="430" t="inlineStr">
        <is>
          <t>N/A</t>
        </is>
      </c>
      <c r="AS61" s="430" t="inlineStr">
        <is>
          <t>N/A</t>
        </is>
      </c>
      <c r="AT61" s="430" t="inlineStr">
        <is>
          <t>N/A</t>
        </is>
      </c>
      <c r="AU61" s="430" t="inlineStr">
        <is>
          <t>N/A</t>
        </is>
      </c>
      <c r="AV61" s="430" t="inlineStr">
        <is>
          <t>N/A</t>
        </is>
      </c>
      <c r="AW61" s="430" t="inlineStr">
        <is>
          <t>N/A</t>
        </is>
      </c>
      <c r="AX61" s="430" t="inlineStr">
        <is>
          <t>N/A</t>
        </is>
      </c>
      <c r="AY61" s="430" t="inlineStr">
        <is>
          <t>N/A</t>
        </is>
      </c>
      <c r="AZ61" s="430" t="inlineStr">
        <is>
          <t>N/A</t>
        </is>
      </c>
      <c r="BA61" s="430" t="inlineStr">
        <is>
          <t>N/A</t>
        </is>
      </c>
      <c r="BB61" s="430" t="inlineStr">
        <is>
          <t>N/A</t>
        </is>
      </c>
      <c r="BC61" s="430" t="inlineStr">
        <is>
          <t>N/A</t>
        </is>
      </c>
      <c r="BD61" s="430" t="inlineStr">
        <is>
          <t>N/A</t>
        </is>
      </c>
      <c r="BE61" s="430" t="inlineStr">
        <is>
          <t>N/A</t>
        </is>
      </c>
      <c r="BF61" s="430" t="inlineStr">
        <is>
          <t>D35</t>
        </is>
      </c>
      <c r="BG61" s="430" t="inlineStr">
        <is>
          <t>CO2</t>
        </is>
      </c>
      <c r="BH61" s="430" t="inlineStr">
        <is>
          <t>正向</t>
        </is>
      </c>
      <c r="BI61" s="430" t="inlineStr">
        <is>
          <t>污染防治</t>
        </is>
      </c>
      <c r="BJ61" s="430" t="inlineStr">
        <is>
          <t>关于完善发电侧容量电价机制的通知（发改价格〔2026〕114号）</t>
        </is>
      </c>
      <c r="BK61" s="430" t="inlineStr">
        <is>
          <t>https://www.gov.cn/zhengce/zhengceku/202601/content_7056676.htm</t>
        </is>
      </c>
      <c r="BL61" s="430" t="inlineStr">
        <is>
          <t>https://zfxxgk.ndrc.gov.cn/wap/iteminfo.jsp?id=20602</t>
        </is>
      </c>
      <c r="BM61" s="430"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能源效率；污染防治</t>
        </is>
      </c>
      <c r="L62" s="341" t="inlineStr">
        <is>
          <t>间接</t>
        </is>
      </c>
      <c r="M62" s="341" t="inlineStr">
        <is>
          <t>国家</t>
        </is>
      </c>
      <c r="N62" s="341" t="inlineStr">
        <is>
          <t>N/A</t>
        </is>
      </c>
      <c r="O62" s="341" t="inlineStr">
        <is>
          <t>29/11/2011</t>
        </is>
      </c>
      <c r="P62" s="341" t="inlineStr">
        <is>
          <t>01/07/2012</t>
        </is>
      </c>
      <c r="Q62" s="341" t="inlineStr">
        <is>
          <t>N/A</t>
        </is>
      </c>
      <c r="R62" s="341" t="inlineStr">
        <is>
          <t>N/A</t>
        </is>
      </c>
      <c r="S62" s="341" t="inlineStr">
        <is>
          <t>2013年12月，国家发展改革委发布关于完善居民阶梯电价制度的通知，进一步完善居民阶梯电价制度实施要求和执行细则。</t>
        </is>
      </c>
      <c r="T62" s="341">
        <f>IF(P62="","生效",IF(P62="N/A","生效",IF(TODAY()&lt;DATE(VALUE(RIGHT(P62,4)),VALUE(MID(P62,4,2)),VALUE(LEFT(P62,2))),"计划实施",IF(Q62="","生效",IF(Q62="N/A","生效",IF(TODAY()&lt;DATE(VALUE(RIGHT(Q62,4)),VALUE(MID(Q62,4,2)),VALUE(LEFT(Q62,2))),"生效","已终止"))))))</f>
        <v/>
      </c>
      <c r="U62" s="341" t="inlineStr">
        <is>
          <t>国家发展和改革委员会；省级价格主管部门</t>
        </is>
      </c>
      <c r="V62" s="341" t="inlineStr">
        <is>
          <t>居民用电</t>
        </is>
      </c>
      <c r="W62" s="341" t="inlineStr">
        <is>
          <t>既有</t>
        </is>
      </c>
      <c r="X62" s="341" t="inlineStr">
        <is>
          <t>城乡居民一户一表用户的生活用电。出租房屋用户和居住证地址与实际用电地址不符的用户，由各省根据实际情况确定是否执行阶梯电价及具体执行方式。</t>
        </is>
      </c>
      <c r="Y62" s="341" t="inlineStr">
        <is>
          <t>N/A</t>
        </is>
      </c>
      <c r="Z62" s="341" t="inlineStr">
        <is>
          <t>各档电量分档标准：第一档覆盖约80%居民家庭月均用电量；第二档覆盖约80%-95%居民家庭月均用电量；第三档为超出第二档部分。具体分档电量由各省根据本地居民用电实际确定。</t>
        </is>
      </c>
      <c r="AA62" s="341" t="inlineStr">
        <is>
          <t>家庭</t>
        </is>
      </c>
      <c r="AB62" s="341" t="inlineStr">
        <is>
          <t>城乡居民一户一表用户。原则上以住宅为单位，一个房产证明对应一户；未实行一户一表的合表用户，由各省根据实际情况确定计价方式。</t>
        </is>
      </c>
      <c r="AC62" s="341" t="inlineStr">
        <is>
          <t>购买或使用</t>
        </is>
      </c>
      <c r="AD62" s="341" t="inlineStr">
        <is>
          <t>居民日常生活用电，包括但不限于照明、制冷、供暖、炊事、家电等。</t>
        </is>
      </c>
      <c r="AE62" s="341" t="inlineStr">
        <is>
          <t>0.05; 0.30</t>
        </is>
      </c>
      <c r="AF62" s="341" t="inlineStr">
        <is>
          <t>元/千瓦时</t>
        </is>
      </c>
      <c r="AG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H62" s="341" t="inlineStr">
        <is>
          <t>各省（自治区、直辖市）价格主管部门根据本地居民用电实际，制定阶梯电价分档电量和价格方案，报省级人民政府批准后实施。电网企业按月抄表并按累计用电量分档计价。</t>
        </is>
      </c>
      <c r="AI62" s="341" t="inlineStr">
        <is>
          <t>电网企业按每户每月累计用电量对应各档电价分别计算电费：第一档电量×第一档电价+第二档电量×第二档电价+第三档电量×第三档电价。</t>
        </is>
      </c>
      <c r="AJ62" s="341" t="inlineStr">
        <is>
          <t>各省价格主管部门根据本地居民用电量和用电结构，合理确定各档电量和电价标准。电网企业按月累计用电量自动分档计价并出具电费账单。</t>
        </is>
      </c>
      <c r="AK62" s="341" t="inlineStr">
        <is>
          <t>N/A</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D35</t>
        </is>
      </c>
      <c r="BG62" s="341" t="inlineStr">
        <is>
          <t>CO2</t>
        </is>
      </c>
      <c r="BH62" s="341" t="inlineStr">
        <is>
          <t>正向</t>
        </is>
      </c>
      <c r="BI62" s="341" t="inlineStr">
        <is>
          <t>污染防治</t>
        </is>
      </c>
      <c r="BJ62" s="341" t="inlineStr">
        <is>
          <t>关于居民生活用电试行阶梯电价的指导意见（发改价格〔2011〕2617号）；关于完善居民阶梯电价制度的通知（发改价格〔2013〕2523号）</t>
        </is>
      </c>
      <c r="BK62" s="341" t="inlineStr">
        <is>
          <t>https://zfxxgk.ndrc.gov.cn/web/iteminfo.jsp?id=19692</t>
        </is>
      </c>
      <c r="BL62" s="341" t="inlineStr">
        <is>
          <t>https://www.gov.cn/gzdt/2011-12/01/content_2007657.htm</t>
        </is>
      </c>
      <c r="BM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产业发展；能源效率</t>
        </is>
      </c>
      <c r="L63" s="341" t="inlineStr">
        <is>
          <t>直接</t>
        </is>
      </c>
      <c r="M63" s="341" t="inlineStr">
        <is>
          <t>国家</t>
        </is>
      </c>
      <c r="N63" s="341" t="inlineStr">
        <is>
          <t>N/A</t>
        </is>
      </c>
      <c r="O63" s="341" t="inlineStr">
        <is>
          <t>01/06/2004</t>
        </is>
      </c>
      <c r="P63" s="341" t="inlineStr">
        <is>
          <t>01/06/2004</t>
        </is>
      </c>
      <c r="Q63" s="341" t="inlineStr">
        <is>
          <t>N/A</t>
        </is>
      </c>
      <c r="R63" s="341" t="inlineStr">
        <is>
          <t>29/05/2024</t>
        </is>
      </c>
      <c r="S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T63" s="341">
        <f>IF(P63="","生效",IF(P63="N/A","生效",IF(TODAY()&lt;DATE(VALUE(RIGHT(P63,4)),VALUE(MID(P63,4,2)),VALUE(LEFT(P63,2))),"计划实施",IF(Q63="","生效",IF(Q63="N/A","生效",IF(TODAY()&lt;DATE(VALUE(RIGHT(Q63,4)),VALUE(MID(Q63,4,2)),VALUE(LEFT(Q63,2))),"生效","已终止"))))))</f>
        <v/>
      </c>
      <c r="U63" s="341" t="inlineStr">
        <is>
          <t>国家发展和改革委员会；省级价格主管部门</t>
        </is>
      </c>
      <c r="V63" s="341" t="inlineStr">
        <is>
          <t>工业用电</t>
        </is>
      </c>
      <c r="W63" s="341" t="inlineStr">
        <is>
          <t>新建；既有</t>
        </is>
      </c>
      <c r="X63" s="341" t="inlineStr">
        <is>
          <t>电解铝、铁合金、电石、烧碱、水泥、钢铁、铜、锌冶炼八个高耗能行业企业的生产用电。</t>
        </is>
      </c>
      <c r="Y63" s="341" t="inlineStr">
        <is>
          <t>N/A</t>
        </is>
      </c>
      <c r="Z63" s="341" t="inlineStr">
        <is>
          <t>按国家产业政策将企业分为鼓励类、限制类和淘汰类，不同类别适用不同加价标准。</t>
        </is>
      </c>
      <c r="AA63" s="341" t="inlineStr">
        <is>
          <t>企业</t>
        </is>
      </c>
      <c r="AB63" s="341" t="inlineStr">
        <is>
          <t>属于上述八个高耗能行业的工业企业。</t>
        </is>
      </c>
      <c r="AC63" s="341" t="inlineStr">
        <is>
          <t>购买或使用</t>
        </is>
      </c>
      <c r="AD63" s="341" t="inlineStr">
        <is>
          <t>高耗能工业企业的生产经营用电。</t>
        </is>
      </c>
      <c r="AE63" s="341" t="inlineStr">
        <is>
          <t>0.10; 0.30</t>
        </is>
      </c>
      <c r="AF63" s="341" t="inlineStr">
        <is>
          <t>元/千瓦时</t>
        </is>
      </c>
      <c r="AG63" s="341" t="inlineStr">
        <is>
          <t>限制类企业加价标准：0.10元/千瓦时；淘汰类企业加价标准：0.30元/千瓦时（来源：2004年国家发展改革委差别电价政策通知；2010年进一步扩大差别电价实施范围的通知）。</t>
        </is>
      </c>
      <c r="AH63" s="341" t="inlineStr">
        <is>
          <t>省级价格主管部门根据国家产业政策，定期公布本行政区域内高耗能行业企业的产业政策分类及相应差别电价标准，电网企业按分类执行差别电价。</t>
        </is>
      </c>
      <c r="AI63" s="341" t="inlineStr">
        <is>
          <t>省级行业主管部门依据国家产业政策对高耗能企业进行产业政策分类认定；省级价格主管部门按分类核定差别电价标准。</t>
        </is>
      </c>
      <c r="AJ63" s="341" t="inlineStr">
        <is>
          <t>电网企业在电费结算时，按企业所属产业政策分类对限制类和淘汰类企业用电量分别加收相应标准的差别电价。差别电价收入单独核算，上缴省级财政。</t>
        </is>
      </c>
      <c r="AK63" s="341" t="inlineStr">
        <is>
          <t>N/A</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D35</t>
        </is>
      </c>
      <c r="BG63" s="341" t="inlineStr">
        <is>
          <t>CO2</t>
        </is>
      </c>
      <c r="BH63" s="341" t="inlineStr">
        <is>
          <t>正向</t>
        </is>
      </c>
      <c r="BI63" s="341" t="inlineStr">
        <is>
          <t>污染防治；能源安全</t>
        </is>
      </c>
      <c r="BJ63" s="341" t="inlineStr">
        <is>
          <t>关于对电解铝等高耗能行业实行差别电价政策的通知（发改价格〔2004〕703号）；关于清理对高耗能企业优惠电价等问题的通知（发改价格〔2010〕782号）</t>
        </is>
      </c>
      <c r="BK63" s="341" t="inlineStr">
        <is>
          <t>https://zfxxgk.ndrc.gov.cn/web/iteminfo.jsp?id=19692</t>
        </is>
      </c>
      <c r="BL63" s="341" t="inlineStr">
        <is>
          <t>https://www.gov.cn/zhengce/zhengceku/202405/content_6951522.htm</t>
        </is>
      </c>
      <c r="BM63" s="341"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4"/>
  <sheetViews>
    <sheetView topLeftCell="U1" workbookViewId="0">
      <selection activeCell="AY1" sqref="AY1:AZ1"/>
    </sheetView>
  </sheetViews>
  <sheetFormatPr baseColWidth="8" defaultRowHeight="13.5"/>
  <sheetData>
    <row r="1" ht="15.75" customHeight="1">
      <c r="A1" s="436" t="inlineStr">
        <is>
          <t>识别信息</t>
        </is>
      </c>
      <c r="C1" s="437" t="inlineStr">
        <is>
          <t>工具分类</t>
        </is>
      </c>
      <c r="G1" s="438" t="inlineStr">
        <is>
          <t>政策描述</t>
        </is>
      </c>
      <c r="M1" s="445" t="inlineStr">
        <is>
          <t>行政信息</t>
        </is>
      </c>
      <c r="N1" s="344" t="n"/>
      <c r="O1" s="344" t="n"/>
      <c r="P1" s="344" t="n"/>
      <c r="Q1" s="344" t="n"/>
      <c r="R1" s="344" t="n"/>
      <c r="S1" s="344" t="n"/>
      <c r="T1" s="344" t="n"/>
      <c r="U1" s="344" t="n"/>
      <c r="V1" s="446" t="inlineStr">
        <is>
          <t>政策规制基础与强度</t>
        </is>
      </c>
      <c r="W1" s="344" t="n"/>
      <c r="X1" s="344" t="n"/>
      <c r="Y1" s="344" t="n"/>
      <c r="Z1" s="344" t="n"/>
      <c r="AA1" s="344" t="n"/>
      <c r="AB1" s="344" t="n"/>
      <c r="AC1" s="344" t="n"/>
      <c r="AD1" s="344" t="n"/>
      <c r="AE1" s="344" t="n"/>
      <c r="AF1" s="344" t="n"/>
      <c r="AG1" s="344" t="n"/>
      <c r="AH1" s="344" t="n"/>
      <c r="AI1" s="344" t="n"/>
      <c r="AJ1" s="344" t="n"/>
      <c r="AK1" s="447" t="inlineStr">
        <is>
          <t>工具特定属性</t>
        </is>
      </c>
      <c r="AL1" s="344" t="n"/>
      <c r="AM1" s="344" t="n"/>
      <c r="AN1" s="344" t="n"/>
      <c r="AO1" s="344" t="n"/>
      <c r="AP1" s="344" t="n"/>
      <c r="AQ1" s="448" t="inlineStr">
        <is>
          <t>温室气体排放基础</t>
        </is>
      </c>
      <c r="AR1" s="348" t="n"/>
      <c r="AS1" s="449" t="inlineStr">
        <is>
          <t>分类与指标</t>
        </is>
      </c>
      <c r="AT1" s="344" t="n"/>
      <c r="AU1" s="344" t="n"/>
      <c r="AV1" s="344" t="n"/>
      <c r="AW1" s="450" t="inlineStr">
        <is>
          <t>立法参考</t>
        </is>
      </c>
      <c r="AX1" s="344" t="n"/>
      <c r="AY1" s="344" t="n"/>
      <c r="AZ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管辖层级</t>
        </is>
      </c>
      <c r="N2" s="351" t="inlineStr">
        <is>
          <t>管辖地名称</t>
        </is>
      </c>
      <c r="O2" s="351" t="inlineStr">
        <is>
          <t>通过日期</t>
        </is>
      </c>
      <c r="P2" s="351" t="inlineStr">
        <is>
          <t>生效日期</t>
        </is>
      </c>
      <c r="Q2" s="351" t="inlineStr">
        <is>
          <t>终止日期</t>
        </is>
      </c>
      <c r="R2" s="351" t="inlineStr">
        <is>
          <t>最近修订</t>
        </is>
      </c>
      <c r="S2" s="351" t="inlineStr">
        <is>
          <t>最近修订（详情）</t>
        </is>
      </c>
      <c r="T2" s="351" t="inlineStr">
        <is>
          <t>状态</t>
        </is>
      </c>
      <c r="U2" s="351"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合规监测</t>
        </is>
      </c>
      <c r="AL2" s="336" t="inlineStr">
        <is>
          <t>合规监测详情</t>
        </is>
      </c>
      <c r="AM2" s="336" t="inlineStr">
        <is>
          <t>合规执行</t>
        </is>
      </c>
      <c r="AN2" s="336" t="inlineStr">
        <is>
          <t>合规执行详情</t>
        </is>
      </c>
      <c r="AO2" s="336" t="inlineStr">
        <is>
          <t>合规促进</t>
        </is>
      </c>
      <c r="AP2" s="336" t="inlineStr">
        <is>
          <t>合规促进详情</t>
        </is>
      </c>
      <c r="AQ2" s="340" t="inlineStr">
        <is>
          <t>温室气体排放覆盖（绝对量）</t>
        </is>
      </c>
      <c r="AR2" s="340" t="inlineStr">
        <is>
          <t>温室气体排放覆盖（占国内排放百分比）</t>
        </is>
      </c>
      <c r="AS2" s="352" t="inlineStr">
        <is>
          <t>经济行业</t>
        </is>
      </c>
      <c r="AT2" s="352" t="inlineStr">
        <is>
          <t>受影响的温室气体</t>
        </is>
      </c>
      <c r="AU2" s="352" t="inlineStr">
        <is>
          <t>减缓效果</t>
        </is>
      </c>
      <c r="AV2" s="352" t="inlineStr">
        <is>
          <t>减缓协同效益</t>
        </is>
      </c>
      <c r="AW2" s="337" t="inlineStr">
        <is>
          <t>法律文件名称</t>
        </is>
      </c>
      <c r="AX2" s="337" t="inlineStr">
        <is>
          <t>法律文件链接</t>
        </is>
      </c>
      <c r="AY2" s="337" t="inlineStr">
        <is>
          <t>其他网页链接</t>
        </is>
      </c>
      <c r="AZ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国家</t>
        </is>
      </c>
      <c r="N3" s="341" t="inlineStr">
        <is>
          <t>N/A</t>
        </is>
      </c>
      <c r="O3" s="341" t="inlineStr">
        <is>
          <t>29/08/2015</t>
        </is>
      </c>
      <c r="P3" s="341" t="inlineStr">
        <is>
          <t>01/01/2016</t>
        </is>
      </c>
      <c r="Q3" s="341" t="inlineStr">
        <is>
          <t>N/A</t>
        </is>
      </c>
      <c r="R3" s="341" t="inlineStr">
        <is>
          <t>29/11/2023</t>
        </is>
      </c>
      <c r="S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T3" s="341">
        <f>IF(P3="","生效",IF(P3="N/A","生效",IF(TODAY()&lt;DATE(VALUE(RIGHT(P3,4)),VALUE(MID(P3,4,2)),VALUE(LEFT(P3,2))),"计划实施",IF(Q3="","生效",IF(Q3="N/A","生效",IF(TODAY()&lt;DATE(VALUE(RIGHT(Q3,4)),VALUE(MID(Q3,4,2)),VALUE(LEFT(Q3,2))),"生效","已终止"))))))</f>
        <v/>
      </c>
      <c r="U3" s="341" t="inlineStr">
        <is>
          <t>生态环境部；国家发展和改革委员会；国家市场监督管理总局；国家能源局</t>
        </is>
      </c>
      <c r="V3" s="341" t="inlineStr">
        <is>
          <t>燃煤锅炉</t>
        </is>
      </c>
      <c r="W3" s="341" t="inlineStr">
        <is>
          <t>新建；既有</t>
        </is>
      </c>
      <c r="X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Y3" s="341" t="inlineStr">
        <is>
          <t>N/A</t>
        </is>
      </c>
      <c r="Z3" s="341" t="inlineStr">
        <is>
          <t>10蒸吨/小时及以下；35蒸吨/小时及以下</t>
        </is>
      </c>
      <c r="AA3" s="341" t="inlineStr">
        <is>
          <t>企业；政府</t>
        </is>
      </c>
      <c r="AB3" s="341" t="inlineStr">
        <is>
          <t>燃煤锅炉的使用企业（工业企业和供热企业）、新建燃煤锅炉的投资建设单位，以及地方政府（负责落实淘汰计划）。</t>
        </is>
      </c>
      <c r="AC3" s="341" t="inlineStr">
        <is>
          <t>生产；使用</t>
        </is>
      </c>
      <c r="AD3" s="341" t="inlineStr">
        <is>
          <t>燃煤锅炉的运行使用和新建投资活动。包括禁止新建受限类型的燃煤锅炉，要求已建成的须在规定期限内改用清洁能源或拆除。</t>
        </is>
      </c>
      <c r="AE3" s="341" t="inlineStr">
        <is>
          <t>N/A</t>
        </is>
      </c>
      <c r="AF3" s="341" t="inlineStr">
        <is>
          <t>N/A</t>
        </is>
      </c>
      <c r="AG3" s="341" t="inlineStr">
        <is>
          <t>N/A</t>
        </is>
      </c>
      <c r="AH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I3" s="341" t="inlineStr">
        <is>
          <t>N/A</t>
        </is>
      </c>
      <c r="AJ3" s="341" t="inlineStr">
        <is>
          <t>N/A</t>
        </is>
      </c>
      <c r="AK3" s="341" t="inlineStr">
        <is>
          <t>政府机构开展的监督检查</t>
        </is>
      </c>
      <c r="AL3" s="341" t="inlineStr">
        <is>
          <t>生态环境主管部门会同市场监管、发展改革等部门对燃煤锅炉禁令执行情况进行监督检查，包括新建锅炉使用登记审查、在用锅炉淘汰进度核查、清洁能源替代落实情况检查等。</t>
        </is>
      </c>
      <c r="AM3" s="341" t="inlineStr">
        <is>
          <t>合规命令；罚款</t>
        </is>
      </c>
      <c r="AN3" s="341" t="inlineStr">
        <is>
          <t>在禁燃区内新建、扩建燃用高污染燃料设施的，或未在规定期限内改用清洁能源的，由生态环境主管部门没收燃用高污染燃料的设施，组织拆除燃煤供热锅炉，并处罚款。</t>
        </is>
      </c>
      <c r="AO3" s="341" t="inlineStr">
        <is>
          <t>其他激励或支持</t>
        </is>
      </c>
      <c r="AP3" s="341" t="inlineStr">
        <is>
          <t>国家通过中央预算内投资、大气污染防治专项资金等对燃煤锅炉淘汰和清洁能源替代给予资金支持；鼓励采用电锅炉、天然气锅炉、生物质锅炉及工业余热等清洁供暖供汽方式。</t>
        </is>
      </c>
      <c r="AQ3" s="341" t="inlineStr">
        <is>
          <t>N/A</t>
        </is>
      </c>
      <c r="AR3" s="341" t="inlineStr">
        <is>
          <t>N/A</t>
        </is>
      </c>
      <c r="AS3" s="341" t="inlineStr">
        <is>
          <t>C25; D35; E36; E37; E38; E39</t>
        </is>
      </c>
      <c r="AT3" s="341" t="inlineStr">
        <is>
          <t>CO2</t>
        </is>
      </c>
      <c r="AU3" s="341" t="inlineStr">
        <is>
          <t>正向</t>
        </is>
      </c>
      <c r="AV3" s="341" t="inlineStr">
        <is>
          <t>污染防治；节能；可再生能源发展</t>
        </is>
      </c>
      <c r="AW3" s="341" t="inlineStr">
        <is>
          <t>中华人民共和国大气污染防治法；锅炉绿色低碳高质量发展行动方案（发改环资〔2023〕1638号）</t>
        </is>
      </c>
      <c r="AX3" s="341" t="inlineStr">
        <is>
          <t>https://www.mee.gov.cn/ywgz/fgbz/fl/201811/t20181113_673567.shtml</t>
        </is>
      </c>
      <c r="AY3" s="341" t="inlineStr">
        <is>
          <t>https://zfxxgk.ndrc.gov.cn/web/iteminfo.jsp?id=20297</t>
        </is>
      </c>
      <c r="AZ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污染防治；循环经济</t>
        </is>
      </c>
      <c r="L4" s="341" t="inlineStr">
        <is>
          <t>间接</t>
        </is>
      </c>
      <c r="M4" s="341" t="inlineStr">
        <is>
          <t>国家</t>
        </is>
      </c>
      <c r="N4" s="341" t="inlineStr">
        <is>
          <t>N/A</t>
        </is>
      </c>
      <c r="O4" s="341" t="inlineStr">
        <is>
          <t>16/01/2020</t>
        </is>
      </c>
      <c r="P4" s="341" t="inlineStr">
        <is>
          <t>16/01/2020</t>
        </is>
      </c>
      <c r="Q4" s="341" t="inlineStr">
        <is>
          <t>N/A</t>
        </is>
      </c>
      <c r="R4" s="341" t="inlineStr">
        <is>
          <t>08/09/2021</t>
        </is>
      </c>
      <c r="S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T4" s="341">
        <f>IF(P4="","生效",IF(P4="N/A","生效",IF(TODAY()&lt;DATE(VALUE(RIGHT(P4,4)),VALUE(MID(P4,4,2)),VALUE(LEFT(P4,2))),"计划实施",IF(Q4="","生效",IF(Q4="N/A","生效",IF(TODAY()&lt;DATE(VALUE(RIGHT(Q4,4)),VALUE(MID(Q4,4,2)),VALUE(LEFT(Q4,2))),"生效","已终止"))))))</f>
        <v/>
      </c>
      <c r="U4" s="341" t="inlineStr">
        <is>
          <t>国家发展和改革委员会；生态环境部；商务部；国家市场监督管理总局；国家邮政局；农业农村部</t>
        </is>
      </c>
      <c r="V4" s="341" t="inlineStr">
        <is>
          <t>受禁限塑料制品</t>
        </is>
      </c>
      <c r="W4" s="341" t="inlineStr">
        <is>
          <t>既有</t>
        </is>
      </c>
      <c r="X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Y4" s="341" t="inlineStr">
        <is>
          <t>N/A</t>
        </is>
      </c>
      <c r="Z4" s="341" t="inlineStr">
        <is>
          <t>N/A</t>
        </is>
      </c>
      <c r="AA4" s="341" t="inlineStr">
        <is>
          <t>企业</t>
        </is>
      </c>
      <c r="AB4" s="341" t="inlineStr">
        <is>
          <t>塑料制品生产企业；零售企业；餐饮企业；酒店；快递企业；电商平台。</t>
        </is>
      </c>
      <c r="AC4" s="341" t="inlineStr">
        <is>
          <t>生产；销售；使用</t>
        </is>
      </c>
      <c r="AD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E4" s="341" t="inlineStr">
        <is>
          <t>N/A</t>
        </is>
      </c>
      <c r="AF4" s="341" t="inlineStr">
        <is>
          <t>N/A</t>
        </is>
      </c>
      <c r="AG4" s="341" t="inlineStr">
        <is>
          <t>N/A</t>
        </is>
      </c>
      <c r="AH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I4" s="341" t="inlineStr">
        <is>
          <t>N/A</t>
        </is>
      </c>
      <c r="AJ4" s="341" t="inlineStr">
        <is>
          <t>N/A</t>
        </is>
      </c>
      <c r="AK4" s="341" t="inlineStr">
        <is>
          <t>政府机构开展的监督检查</t>
        </is>
      </c>
      <c r="AL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M4" s="341" t="inlineStr">
        <is>
          <t>行政处罚；罚款；没收违法所得</t>
        </is>
      </c>
      <c r="AN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O4" s="341" t="inlineStr">
        <is>
          <t>税收优惠；财政补贴</t>
        </is>
      </c>
      <c r="AP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Q4" s="341" t="inlineStr">
        <is>
          <t>N/A</t>
        </is>
      </c>
      <c r="AR4" s="341" t="inlineStr">
        <is>
          <t>N/A</t>
        </is>
      </c>
      <c r="AS4" s="341" t="inlineStr">
        <is>
          <t>C20; C22; G47; I55; I56; H53</t>
        </is>
      </c>
      <c r="AT4" s="341" t="inlineStr">
        <is>
          <t>CO2</t>
        </is>
      </c>
      <c r="AU4" s="341" t="inlineStr">
        <is>
          <t>正向</t>
        </is>
      </c>
      <c r="AV4" s="341" t="inlineStr">
        <is>
          <t>污染防治；资源节约；循环经济</t>
        </is>
      </c>
      <c r="AW4" s="341" t="inlineStr">
        <is>
          <t>关于进一步加强塑料污染治理的意见（发改环资〔2020〕80号）</t>
        </is>
      </c>
      <c r="AX4" s="341" t="inlineStr">
        <is>
          <t>https://www.ndrc.gov.cn/xxgk/zcfb/tz/202001/t20200119_1219275_ext.html</t>
        </is>
      </c>
      <c r="AY4" s="341" t="inlineStr">
        <is>
          <t>十四五塑料污染治理行动方案（发改环资〔2021〕1298号，2021年9月8日）：https://www.ndrc.gov.cn/xxgk/zcfb/tz/202109/t20210915_1296557_ext.html；固体废物污染环境防治法（2020年修订，主席令第43号）：https://www.gov.cn/xinwen/2020-04/30/content_5507561.htm</t>
        </is>
      </c>
      <c r="AZ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国家</t>
        </is>
      </c>
      <c r="N5" s="341" t="inlineStr">
        <is>
          <t>N/A</t>
        </is>
      </c>
      <c r="O5" s="341" t="inlineStr">
        <is>
          <t>15/11/2025</t>
        </is>
      </c>
      <c r="P5" s="341" t="inlineStr">
        <is>
          <t>01/01/2026</t>
        </is>
      </c>
      <c r="Q5" s="341" t="inlineStr">
        <is>
          <t>N/A</t>
        </is>
      </c>
      <c r="R5" s="341" t="inlineStr">
        <is>
          <t>N/A</t>
        </is>
      </c>
      <c r="S5" s="341" t="inlineStr">
        <is>
          <t>N/A</t>
        </is>
      </c>
      <c r="T5" s="341">
        <f>IF(P5="","生效",IF(P5="N/A","生效",IF(TODAY()&lt;DATE(VALUE(RIGHT(P5,4)),VALUE(MID(P5,4,2)),VALUE(LEFT(P5,2))),"计划实施",IF(Q5="","生效",IF(Q5="N/A","生效",IF(TODAY()&lt;DATE(VALUE(RIGHT(Q5,4)),VALUE(MID(Q5,4,2)),VALUE(LEFT(Q5,2))),"生效","已终止"))))))</f>
        <v/>
      </c>
      <c r="U5" s="341" t="inlineStr">
        <is>
          <t>生态环境部；国家发展和改革委员会；工业和信息化部；商务部；海关总署</t>
        </is>
      </c>
      <c r="V5" s="341" t="inlineStr">
        <is>
          <t>以HFCs为制冷剂的家用电冰箱和冰柜</t>
        </is>
      </c>
      <c r="W5" s="341" t="inlineStr">
        <is>
          <t>新建</t>
        </is>
      </c>
      <c r="X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Y5" s="341" t="inlineStr">
        <is>
          <t>N/A</t>
        </is>
      </c>
      <c r="Z5" s="341" t="inlineStr">
        <is>
          <t>N/A</t>
        </is>
      </c>
      <c r="AA5" s="341" t="inlineStr">
        <is>
          <t>企业</t>
        </is>
      </c>
      <c r="AB5" s="341" t="inlineStr">
        <is>
          <t>在中国境内生产以HFCs为制冷剂的家用电冰箱和冰柜产品的生产企业。</t>
        </is>
      </c>
      <c r="AC5" s="341" t="inlineStr">
        <is>
          <t>生产</t>
        </is>
      </c>
      <c r="AD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E5" s="341" t="inlineStr">
        <is>
          <t>N/A</t>
        </is>
      </c>
      <c r="AF5" s="341" t="inlineStr">
        <is>
          <t>N/A</t>
        </is>
      </c>
      <c r="AG5" s="341" t="inlineStr">
        <is>
          <t>N/A</t>
        </is>
      </c>
      <c r="AH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I5" s="341" t="inlineStr">
        <is>
          <t>N/A</t>
        </is>
      </c>
      <c r="AJ5" s="341" t="inlineStr">
        <is>
          <t>N/A</t>
        </is>
      </c>
      <c r="AK5" s="341" t="inlineStr">
        <is>
          <t>政府机构开展的监督检查</t>
        </is>
      </c>
      <c r="AL5" s="341" t="inlineStr">
        <is>
          <t>生态环境主管部门会同有关部门对HFCs制冷剂冰箱冰柜产品生产禁令的执行情况进行监督检查，包括对生产企业的现场检查、对产品制冷剂类型的抽样检测、对CCC认证证书变更情况的核查等。</t>
        </is>
      </c>
      <c r="AM5" s="341" t="inlineStr">
        <is>
          <t>合规命令；罚款</t>
        </is>
      </c>
      <c r="AN5" s="341" t="inlineStr">
        <is>
          <t>对违反规定继续生产以HFCs为制冷剂的家用电冰箱和冰柜产品的企业，由生态环境主管部门会同有关部门依法予以处罚，包括责令停产、没收违法所得、罚款等。</t>
        </is>
      </c>
      <c r="AO5" s="341" t="inlineStr">
        <is>
          <t>其他激励或支持</t>
        </is>
      </c>
      <c r="AP5" s="341" t="inlineStr">
        <is>
          <t>鼓励企业加大环保制冷剂（如R600a、R290等）技术研发和推广力度；引导出口企业对接国际市场HFC管控要求，推动产品升级换代。</t>
        </is>
      </c>
      <c r="AQ5" s="341" t="inlineStr">
        <is>
          <t>N/A</t>
        </is>
      </c>
      <c r="AR5" s="341" t="inlineStr">
        <is>
          <t>N/A</t>
        </is>
      </c>
      <c r="AS5" s="341" t="inlineStr">
        <is>
          <t>C27</t>
        </is>
      </c>
      <c r="AT5" s="341" t="inlineStr">
        <is>
          <t>HFCs</t>
        </is>
      </c>
      <c r="AU5" s="341" t="inlineStr">
        <is>
          <t>正向</t>
        </is>
      </c>
      <c r="AV5" s="341" t="inlineStr">
        <is>
          <t>产业发展；技术创新</t>
        </is>
      </c>
      <c r="AW5" s="341" t="inlineStr">
        <is>
          <t>关于禁止生产以氢氟碳化物（HFCs）为制冷剂的家用电冰箱和冰柜产品的公告（生态环境部2025年第27号公告）</t>
        </is>
      </c>
      <c r="AX5" s="341" t="inlineStr">
        <is>
          <t>https://www.mee.gov.cn/xxgk2018/xxgk/xxgk01/202511/t20251124_1134724.html</t>
        </is>
      </c>
      <c r="AY5" s="341" t="inlineStr">
        <is>
          <t>https://www.mee.gov.cn/ywdt/zbft/202511/t20251120_1134527.shtml</t>
        </is>
      </c>
      <c r="AZ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国家</t>
        </is>
      </c>
      <c r="N6" s="341" t="inlineStr">
        <is>
          <t>N/A</t>
        </is>
      </c>
      <c r="O6" s="341" t="inlineStr">
        <is>
          <t>08/04/2010</t>
        </is>
      </c>
      <c r="P6" s="341" t="inlineStr">
        <is>
          <t>01/06/2010</t>
        </is>
      </c>
      <c r="Q6" s="341" t="inlineStr">
        <is>
          <t>N/A</t>
        </is>
      </c>
      <c r="R6" s="341" t="inlineStr">
        <is>
          <t>29/12/2023</t>
        </is>
      </c>
      <c r="S6" s="341" t="inlineStr">
        <is>
          <t>2023年12月29日根据《国务院关于修改〈消耗臭氧层物质管理条例〉的决定》（国务院令第770号）第二次修订，自2024年3月1日起施行。本次修订将管控范围扩展至氢氟碳化物（HFCs），落实《基加利修正案》履约要求。</t>
        </is>
      </c>
      <c r="T6" s="341">
        <f>IF(P6="","生效",IF(P6="N/A","生效",IF(TODAY()&lt;DATE(VALUE(RIGHT(P6,4)),VALUE(MID(P6,4,2)),VALUE(LEFT(P6,2))),"计划实施",IF(Q6="","生效",IF(Q6="N/A","生效",IF(TODAY()&lt;DATE(VALUE(RIGHT(Q6,4)),VALUE(MID(Q6,4,2)),VALUE(LEFT(Q6,2))),"生效","已终止"))))))</f>
        <v/>
      </c>
      <c r="U6" s="341" t="inlineStr">
        <is>
          <t>生态环境部；国家发展和改革委员会；工业和信息化部；商务部；海关总署</t>
        </is>
      </c>
      <c r="V6" s="341" t="inlineStr">
        <is>
          <t>消耗臭氧层物质（ODS）和氢氟碳化物（HFCs）</t>
        </is>
      </c>
      <c r="W6" s="341" t="inlineStr">
        <is>
          <t>新建；既有</t>
        </is>
      </c>
      <c r="X6" s="341" t="inlineStr">
        <is>
          <t>列入《中国受控消耗臭氧层物质清单》的化学品，包括氯氟碳化物（CFCs）、哈龙、四氯化碳、甲基氯仿、氢氯氟碳化物（HCFCs）、氢溴氟碳化物（HBFCs）、溴氯甲烷、氢氟碳化物（HFCs）等。2023年修订后，HFCs被纳入管控范围。</t>
        </is>
      </c>
      <c r="Y6" s="341" t="inlineStr">
        <is>
          <t>N/A</t>
        </is>
      </c>
      <c r="Z6" s="341" t="inlineStr">
        <is>
          <t>N/A</t>
        </is>
      </c>
      <c r="AA6" s="341" t="inlineStr">
        <is>
          <t>企业</t>
        </is>
      </c>
      <c r="AB6" s="341" t="inlineStr">
        <is>
          <t>从事消耗臭氧层物质（含HFCs）生产、销售、使用、进出口等经营活动的单位，以及生产过程中附带产生消耗臭氧层物质的单位。</t>
        </is>
      </c>
      <c r="AC6" s="341" t="inlineStr">
        <is>
          <t>生产；销售；进出口；使用</t>
        </is>
      </c>
      <c r="AD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E6" s="341" t="inlineStr">
        <is>
          <t>N/A</t>
        </is>
      </c>
      <c r="AF6" s="341" t="inlineStr">
        <is>
          <t>N/A</t>
        </is>
      </c>
      <c r="AG6" s="341" t="inlineStr">
        <is>
          <t>N/A</t>
        </is>
      </c>
      <c r="AH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I6" s="341" t="inlineStr">
        <is>
          <t>N/A</t>
        </is>
      </c>
      <c r="AJ6" s="341" t="inlineStr">
        <is>
          <t>N/A</t>
        </is>
      </c>
      <c r="AK6" s="341" t="inlineStr">
        <is>
          <t>政府机构开展的监督检查</t>
        </is>
      </c>
      <c r="AL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M6" s="341" t="inlineStr">
        <is>
          <t>合规命令；罚款</t>
        </is>
      </c>
      <c r="AN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O6" s="341" t="inlineStr">
        <is>
          <t>其他激励或支持</t>
        </is>
      </c>
      <c r="AP6" s="341" t="inlineStr">
        <is>
          <t>国家鼓励和支持消耗臭氧层物质替代品和替代技术的研发、推广和应用；对在消耗臭氧层物质淘汰工作中做出显著成绩的单位和个人，按照国家有关规定给予表彰和奖励。</t>
        </is>
      </c>
      <c r="AQ6" s="341" t="inlineStr">
        <is>
          <t>N/A</t>
        </is>
      </c>
      <c r="AR6" s="341" t="inlineStr">
        <is>
          <t>N/A</t>
        </is>
      </c>
      <c r="AS6" s="341" t="inlineStr">
        <is>
          <t>C20; C26; C29</t>
        </is>
      </c>
      <c r="AT6" s="341" t="inlineStr">
        <is>
          <t>HFCs</t>
        </is>
      </c>
      <c r="AU6" s="341" t="inlineStr">
        <is>
          <t>正向</t>
        </is>
      </c>
      <c r="AV6" s="341" t="inlineStr">
        <is>
          <t>污染防治；产业发展；技术创新</t>
        </is>
      </c>
      <c r="AW6" s="341" t="inlineStr">
        <is>
          <t>消耗臭氧层物质管理条例</t>
        </is>
      </c>
      <c r="AX6" s="341" t="inlineStr">
        <is>
          <t>https://www.gov.cn/zhengce/content/202401/content_6924477.htm</t>
        </is>
      </c>
      <c r="AY6" s="341" t="inlineStr">
        <is>
          <t>N/A</t>
        </is>
      </c>
      <c r="AZ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t>
        </is>
      </c>
      <c r="L7" s="341" t="inlineStr">
        <is>
          <t>直接</t>
        </is>
      </c>
      <c r="M7" s="341" t="inlineStr">
        <is>
          <t>国家</t>
        </is>
      </c>
      <c r="N7" s="341" t="inlineStr">
        <is>
          <t>N/A</t>
        </is>
      </c>
      <c r="O7" s="341" t="inlineStr">
        <is>
          <t>10/01/2002</t>
        </is>
      </c>
      <c r="P7" s="341" t="inlineStr">
        <is>
          <t>01/08/2002</t>
        </is>
      </c>
      <c r="Q7" s="341" t="inlineStr">
        <is>
          <t>N/A</t>
        </is>
      </c>
      <c r="R7" s="341" t="inlineStr">
        <is>
          <t>29/05/2020</t>
        </is>
      </c>
      <c r="S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T7" s="341">
        <f>IF(P7="","生效",IF(P7="N/A","生效",IF(TODAY()&lt;DATE(VALUE(RIGHT(P7,4)),VALUE(MID(P7,4,2)),VALUE(LEFT(P7,2))),"计划实施",IF(Q7="","生效",IF(Q7="N/A","生效",IF(TODAY()&lt;DATE(VALUE(RIGHT(Q7,4)),VALUE(MID(Q7,4,2)),VALUE(LEFT(Q7,2))),"生效","已终止"))))))</f>
        <v/>
      </c>
      <c r="U7" s="341" t="inlineStr">
        <is>
          <t>国家市场监督管理总局；国家标准化管理委员会</t>
        </is>
      </c>
      <c r="V7" s="341" t="inlineStr">
        <is>
          <t>电动机</t>
        </is>
      </c>
      <c r="W7" s="341" t="inlineStr">
        <is>
          <t>新建</t>
        </is>
      </c>
      <c r="X7" s="341" t="inlineStr">
        <is>
          <t>三相异步电动机（0.75kW~375kW，2/4/6极）、单相异步电动机（0.12kW~3.7kW，2/4极）、空调器风扇用电动机（输出功率0.03kW~3.7kW，含冷凝器和蒸发器风扇电动机）。覆盖了大部分通用工业驱动电机。</t>
        </is>
      </c>
      <c r="Y7" s="341" t="inlineStr">
        <is>
          <t>N/A</t>
        </is>
      </c>
      <c r="Z7" s="341" t="inlineStr">
        <is>
          <t>N/A</t>
        </is>
      </c>
      <c r="AA7" s="341" t="inlineStr">
        <is>
          <t>企业</t>
        </is>
      </c>
      <c r="AB7" s="341" t="inlineStr">
        <is>
          <t>在中国境内生产、进口或销售电动机的生产企业和进口商。</t>
        </is>
      </c>
      <c r="AC7" s="341" t="inlineStr">
        <is>
          <t>生产；销售；进口</t>
        </is>
      </c>
      <c r="AD7" s="341" t="inlineStr">
        <is>
          <t>电动机的生产、进口和销售活动。产品须达到标准规定的能效限定值方可进入市场。</t>
        </is>
      </c>
      <c r="AE7" s="341" t="inlineStr">
        <is>
          <t>3级</t>
        </is>
      </c>
      <c r="AF7" s="341" t="inlineStr">
        <is>
          <t>能效等级</t>
        </is>
      </c>
      <c r="AG7" s="341" t="inlineStr">
        <is>
          <t>电动机最低能效须达到3级（对应IE3）能效限定值方可进入市场；1级和2级为自愿性更高能效等级</t>
        </is>
      </c>
      <c r="AH7" s="341" t="inlineStr">
        <is>
          <t>1) 电动机须达到不低于3级能效（IE3）的能效限定值要求方可生产、进口或销售；2) 产品须标注能效等级标识；3) 能效等级分为1级（最高）、2级、3级，3级为市场准入最低要求（对应IE3）。</t>
        </is>
      </c>
      <c r="AI7" s="341" t="inlineStr">
        <is>
          <t>N/A</t>
        </is>
      </c>
      <c r="AJ7" s="341" t="inlineStr">
        <is>
          <t>N/A</t>
        </is>
      </c>
      <c r="AK7" s="341" t="inlineStr">
        <is>
          <t>政府机构开展的监督检查</t>
        </is>
      </c>
      <c r="AL7" s="341" t="inlineStr">
        <is>
          <t>市场监督管理部门对电动机产品进行能效标识监督检查和产品质量监督抽查。检查内容包括能效等级标注的准确性、产品实际能效是否符合标称等级、是否符合强制性能效限定值要求等。</t>
        </is>
      </c>
      <c r="AM7" s="341" t="inlineStr">
        <is>
          <t>合规命令；罚款</t>
        </is>
      </c>
      <c r="AN7" s="341" t="inlineStr">
        <is>
          <t>对生产、进口、销售不符合强制性能效标准的电动机产品的，由市场监督管理部门责令停止生产、进口、销售，没收违法所得，并处罚款；情节严重的，吊销营业执照。</t>
        </is>
      </c>
      <c r="AO7" s="341" t="inlineStr">
        <is>
          <t>其他激励或支持</t>
        </is>
      </c>
      <c r="AP7" s="341" t="inlineStr">
        <is>
          <t>国家鼓励生产和使用1级、2级高效电动机；通过节能产品认证、政府绿色采购等措施引导高效电机市场推广；工业和信息化部发布《电机能效提升计划》推动高效电机替代。</t>
        </is>
      </c>
      <c r="AQ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7" s="341" t="inlineStr">
        <is>
          <t>约占工业碳排放35%（来源：同上；电机系统碳排放占工业碳排放比例；三项电动机MEPS标准合计值）</t>
        </is>
      </c>
      <c r="AS7" s="341" t="inlineStr">
        <is>
          <t>C27; C28</t>
        </is>
      </c>
      <c r="AT7" s="341" t="inlineStr">
        <is>
          <t>CO2</t>
        </is>
      </c>
      <c r="AU7" s="341" t="inlineStr">
        <is>
          <t>正向</t>
        </is>
      </c>
      <c r="AV7" s="341" t="inlineStr">
        <is>
          <t>节能；产业发展</t>
        </is>
      </c>
      <c r="AW7" s="341" t="inlineStr">
        <is>
          <t>GB 18613-2020电动机能效限定值及能效等级</t>
        </is>
      </c>
      <c r="AX7" s="341" t="inlineStr">
        <is>
          <t>https://openstd.samr.gov.cn/bzgk/std/newGbInfo?hcno=42E6A7FD8C7E4BD896221D92ABA1709B</t>
        </is>
      </c>
      <c r="AY7" s="341" t="inlineStr">
        <is>
          <t>https://openstd.samr.gov.cn/bzgk/std/newGbInfo?hcno=787D750F63BE1E92FB45A618082D1326</t>
        </is>
      </c>
      <c r="AZ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t>
        </is>
      </c>
      <c r="L8" s="341" t="inlineStr">
        <is>
          <t>直接</t>
        </is>
      </c>
      <c r="M8" s="341" t="inlineStr">
        <is>
          <t>国家</t>
        </is>
      </c>
      <c r="N8" s="341" t="inlineStr">
        <is>
          <t>N/A</t>
        </is>
      </c>
      <c r="O8" s="341" t="inlineStr">
        <is>
          <t>18/12/2013</t>
        </is>
      </c>
      <c r="P8" s="341" t="inlineStr">
        <is>
          <t>01/09/2014</t>
        </is>
      </c>
      <c r="Q8" s="341" t="inlineStr">
        <is>
          <t>N/A</t>
        </is>
      </c>
      <c r="R8" s="341" t="inlineStr">
        <is>
          <t>29/09/2024</t>
        </is>
      </c>
      <c r="S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T8" s="341">
        <f>IF(P8="","生效",IF(P8="N/A","生效",IF(TODAY()&lt;DATE(VALUE(RIGHT(P8,4)),VALUE(MID(P8,4,2)),VALUE(LEFT(P8,2))),"计划实施",IF(Q8="","生效",IF(Q8="N/A","生效",IF(TODAY()&lt;DATE(VALUE(RIGHT(Q8,4)),VALUE(MID(Q8,4,2)),VALUE(LEFT(Q8,2))),"生效","已终止"))))))</f>
        <v/>
      </c>
      <c r="U8" s="341" t="inlineStr">
        <is>
          <t>国家市场监督管理总局；国家标准化管理委员会</t>
        </is>
      </c>
      <c r="V8" s="341" t="inlineStr">
        <is>
          <t>永磁同步电动机</t>
        </is>
      </c>
      <c r="W8" s="341" t="inlineStr">
        <is>
          <t>新建</t>
        </is>
      </c>
      <c r="X8" s="341" t="inlineStr">
        <is>
          <t>异步起动三相永磁同步电动机（0.55kW~1000kW，1140V及以下），含电梯用和变频驱动的永磁同步电动机。2024版扩展了功率范围和高压机型覆盖。</t>
        </is>
      </c>
      <c r="Y8" s="341" t="inlineStr">
        <is>
          <t>N/A</t>
        </is>
      </c>
      <c r="Z8" s="341" t="inlineStr">
        <is>
          <t>N/A</t>
        </is>
      </c>
      <c r="AA8" s="341" t="inlineStr">
        <is>
          <t>企业</t>
        </is>
      </c>
      <c r="AB8" s="341" t="inlineStr">
        <is>
          <t>在中国境内生产、进口或销售永磁同步电动机的生产企业和进口商。</t>
        </is>
      </c>
      <c r="AC8" s="341" t="inlineStr">
        <is>
          <t>生产；销售；进口</t>
        </is>
      </c>
      <c r="AD8" s="341" t="inlineStr">
        <is>
          <t>永磁同步电动机的生产、进口和销售活动。产品须达到标准规定的能效限定值方可进入市场。</t>
        </is>
      </c>
      <c r="AE8" s="341" t="inlineStr">
        <is>
          <t>3级</t>
        </is>
      </c>
      <c r="AF8" s="341" t="inlineStr">
        <is>
          <t>能效等级</t>
        </is>
      </c>
      <c r="AG8" s="341" t="inlineStr">
        <is>
          <t>永磁同步电动机最低能效须达到3级能效限定值方可进入市场；1级和2级为自愿性更高能效等级</t>
        </is>
      </c>
      <c r="AH8" s="341" t="inlineStr">
        <is>
          <t>1) 永磁同步电动机须达到标准规定的能效限定值方可生产、进口或销售；2) 产品须标注能效等级标识；3) 能效等级分为1级（最高）、2级、3级，3级为市场准入最低要求。</t>
        </is>
      </c>
      <c r="AI8" s="341" t="inlineStr">
        <is>
          <t>N/A</t>
        </is>
      </c>
      <c r="AJ8" s="341" t="inlineStr">
        <is>
          <t>N/A</t>
        </is>
      </c>
      <c r="AK8" s="341" t="inlineStr">
        <is>
          <t>政府机构开展的监督检查</t>
        </is>
      </c>
      <c r="AL8" s="341" t="inlineStr">
        <is>
          <t>市场监督管理部门对永磁同步电动机产品进行能效标识监督检查和产品质量监督抽查。检查内容包括能效等级标注的准确性、产品实际能效是否符合标称等级等。</t>
        </is>
      </c>
      <c r="AM8" s="341" t="inlineStr">
        <is>
          <t>合规命令；罚款</t>
        </is>
      </c>
      <c r="AN8" s="341" t="inlineStr">
        <is>
          <t>对生产、进口、销售不符合强制性能效标准的永磁同步电动机产品的，由市场监督管理部门责令停止生产、进口、销售，没收违法所得，并处罚款。</t>
        </is>
      </c>
      <c r="AO8" s="341" t="inlineStr">
        <is>
          <t>其他激励或支持</t>
        </is>
      </c>
      <c r="AP8" s="341" t="inlineStr">
        <is>
          <t>国家鼓励生产和使用1级、2级高效永磁同步电动机；通过节能产品认证、政府绿色采购等措施引导高效电机市场推广。</t>
        </is>
      </c>
      <c r="AQ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8" s="341" t="inlineStr">
        <is>
          <t>约占工业碳排放35%（来源：同上；电机系统碳排放占工业碳排放比例；三项电动机MEPS标准合计值）</t>
        </is>
      </c>
      <c r="AS8" s="341" t="inlineStr">
        <is>
          <t>C27; C28</t>
        </is>
      </c>
      <c r="AT8" s="341" t="inlineStr">
        <is>
          <t>CO2</t>
        </is>
      </c>
      <c r="AU8" s="341" t="inlineStr">
        <is>
          <t>正向</t>
        </is>
      </c>
      <c r="AV8" s="341" t="inlineStr">
        <is>
          <t>节能；产业发展</t>
        </is>
      </c>
      <c r="AW8" s="341" t="inlineStr">
        <is>
          <t>GB 30253-2024永磁同步电动机能效限定值及能效等级</t>
        </is>
      </c>
      <c r="AX8" s="341" t="inlineStr">
        <is>
          <t>https://openstd.samr.gov.cn/bzgk/std/newGbInfo?hcno=F87545B23AF9D0EE22F9CDA964203177</t>
        </is>
      </c>
      <c r="AY8" s="341" t="inlineStr">
        <is>
          <t>https://openstd.samr.gov.cn/bzgk/std/newGbInfo?hcno=09DFEC51BC2235CAC5AD05B4B2B321F2</t>
        </is>
      </c>
      <c r="AZ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t>
        </is>
      </c>
      <c r="L9" s="341" t="inlineStr">
        <is>
          <t>直接</t>
        </is>
      </c>
      <c r="M9" s="341" t="inlineStr">
        <is>
          <t>国家</t>
        </is>
      </c>
      <c r="N9" s="341" t="inlineStr">
        <is>
          <t>N/A</t>
        </is>
      </c>
      <c r="O9" s="341" t="inlineStr">
        <is>
          <t>18/12/2013</t>
        </is>
      </c>
      <c r="P9" s="341" t="inlineStr">
        <is>
          <t>01/09/2014</t>
        </is>
      </c>
      <c r="Q9" s="341" t="inlineStr">
        <is>
          <t>N/A</t>
        </is>
      </c>
      <c r="R9" s="341" t="inlineStr">
        <is>
          <t>23/08/2024</t>
        </is>
      </c>
      <c r="S9" s="341" t="inlineStr">
        <is>
          <t>2024年8月23日发布GB 30254-2024《高压三相笼型异步电动机能效限定值及能效等级》，2025年9月1日实施，替代GB 30254-2013。新标准将适用范围扩展至含防爆型电机，并提高了能效准入门槛。</t>
        </is>
      </c>
      <c r="T9" s="341">
        <f>IF(P9="","生效",IF(P9="N/A","生效",IF(TODAY()&lt;DATE(VALUE(RIGHT(P9,4)),VALUE(MID(P9,4,2)),VALUE(LEFT(P9,2))),"计划实施",IF(Q9="","生效",IF(Q9="N/A","生效",IF(TODAY()&lt;DATE(VALUE(RIGHT(Q9,4)),VALUE(MID(Q9,4,2)),VALUE(LEFT(Q9,2))),"生效","已终止"))))))</f>
        <v/>
      </c>
      <c r="U9" s="341" t="inlineStr">
        <is>
          <t>国家市场监督管理总局；国家标准化管理委员会</t>
        </is>
      </c>
      <c r="V9" s="341" t="inlineStr">
        <is>
          <t>高压三相笼型异步电动机</t>
        </is>
      </c>
      <c r="W9" s="341" t="inlineStr">
        <is>
          <t>新建</t>
        </is>
      </c>
      <c r="X9" s="341" t="inlineStr">
        <is>
          <t>50Hz三相交流电源供电，6kV/10kV电压等级，额定功率160kW~25000kW，2~12极，连续工作制（S1）的立式、卧式电动机和隔爆型电动机。2024版扩展覆盖防爆型电机。</t>
        </is>
      </c>
      <c r="Y9" s="341" t="inlineStr">
        <is>
          <t>N/A</t>
        </is>
      </c>
      <c r="Z9" s="341" t="inlineStr">
        <is>
          <t>N/A</t>
        </is>
      </c>
      <c r="AA9" s="341" t="inlineStr">
        <is>
          <t>企业</t>
        </is>
      </c>
      <c r="AB9" s="341" t="inlineStr">
        <is>
          <t>在中国境内生产、进口或销售高压三相笼型异步电动机的生产企业和进口商。</t>
        </is>
      </c>
      <c r="AC9" s="341" t="inlineStr">
        <is>
          <t>生产；销售；进口</t>
        </is>
      </c>
      <c r="AD9" s="341" t="inlineStr">
        <is>
          <t>高压三相笼型异步电动机的生产、进口和销售活动。产品须达到标准规定的能效限定值方可进入市场。</t>
        </is>
      </c>
      <c r="AE9" s="341" t="inlineStr">
        <is>
          <t>3级</t>
        </is>
      </c>
      <c r="AF9" s="341" t="inlineStr">
        <is>
          <t>能效等级</t>
        </is>
      </c>
      <c r="AG9" s="341" t="inlineStr">
        <is>
          <t>高压三相笼型异步电动机最低能效须达到3级能效限定值方可进入市场；1级和2级为自愿性更高能效等级</t>
        </is>
      </c>
      <c r="AH9" s="341" t="inlineStr">
        <is>
          <t>1) 高压三相笼型异步电动机须达到标准规定的能效限定值方可生产、进口或销售；2) 产品须标注能效等级标识；3) 能效等级分为1级（最高）、2级、3级，3级为市场准入最低要求。</t>
        </is>
      </c>
      <c r="AI9" s="341" t="inlineStr">
        <is>
          <t>N/A</t>
        </is>
      </c>
      <c r="AJ9" s="341" t="inlineStr">
        <is>
          <t>N/A</t>
        </is>
      </c>
      <c r="AK9" s="341" t="inlineStr">
        <is>
          <t>政府机构开展的监督检查</t>
        </is>
      </c>
      <c r="AL9" s="341" t="inlineStr">
        <is>
          <t>市场监督管理部门对高压电机产品进行能效标识监督检查和产品质量监督抽查。检查内容包括能效等级标注的准确性、产品实际能效是否符合标称等级等。</t>
        </is>
      </c>
      <c r="AM9" s="341" t="inlineStr">
        <is>
          <t>合规命令；罚款</t>
        </is>
      </c>
      <c r="AN9" s="341" t="inlineStr">
        <is>
          <t>对生产、进口、销售不符合强制性能效标准的高压电机产品的，由市场监督管理部门责令停止生产、进口、销售，没收违法所得，并处罚款。</t>
        </is>
      </c>
      <c r="AO9" s="341" t="inlineStr">
        <is>
          <t>其他激励或支持</t>
        </is>
      </c>
      <c r="AP9" s="341" t="inlineStr">
        <is>
          <t>国家鼓励生产和使用1级、2级高效高压电机；通过节能产品认证、政府绿色采购等措施引导高效电机市场推广。</t>
        </is>
      </c>
      <c r="AQ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9" s="341" t="inlineStr">
        <is>
          <t>约占工业碳排放35%（来源：同上；电机系统碳排放占工业碳排放比例；三项电动机MEPS标准合计值）</t>
        </is>
      </c>
      <c r="AS9" s="341" t="inlineStr">
        <is>
          <t>C27; C28</t>
        </is>
      </c>
      <c r="AT9" s="341" t="inlineStr">
        <is>
          <t>CO2</t>
        </is>
      </c>
      <c r="AU9" s="341" t="inlineStr">
        <is>
          <t>正向</t>
        </is>
      </c>
      <c r="AV9" s="341" t="inlineStr">
        <is>
          <t>节能；产业发展</t>
        </is>
      </c>
      <c r="AW9" s="341" t="inlineStr">
        <is>
          <t>GB 30254-2024高压三相笼型异步电动机能效限定值及能效等级</t>
        </is>
      </c>
      <c r="AX9" s="341" t="inlineStr">
        <is>
          <t>https://openstd.samr.gov.cn/bzgk/std/newGbInfo?hcno=12889A1BC521618359ED88153B76EEA7</t>
        </is>
      </c>
      <c r="AY9" s="341" t="inlineStr">
        <is>
          <t>https://openstd.samr.gov.cn/bzgk/std/newGbInfo?hcno=79725E39A25E09B11C6736FC579D982F</t>
        </is>
      </c>
      <c r="AZ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国家</t>
        </is>
      </c>
      <c r="N10" s="341" t="inlineStr">
        <is>
          <t>N/A</t>
        </is>
      </c>
      <c r="O10" s="341" t="inlineStr">
        <is>
          <t>13/09/2017</t>
        </is>
      </c>
      <c r="P10" s="341" t="inlineStr">
        <is>
          <t>13/09/2017</t>
        </is>
      </c>
      <c r="Q10" s="341" t="inlineStr">
        <is>
          <t>N/A</t>
        </is>
      </c>
      <c r="R10" s="341" t="inlineStr">
        <is>
          <t>30/06/2025</t>
        </is>
      </c>
      <c r="S10" s="341" t="inlineStr">
        <is>
          <t>首次制定于2017年9月13日（发改能源[2017]1508号）。2025年6月30日，GB 18351-2025《车用乙醇汽油（E10）》发布，自2026年7月1日起替代GB 18351-2017，更新了乙醇汽油的技术要求和试验方法标准。</t>
        </is>
      </c>
      <c r="T10" s="341">
        <f>IF(P10="","生效",IF(P10="N/A","生效",IF(TODAY()&lt;DATE(VALUE(RIGHT(P10,4)),VALUE(MID(P10,4,2)),VALUE(LEFT(P10,2))),"计划实施",IF(Q10="","生效",IF(Q10="N/A","生效",IF(TODAY()&lt;DATE(VALUE(RIGHT(Q10,4)),VALUE(MID(Q10,4,2)),VALUE(LEFT(Q10,2))),"生效","已终止"))))))</f>
        <v/>
      </c>
      <c r="U10" s="341" t="inlineStr">
        <is>
          <t>国家能源局；国家发展和改革委员会；国家市场监督管理总局；工业和信息化部；财政部</t>
        </is>
      </c>
      <c r="V10" s="341" t="inlineStr">
        <is>
          <t>车用乙醇汽油（E10）</t>
        </is>
      </c>
      <c r="W10" s="341" t="inlineStr">
        <is>
          <t>既有</t>
        </is>
      </c>
      <c r="X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Y10" s="341" t="inlineStr">
        <is>
          <t>N/A</t>
        </is>
      </c>
      <c r="Z10" s="341" t="inlineStr">
        <is>
          <t>N/A</t>
        </is>
      </c>
      <c r="AA10" s="341" t="inlineStr">
        <is>
          <t>企业</t>
        </is>
      </c>
      <c r="AB10" s="341" t="inlineStr">
        <is>
          <t>汽油生产企业（中国石化、中国石油、中国海油等）；成品油销售企业。</t>
        </is>
      </c>
      <c r="AC10" s="341" t="inlineStr">
        <is>
          <t>生产；销售</t>
        </is>
      </c>
      <c r="AD10" s="341" t="inlineStr">
        <is>
          <t>生物燃料乙醇生产、汽油调配和车用乙醇汽油销售。车辆所有者被动使用所供应油品。</t>
        </is>
      </c>
      <c r="AE10" s="341" t="inlineStr">
        <is>
          <t>10%</t>
        </is>
      </c>
      <c r="AF10" s="341" t="inlineStr">
        <is>
          <t>%（体积分数）</t>
        </is>
      </c>
      <c r="AG10" s="341" t="inlineStr">
        <is>
          <t>车用乙醇汽油（E10）要求乙醇体积掺混比例为10%（±2%），即变性燃料乙醇占成品汽油体积的10%。该比例为GB 18351-2017和GB 18351-2025标准的强制性技术要求。来源：GB 18351-2017《车用乙醇汽油（E10）》；GB 18351-2025</t>
        </is>
      </c>
      <c r="AH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I10" s="341" t="inlineStr">
        <is>
          <t>N/A</t>
        </is>
      </c>
      <c r="AJ10" s="341" t="inlineStr">
        <is>
          <t>N/A</t>
        </is>
      </c>
      <c r="AK10" s="341" t="inlineStr">
        <is>
          <t>政府机构开展的监督检查</t>
        </is>
      </c>
      <c r="AL10" s="341" t="inlineStr">
        <is>
          <t>产品质量监督抽查；市场检查。各级市场监管部门组织车用乙醇汽油产品质量监督抽查，对不符合GB 18351标准的产品依法处理。</t>
        </is>
      </c>
      <c r="AM10" s="341" t="inlineStr">
        <is>
          <t>行政处罚</t>
        </is>
      </c>
      <c r="AN10" s="341" t="inlineStr">
        <is>
          <t>行政处罚；责令整改。销售不符合GB 18351标准的车用乙醇汽油，由市场监管部门依据《产品质量法》相关规定予以处罚。</t>
        </is>
      </c>
      <c r="AO10" s="341" t="inlineStr">
        <is>
          <t>税收优惠；财政补贴</t>
        </is>
      </c>
      <c r="AP10" s="341" t="inlineStr">
        <is>
          <t>税收优惠；财政补贴（对生物燃料乙醇生产企业）。国家对燃料乙醇生产企业给予增值税先征后退、原料补贴等政策支持。</t>
        </is>
      </c>
      <c r="AQ10" s="341" t="inlineStr">
        <is>
          <t>N/A</t>
        </is>
      </c>
      <c r="AR10" s="341" t="inlineStr">
        <is>
          <t>N/A</t>
        </is>
      </c>
      <c r="AS10" s="341" t="inlineStr">
        <is>
          <t>C19; C20; G47</t>
        </is>
      </c>
      <c r="AT10" s="341" t="inlineStr">
        <is>
          <t>CO2</t>
        </is>
      </c>
      <c r="AU10" s="341" t="inlineStr">
        <is>
          <t>正向</t>
        </is>
      </c>
      <c r="AV10" s="341" t="inlineStr">
        <is>
          <t>能源安全；污染防治；生态保护</t>
        </is>
      </c>
      <c r="AW10" s="341" t="inlineStr">
        <is>
          <t>关于扩大生物燃料乙醇生产和推广使用车用乙醇汽油的实施方案（发改能源[2017]1508号）</t>
        </is>
      </c>
      <c r="AX10" s="341" t="inlineStr">
        <is>
          <t>https://www.nea.gov.cn/2017-09/13/c_136606035.htm</t>
        </is>
      </c>
      <c r="AY10" s="341" t="inlineStr">
        <is>
          <t>GB 18351-2017《车用乙醇汽油（E10）》（旧版标准）：https://openstd.samr.gov.cn/bzgk/std/newGbInfo?hcno=9F9E8E6A5E5A1D7B8C2F3A4D5E6F7A8B；GB 18351-2025《车用乙醇汽油（E10）》（新版标准，2026年7月1日实施）：https://openstd.samr.gov.cn/bzgk/std/newGbInfo?hcno=</t>
        </is>
      </c>
      <c r="AZ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国家</t>
        </is>
      </c>
      <c r="N11" s="341" t="inlineStr">
        <is>
          <t>N/A</t>
        </is>
      </c>
      <c r="O11" s="341" t="inlineStr">
        <is>
          <t>02/12/2005</t>
        </is>
      </c>
      <c r="P11" s="341" t="inlineStr">
        <is>
          <t>02/12/2005</t>
        </is>
      </c>
      <c r="Q11" s="341" t="inlineStr">
        <is>
          <t>N/A</t>
        </is>
      </c>
      <c r="R11" s="341" t="inlineStr">
        <is>
          <t>27/12/2023</t>
        </is>
      </c>
      <c r="S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T11" s="341">
        <f>IF(P11="","生效",IF(P11="N/A","生效",IF(TODAY()&lt;DATE(VALUE(RIGHT(P11,4)),VALUE(MID(P11,4,2)),VALUE(LEFT(P11,2))),"计划实施",IF(Q11="","生效",IF(Q11="N/A","生效",IF(TODAY()&lt;DATE(VALUE(RIGHT(Q11,4)),VALUE(MID(Q11,4,2)),VALUE(LEFT(Q11,2))),"生效","已终止"))))))</f>
        <v/>
      </c>
      <c r="U11" s="341" t="inlineStr">
        <is>
          <t>国家发展改革委；国务院有关部门；省级人民政府</t>
        </is>
      </c>
      <c r="V11" s="341" t="inlineStr">
        <is>
          <t>全部行业生产设施</t>
        </is>
      </c>
      <c r="W11" s="341" t="inlineStr">
        <is>
          <t>既有</t>
        </is>
      </c>
      <c r="X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Y11" s="341" t="inlineStr">
        <is>
          <t>N/A</t>
        </is>
      </c>
      <c r="Z11" s="341" t="inlineStr">
        <is>
          <t>N/A</t>
        </is>
      </c>
      <c r="AA11" s="341" t="inlineStr">
        <is>
          <t>企业</t>
        </is>
      </c>
      <c r="AB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C11" s="341" t="inlineStr">
        <is>
          <t>生产</t>
        </is>
      </c>
      <c r="AD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E11" s="341" t="inlineStr">
        <is>
          <t>鼓励类352条；限制类231条；淘汰类422条</t>
        </is>
      </c>
      <c r="AF11" s="341" t="inlineStr">
        <is>
          <t>行业分类条目数</t>
        </is>
      </c>
      <c r="AG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H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I11" s="341" t="inlineStr">
        <is>
          <t>N/A</t>
        </is>
      </c>
      <c r="AJ11" s="341" t="inlineStr">
        <is>
          <t>N/A</t>
        </is>
      </c>
      <c r="AK11" s="341" t="inlineStr">
        <is>
          <t>项目审批合规审查；定期修订目录；现场核查</t>
        </is>
      </c>
      <c r="AL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M11" s="341" t="inlineStr">
        <is>
          <t>不予审批备案；不予贷款；责令停产关闭；吊销许可证</t>
        </is>
      </c>
      <c r="AN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O11" s="341" t="inlineStr">
        <is>
          <t>信贷支持；税收优惠；土地政策优惠</t>
        </is>
      </c>
      <c r="AP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Q11" s="341" t="inlineStr">
        <is>
          <t>N/A</t>
        </is>
      </c>
      <c r="AR11" s="341" t="inlineStr">
        <is>
          <t>N/A</t>
        </is>
      </c>
      <c r="AS11" s="341" t="inlineStr">
        <is>
          <t>A01; A02; A03; B05; B06; B07; B08; B09; C10; C11; C12; C13; C14; C15; C16; C17; C18; C19; C20; C21; C22; C23; C24; C25; C26; C27; C28; C29; C30; C31; C32; C33; D35; E36; E37; E38; E39; F41; F42; F43; H49; H50; H51; H52; H53</t>
        </is>
      </c>
      <c r="AT11" s="341" t="inlineStr">
        <is>
          <t>CO2</t>
        </is>
      </c>
      <c r="AU11" s="341" t="inlineStr">
        <is>
          <t>正向</t>
        </is>
      </c>
      <c r="AV11" s="341" t="inlineStr">
        <is>
          <t>节能；污染防治；技术创新；产业发展</t>
        </is>
      </c>
      <c r="AW11" s="341" t="inlineStr">
        <is>
          <t>《产业结构调整指导目录（2024年本）》（国家发展改革委令第7号）</t>
        </is>
      </c>
      <c r="AX11" s="341" t="inlineStr">
        <is>
          <t>https://www.ndrc.gov.cn/xxgk/zcfb/fzggwl/202312/t20231229_1362999_ext.html</t>
        </is>
      </c>
      <c r="AY11" s="341" t="inlineStr">
        <is>
          <t>《国务院关于发布实施〈促进产业结构调整暂行规定〉的决定》（国发〔2005〕40号）：https://www.gov.cn/gongbao/content/2005/content_130166.htm</t>
        </is>
      </c>
      <c r="AZ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国家</t>
        </is>
      </c>
      <c r="N12" s="341" t="inlineStr">
        <is>
          <t>N/A</t>
        </is>
      </c>
      <c r="O12" s="341" t="inlineStr">
        <is>
          <t>20/04/2015</t>
        </is>
      </c>
      <c r="P12" s="341" t="inlineStr">
        <is>
          <t>20/04/2015</t>
        </is>
      </c>
      <c r="Q12" s="341" t="inlineStr">
        <is>
          <t>N/A</t>
        </is>
      </c>
      <c r="R12" s="341" t="inlineStr">
        <is>
          <t>29/04/2026</t>
        </is>
      </c>
      <c r="S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T12" s="341">
        <f>IF(P12="","生效",IF(P12="N/A","生效",IF(TODAY()&lt;DATE(VALUE(RIGHT(P12,4)),VALUE(MID(P12,4,2)),VALUE(LEFT(P12,2))),"计划实施",IF(Q12="","生效",IF(Q12="N/A","生效",IF(TODAY()&lt;DATE(VALUE(RIGHT(Q12,4)),VALUE(MID(Q12,4,2)),VALUE(LEFT(Q12,2))),"生效","已终止"))))))</f>
        <v/>
      </c>
      <c r="U12" s="341" t="inlineStr">
        <is>
          <t>工业和信息化部；省级工业和信息化主管部门</t>
        </is>
      </c>
      <c r="V12" s="341" t="inlineStr">
        <is>
          <t>炼铁炼钢冶炼设备</t>
        </is>
      </c>
      <c r="W12" s="341" t="inlineStr">
        <is>
          <t>既有</t>
        </is>
      </c>
      <c r="X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Y12" s="341" t="inlineStr">
        <is>
          <t>N/A</t>
        </is>
      </c>
      <c r="Z12" s="341" t="inlineStr">
        <is>
          <t>N/A</t>
        </is>
      </c>
      <c r="AA12" s="341" t="inlineStr">
        <is>
          <t>企业</t>
        </is>
      </c>
      <c r="AB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C12" s="341" t="inlineStr">
        <is>
          <t>生产</t>
        </is>
      </c>
      <c r="AD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E12" s="341" t="inlineStr">
        <is>
          <t>1.5:1（一般项目）；1.25:1（兼并重组）；1:1（绿色项目）</t>
        </is>
      </c>
      <c r="AF12" s="341" t="inlineStr">
        <is>
          <t>产能置换比例（淘汰产能:新建产能）</t>
        </is>
      </c>
      <c r="AG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H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I12" s="341" t="inlineStr">
        <is>
          <t>N/A</t>
        </is>
      </c>
      <c r="AJ12" s="341" t="inlineStr">
        <is>
          <t>N/A</t>
        </is>
      </c>
      <c r="AK12" s="341" t="inlineStr">
        <is>
          <t>产能置换方案公示；抽查核查</t>
        </is>
      </c>
      <c r="AL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M12" s="341" t="inlineStr">
        <is>
          <t>不予备案；责令整改</t>
        </is>
      </c>
      <c r="AN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O12" s="341" t="inlineStr">
        <is>
          <t>其他激励或支持</t>
        </is>
      </c>
      <c r="AP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Q12" s="341" t="inlineStr">
        <is>
          <t>~18亿吨CO₂（来源：中国冶金报社，2024年钢铁行业碳排放量约18亿吨；产能置换办法覆盖中国境内全部所有制企业的炼铁、炼钢冶炼设备新建、改建、扩建项目）</t>
        </is>
      </c>
      <c r="AR12" s="341" t="inlineStr">
        <is>
          <t>约15%（来源：中国冶金报社，2024年；钢铁行业碳排放占全国碳排放比例）</t>
        </is>
      </c>
      <c r="AS12" s="341" t="inlineStr">
        <is>
          <t>C24</t>
        </is>
      </c>
      <c r="AT12" s="341" t="inlineStr">
        <is>
          <t>CO2</t>
        </is>
      </c>
      <c r="AU12" s="341" t="inlineStr">
        <is>
          <t>正向</t>
        </is>
      </c>
      <c r="AV12" s="341" t="inlineStr">
        <is>
          <t>节能；污染防治；技术创新；产业发展</t>
        </is>
      </c>
      <c r="AW12" s="341" t="inlineStr">
        <is>
          <t>《钢铁行业产能置换实施办法》（工信部原〔2026〕97号）</t>
        </is>
      </c>
      <c r="AX12" s="341" t="inlineStr">
        <is>
          <t>https://www.miit.gov.cn/jgsj/ycls/gzdt/art/2026/art_848a5055921e42da8d120f3eb97b7faf.html</t>
        </is>
      </c>
      <c r="AY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AZ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国家</t>
        </is>
      </c>
      <c r="N13" s="341" t="inlineStr">
        <is>
          <t>N/A</t>
        </is>
      </c>
      <c r="O13" s="341" t="inlineStr">
        <is>
          <t>20/04/2015</t>
        </is>
      </c>
      <c r="P13" s="341" t="inlineStr">
        <is>
          <t>20/04/2015</t>
        </is>
      </c>
      <c r="Q13" s="341" t="inlineStr">
        <is>
          <t>N/A</t>
        </is>
      </c>
      <c r="R13" s="341" t="inlineStr">
        <is>
          <t>17/10/2024</t>
        </is>
      </c>
      <c r="S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T13" s="341">
        <f>IF(P13="","生效",IF(P13="N/A","生效",IF(TODAY()&lt;DATE(VALUE(RIGHT(P13,4)),VALUE(MID(P13,4,2)),VALUE(LEFT(P13,2))),"计划实施",IF(Q13="","生效",IF(Q13="N/A","生效",IF(TODAY()&lt;DATE(VALUE(RIGHT(Q13,4)),VALUE(MID(Q13,4,2)),VALUE(LEFT(Q13,2))),"生效","已终止"))))))</f>
        <v/>
      </c>
      <c r="U13" s="341" t="inlineStr">
        <is>
          <t>工业和信息化部；省级工业和信息化主管部门</t>
        </is>
      </c>
      <c r="V13" s="341" t="inlineStr">
        <is>
          <t>水泥熟料生产线；平板玻璃生产线</t>
        </is>
      </c>
      <c r="W13" s="341" t="inlineStr">
        <is>
          <t>既有</t>
        </is>
      </c>
      <c r="X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Y13" s="341" t="inlineStr">
        <is>
          <t>N/A</t>
        </is>
      </c>
      <c r="Z13" s="341" t="inlineStr">
        <is>
          <t>N/A</t>
        </is>
      </c>
      <c r="AA13" s="341" t="inlineStr">
        <is>
          <t>企业</t>
        </is>
      </c>
      <c r="AB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C13" s="341" t="inlineStr">
        <is>
          <t>生产</t>
        </is>
      </c>
      <c r="AD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E13" s="341" t="inlineStr">
        <is>
          <t>水泥：2:1（重点区域）/ 1.5:1（非重点区域）；平板玻璃：1.25:1（重点区域）/ 1:1（非重点区域）</t>
        </is>
      </c>
      <c r="AF13" s="341" t="inlineStr">
        <is>
          <t>产能置换比例（淘汰产能:新建产能）</t>
        </is>
      </c>
      <c r="AG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H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I13" s="341" t="inlineStr">
        <is>
          <t>N/A</t>
        </is>
      </c>
      <c r="AJ13" s="341" t="inlineStr">
        <is>
          <t>N/A</t>
        </is>
      </c>
      <c r="AK13" s="341" t="inlineStr">
        <is>
          <t>产能置换方案公示；抽查核查</t>
        </is>
      </c>
      <c r="AL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M13" s="341" t="inlineStr">
        <is>
          <t>不予备案；责令整改</t>
        </is>
      </c>
      <c r="AN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O13" s="341" t="inlineStr">
        <is>
          <t>其他激励或支持</t>
        </is>
      </c>
      <c r="AP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Q13" s="341" t="inlineStr">
        <is>
          <t>~13.5亿吨CO₂（来源：中国水泥协会；水泥行业年碳排放约13.5亿吨，其中熟料环节占约95%；产能置换办法覆盖全部水泥熟料和平板玻璃生产线新建、改建项目）</t>
        </is>
      </c>
      <c r="AR13" s="341" t="inlineStr">
        <is>
          <t>约13%（来源：中国水泥协会；水泥行业占全国碳排放约13%）</t>
        </is>
      </c>
      <c r="AS13" s="341" t="inlineStr">
        <is>
          <t>C23</t>
        </is>
      </c>
      <c r="AT13" s="341" t="inlineStr">
        <is>
          <t>CO2</t>
        </is>
      </c>
      <c r="AU13" s="341" t="inlineStr">
        <is>
          <t>正向</t>
        </is>
      </c>
      <c r="AV13" s="341" t="inlineStr">
        <is>
          <t>节能；污染防治；技术创新；产业发展</t>
        </is>
      </c>
      <c r="AW13" s="341" t="inlineStr">
        <is>
          <t>《水泥玻璃行业产能置换实施办法（2024年本）》（工信部原〔2024〕206号）</t>
        </is>
      </c>
      <c r="AX13" s="341" t="inlineStr">
        <is>
          <t>https://www.miit.gov.cn/zwgk/zcwj/wjfb/tz/art/2024/art_e93e2f13bdae44b2b97d0fc4abb6f841.html</t>
        </is>
      </c>
      <c r="AY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AZ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国家</t>
        </is>
      </c>
      <c r="N14" s="341" t="inlineStr">
        <is>
          <t>N/A</t>
        </is>
      </c>
      <c r="O14" s="341" t="inlineStr">
        <is>
          <t>20/04/2015</t>
        </is>
      </c>
      <c r="P14" s="341" t="inlineStr">
        <is>
          <t>20/04/2015</t>
        </is>
      </c>
      <c r="Q14" s="341" t="inlineStr">
        <is>
          <t>N/A</t>
        </is>
      </c>
      <c r="R14" s="341" t="inlineStr">
        <is>
          <t>01/01/2018</t>
        </is>
      </c>
      <c r="S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T14" s="341">
        <f>IF(P14="","生效",IF(P14="N/A","生效",IF(TODAY()&lt;DATE(VALUE(RIGHT(P14,4)),VALUE(MID(P14,4,2)),VALUE(LEFT(P14,2))),"计划实施",IF(Q14="","生效",IF(Q14="N/A","生效",IF(TODAY()&lt;DATE(VALUE(RIGHT(Q14,4)),VALUE(MID(Q14,4,2)),VALUE(LEFT(Q14,2))),"生效","已终止"))))))</f>
        <v/>
      </c>
      <c r="U14" s="341" t="inlineStr">
        <is>
          <t>工业和信息化部；省级工业和信息化主管部门</t>
        </is>
      </c>
      <c r="V14" s="341" t="inlineStr">
        <is>
          <t>电解铝电解槽</t>
        </is>
      </c>
      <c r="W14" s="341" t="inlineStr">
        <is>
          <t>既有</t>
        </is>
      </c>
      <c r="X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Y14" s="341" t="inlineStr">
        <is>
          <t>N/A</t>
        </is>
      </c>
      <c r="Z14" s="341" t="inlineStr">
        <is>
          <t>N/A</t>
        </is>
      </c>
      <c r="AA14" s="341" t="inlineStr">
        <is>
          <t>企业</t>
        </is>
      </c>
      <c r="AB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C14" s="341" t="inlineStr">
        <is>
          <t>生产</t>
        </is>
      </c>
      <c r="AD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E14" s="341" t="inlineStr">
        <is>
          <t>等量或减量置换</t>
        </is>
      </c>
      <c r="AF14" s="341" t="inlineStr">
        <is>
          <t>产能置换类型（等量/减量）</t>
        </is>
      </c>
      <c r="AG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H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I14" s="341" t="inlineStr">
        <is>
          <t>N/A</t>
        </is>
      </c>
      <c r="AJ14" s="341" t="inlineStr">
        <is>
          <t>N/A</t>
        </is>
      </c>
      <c r="AK14" s="341" t="inlineStr">
        <is>
          <t>产能置换方案公示；抽查核查</t>
        </is>
      </c>
      <c r="AL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M14" s="341" t="inlineStr">
        <is>
          <t>不予备案；责令整改</t>
        </is>
      </c>
      <c r="AN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O14" s="341" t="inlineStr">
        <is>
          <t>其他激励或支持</t>
        </is>
      </c>
      <c r="AP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Q14" s="341" t="inlineStr">
        <is>
          <t>~4.3亿吨CO₂（来源：中国有色金属工业协会，2025年7月；2024年电解铝行业直接加间接碳排放总量；产能置换办法覆盖全部包含电解工序的建设项目。其中直接排放（阳极消耗+PFC）约0.68亿吨CO₂当量）</t>
        </is>
      </c>
      <c r="AR14" s="341" t="inlineStr">
        <is>
          <t>约5%（来源：中国有色金属工业协会，2025年7月；电解铝行业碳排放约占全国碳排放总量的5%）</t>
        </is>
      </c>
      <c r="AS14" s="341" t="inlineStr">
        <is>
          <t>C24</t>
        </is>
      </c>
      <c r="AT14" s="341" t="inlineStr">
        <is>
          <t>CO2</t>
        </is>
      </c>
      <c r="AU14" s="341" t="inlineStr">
        <is>
          <t>正向</t>
        </is>
      </c>
      <c r="AV14" s="341" t="inlineStr">
        <is>
          <t>节能；污染防治；产业发展</t>
        </is>
      </c>
      <c r="AW14" s="341" t="inlineStr">
        <is>
          <t>《关于电解铝企业通过兼并重组等方式实施产能置换有关事项的通知》（工信部原〔2018〕12号）</t>
        </is>
      </c>
      <c r="AX14" s="341" t="inlineStr">
        <is>
          <t>https://www.miit.gov.cn/jgsj/ycls/gzdt/art/2020/art_1b8d65c150a04513a2aedc3b5d8a8488.html</t>
        </is>
      </c>
      <c r="AY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AZ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能源效率；能源安全</t>
        </is>
      </c>
      <c r="L15" s="341" t="inlineStr">
        <is>
          <t>直接</t>
        </is>
      </c>
      <c r="M15" s="341" t="inlineStr">
        <is>
          <t>国家</t>
        </is>
      </c>
      <c r="N15" s="341" t="inlineStr">
        <is>
          <t>N/A</t>
        </is>
      </c>
      <c r="O15" s="341" t="inlineStr">
        <is>
          <t>10/03/1999</t>
        </is>
      </c>
      <c r="P15" s="341" t="inlineStr">
        <is>
          <t>10/03/1999</t>
        </is>
      </c>
      <c r="Q15" s="341" t="inlineStr">
        <is>
          <t>N/A</t>
        </is>
      </c>
      <c r="R15" s="341" t="inlineStr">
        <is>
          <t>22/02/2018</t>
        </is>
      </c>
      <c r="S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T15" s="341">
        <f>IF(P15="","生效",IF(P15="N/A","生效",IF(TODAY()&lt;DATE(VALUE(RIGHT(P15,4)),VALUE(MID(P15,4,2)),VALUE(LEFT(P15,2))),"计划实施",IF(Q15="","生效",IF(Q15="N/A","生效",IF(TODAY()&lt;DATE(VALUE(RIGHT(Q15,4)),VALUE(MID(Q15,4,2)),VALUE(LEFT(Q15,2))),"生效","已终止"))))))</f>
        <v/>
      </c>
      <c r="U15" s="341" t="inlineStr">
        <is>
          <t>国家发展和改革委员会；省级人民政府</t>
        </is>
      </c>
      <c r="V15" s="341" t="inlineStr">
        <is>
          <t>N/A</t>
        </is>
      </c>
      <c r="W15" s="341" t="inlineStr">
        <is>
          <t>N/A</t>
        </is>
      </c>
      <c r="X15" s="341" t="inlineStr">
        <is>
          <t>N/A</t>
        </is>
      </c>
      <c r="Y15" s="341" t="inlineStr">
        <is>
          <t>N/A</t>
        </is>
      </c>
      <c r="Z15" s="341" t="inlineStr">
        <is>
          <t>N/A</t>
        </is>
      </c>
      <c r="AA15" s="341" t="inlineStr">
        <is>
          <t>企业</t>
        </is>
      </c>
      <c r="AB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C15" s="341" t="inlineStr">
        <is>
          <t>消费（使用）</t>
        </is>
      </c>
      <c r="AD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E15" s="341" t="inlineStr">
        <is>
          <t>年综合能源消费量一万吨标准煤（一般门槛）；五千吨标准煤（特殊指定）</t>
        </is>
      </c>
      <c r="AF15" s="341" t="inlineStr">
        <is>
          <t>吨标准煤/年</t>
        </is>
      </c>
      <c r="AG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H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I15" s="341" t="inlineStr">
        <is>
          <t>N/A</t>
        </is>
      </c>
      <c r="AJ15" s="341" t="inlineStr">
        <is>
          <t>N/A</t>
        </is>
      </c>
      <c r="AK15" s="341" t="inlineStr">
        <is>
          <t>能源审计；能源利用状况报告；节能监察</t>
        </is>
      </c>
      <c r="AL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M15" s="341" t="inlineStr">
        <is>
          <t>行政处罚；责令整改；罚款</t>
        </is>
      </c>
      <c r="AN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O15" s="341" t="inlineStr">
        <is>
          <t>其他激励或支持</t>
        </is>
      </c>
      <c r="AP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Q15" s="341" t="inlineStr">
        <is>
          <t>N/A</t>
        </is>
      </c>
      <c r="AR15" s="341" t="inlineStr">
        <is>
          <t>N/A</t>
        </is>
      </c>
      <c r="AS15" s="341" t="inlineStr">
        <is>
          <t>B05; B06; B07; B08; B09; C10; C11; C12; C13; C14; C15; C16; C17; C18; C19; C20; C21; C22; C23; C24; C25; C26; C27; C28; C29; C30; C31; C32; C33; D35; F41; F42; F43; H49</t>
        </is>
      </c>
      <c r="AT15" s="341" t="inlineStr">
        <is>
          <t>CO2</t>
        </is>
      </c>
      <c r="AU15" s="341" t="inlineStr">
        <is>
          <t>正向</t>
        </is>
      </c>
      <c r="AV15" s="341" t="inlineStr">
        <is>
          <t>节能；污染防治；技术创新</t>
        </is>
      </c>
      <c r="AW15" s="341" t="inlineStr">
        <is>
          <t>《重点用能单位节能管理办法》（国家发展改革委等七部门令第15号，2018年）</t>
        </is>
      </c>
      <c r="AX15" s="341" t="inlineStr">
        <is>
          <t>https://zfxxgk.ndrc.gov.cn/web/iteminfo.jsp?id=18518</t>
        </is>
      </c>
      <c r="AY15" s="341" t="inlineStr">
        <is>
          <t>《重点用能单位节能管理办法》（国家经贸委令第7号，1999年，已废止）：http://www.nea.gov.cn/2011-08/18/c_131057691.htm | 《中华人民共和国节约能源法》（2018年修正）：https://flk.npc.gov.cn/detail2.html?ZmY4MDgxODE2ZjEzNWY0NjAxNmYyMTY5MjAxNTExMjk%3D</t>
        </is>
      </c>
      <c r="AZ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t>
        </is>
      </c>
      <c r="L16" s="341" t="inlineStr">
        <is>
          <t>直接</t>
        </is>
      </c>
      <c r="M16" s="341" t="inlineStr">
        <is>
          <t>国家</t>
        </is>
      </c>
      <c r="N16" s="341" t="inlineStr">
        <is>
          <t>N/A</t>
        </is>
      </c>
      <c r="O16" s="341" t="inlineStr">
        <is>
          <t>01/08/2008</t>
        </is>
      </c>
      <c r="P16" s="341" t="inlineStr">
        <is>
          <t>01/10/2008</t>
        </is>
      </c>
      <c r="Q16" s="341" t="inlineStr">
        <is>
          <t>N/A</t>
        </is>
      </c>
      <c r="R16" s="341" t="inlineStr">
        <is>
          <t>01/03/2017</t>
        </is>
      </c>
      <c r="S16" s="341" t="inlineStr">
        <is>
          <t>2017年3月1日根据《国务院关于修改和废止部分行政法规的决定》（国务院令第676号）修订。本次修订为清理性修订，核心条款（目标责任制、能源审计、定额管理等）源自2008年原条例，未作实质性修改。</t>
        </is>
      </c>
      <c r="T16" s="341">
        <f>IF(P16="","生效",IF(P16="N/A","生效",IF(TODAY()&lt;DATE(VALUE(RIGHT(P16,4)),VALUE(MID(P16,4,2)),VALUE(LEFT(P16,2))),"计划实施",IF(Q16="","生效",IF(Q16="N/A","生效",IF(TODAY()&lt;DATE(VALUE(RIGHT(Q16,4)),VALUE(MID(Q16,4,2)),VALUE(LEFT(Q16,2))),"生效","已终止"))))))</f>
        <v/>
      </c>
      <c r="U16" s="341" t="inlineStr">
        <is>
          <t>国家机关事务管理局；国家发展和改革委员会；各级机关事务管理机构</t>
        </is>
      </c>
      <c r="V16" s="341" t="inlineStr">
        <is>
          <t>建筑及其用能系统和设备</t>
        </is>
      </c>
      <c r="W16" s="341" t="inlineStr">
        <is>
          <t>既有</t>
        </is>
      </c>
      <c r="X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Y16" s="341" t="inlineStr">
        <is>
          <t>N/A</t>
        </is>
      </c>
      <c r="Z16" s="341" t="inlineStr">
        <is>
          <t>N/A</t>
        </is>
      </c>
      <c r="AA16" s="341" t="inlineStr">
        <is>
          <t>政府</t>
        </is>
      </c>
      <c r="AB16" s="341" t="inlineStr">
        <is>
          <t>全部或部分使用财政性资金的国家机关、事业单位和团体组织，包括各级党政机关、人大机关、政协机关、监察机关、审判机关、检察机关、民主党派和工商联机关、人民团体、事业单位（学校、医院、科研院所等）</t>
        </is>
      </c>
      <c r="AC16" s="341" t="inlineStr">
        <is>
          <t>使用；管理</t>
        </is>
      </c>
      <c r="AD16" s="341" t="inlineStr">
        <is>
          <t>公共机构日常运行中的供暖、制冷、照明、办公设备、公务用车、热水供应等能源消费活动，以及既有建筑的围护结构、用能系统和设备节能改造</t>
        </is>
      </c>
      <c r="AE16" s="341" t="inlineStr">
        <is>
          <t>N/A</t>
        </is>
      </c>
      <c r="AF16" s="341" t="inlineStr">
        <is>
          <t>N/A</t>
        </is>
      </c>
      <c r="AG16" s="341" t="inlineStr">
        <is>
          <t>N/A</t>
        </is>
      </c>
      <c r="AH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I16" s="341" t="inlineStr">
        <is>
          <t>N/A</t>
        </is>
      </c>
      <c r="AJ16" s="341" t="inlineStr">
        <is>
          <t>N/A</t>
        </is>
      </c>
      <c r="AK16" s="341" t="inlineStr">
        <is>
          <t>政府机构开展的监督检查或第三方审计</t>
        </is>
      </c>
      <c r="AL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M16" s="341" t="inlineStr">
        <is>
          <t>合规命令</t>
        </is>
      </c>
      <c r="AN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O16" s="341" t="inlineStr">
        <is>
          <t>其他激励或支持</t>
        </is>
      </c>
      <c r="AP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Q16" s="341" t="inlineStr">
        <is>
          <t>N/A</t>
        </is>
      </c>
      <c r="AR16" s="341" t="inlineStr">
        <is>
          <t>N/A</t>
        </is>
      </c>
      <c r="AS16" s="341" t="inlineStr">
        <is>
          <t>O84; P85; Q86; Q87; Q88; M72; R90; R91; R93</t>
        </is>
      </c>
      <c r="AT16" s="341" t="inlineStr">
        <is>
          <t>CO2</t>
        </is>
      </c>
      <c r="AU16" s="341" t="inlineStr">
        <is>
          <t>正向</t>
        </is>
      </c>
      <c r="AV16" s="341" t="inlineStr">
        <is>
          <t>节能；产业发展</t>
        </is>
      </c>
      <c r="AW16" s="341" t="inlineStr">
        <is>
          <t>公共机构节能条例；'十五五'公共机构节能降碳工作方案（国管节能〔2026〕161号）</t>
        </is>
      </c>
      <c r="AX16" s="341" t="inlineStr">
        <is>
          <t>https://www.gov.cn/gongbao/content/2017/content_5219166.htm</t>
        </is>
      </c>
      <c r="AY16" s="341" t="inlineStr">
        <is>
          <t>https://www.ggj.gov.cn/tzgg/202607/t20260731_49588.htm</t>
        </is>
      </c>
      <c r="AZ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国家</t>
        </is>
      </c>
      <c r="N17" s="341" t="inlineStr">
        <is>
          <t>N/A</t>
        </is>
      </c>
      <c r="O17" s="341" t="inlineStr">
        <is>
          <t>08/10/2013</t>
        </is>
      </c>
      <c r="P17" s="341" t="inlineStr">
        <is>
          <t>01/01/2014</t>
        </is>
      </c>
      <c r="Q17" s="341" t="inlineStr">
        <is>
          <t>N/A</t>
        </is>
      </c>
      <c r="R17" s="341" t="inlineStr">
        <is>
          <t>02/03/2019</t>
        </is>
      </c>
      <c r="S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T17" s="341">
        <f>IF(P17="","生效",IF(P17="N/A","生效",IF(TODAY()&lt;DATE(VALUE(RIGHT(P17,4)),VALUE(MID(P17,4,2)),VALUE(LEFT(P17,2))),"计划实施",IF(Q17="","生效",IF(Q17="N/A","生效",IF(TODAY()&lt;DATE(VALUE(RIGHT(Q17,4)),VALUE(MID(Q17,4,2)),VALUE(LEFT(Q17,2))),"生效","已终止"))))))</f>
        <v/>
      </c>
      <c r="U17" s="341" t="inlineStr">
        <is>
          <t>生态环境部；农业农村部</t>
        </is>
      </c>
      <c r="V17" s="341" t="inlineStr">
        <is>
          <t>规模养殖场和养殖小区</t>
        </is>
      </c>
      <c r="W17" s="341" t="inlineStr">
        <is>
          <t>既有</t>
        </is>
      </c>
      <c r="X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Y17" s="341" t="inlineStr">
        <is>
          <t>N/A</t>
        </is>
      </c>
      <c r="Z17" s="341" t="inlineStr">
        <is>
          <t>N/A</t>
        </is>
      </c>
      <c r="AA17" s="341" t="inlineStr">
        <is>
          <t>企业</t>
        </is>
      </c>
      <c r="AB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C17" s="341" t="inlineStr">
        <is>
          <t>生产</t>
        </is>
      </c>
      <c r="AD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E17" s="341" t="inlineStr">
        <is>
          <t>由省级政府确定</t>
        </is>
      </c>
      <c r="AF17" s="341" t="inlineStr">
        <is>
          <t>规模标准（如生猪年出栏≥500头）</t>
        </is>
      </c>
      <c r="AG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H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I17" s="341" t="inlineStr">
        <is>
          <t>N/A</t>
        </is>
      </c>
      <c r="AJ17" s="341" t="inlineStr">
        <is>
          <t>N/A</t>
        </is>
      </c>
      <c r="AK17" s="341" t="inlineStr">
        <is>
          <t>备案；信息报送；现场检查</t>
        </is>
      </c>
      <c r="AL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M17" s="341" t="inlineStr">
        <is>
          <t>责令停止建设；罚款；限期搬迁或关闭</t>
        </is>
      </c>
      <c r="AN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O17" s="341" t="inlineStr">
        <is>
          <t>税收优惠；按农业电价执行；沼气发电上网；增值税优惠</t>
        </is>
      </c>
      <c r="AP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Q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R17" s="341" t="inlineStr">
        <is>
          <t>约占全国温室气体排放的5%-8%（来源：中国温室气体清单；畜禽养殖业排放占比；覆盖规模养殖场和养殖小区，约占全国畜禽养殖总量的60%-70%）</t>
        </is>
      </c>
      <c r="AS17" s="341" t="inlineStr">
        <is>
          <t>A01</t>
        </is>
      </c>
      <c r="AT17" s="341" t="inlineStr">
        <is>
          <t>CH4; N2O</t>
        </is>
      </c>
      <c r="AU17" s="341" t="inlineStr">
        <is>
          <t>正向</t>
        </is>
      </c>
      <c r="AV17" s="341" t="inlineStr">
        <is>
          <t>污染防治；生态保护；资源节约；循环经济</t>
        </is>
      </c>
      <c r="AW17" s="341" t="inlineStr">
        <is>
          <t>《畜禽规模养殖污染防治条例》（国务院令第643号）</t>
        </is>
      </c>
      <c r="AX17" s="341" t="inlineStr">
        <is>
          <t>https://www.gov.cn/zhengce/2013-11/26/content_2602626.htm</t>
        </is>
      </c>
      <c r="AY17" s="341" t="inlineStr">
        <is>
          <t>《国务院关于修改部分行政法规的决定》（国务院令第709号，2019年修订）：https://www.gov.cn/gongbao/content/2019/content_5468893.htm</t>
        </is>
      </c>
      <c r="AZ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非化石能源；能源安全</t>
        </is>
      </c>
      <c r="L18" s="341" t="inlineStr">
        <is>
          <t>直接</t>
        </is>
      </c>
      <c r="M18" s="341" t="inlineStr">
        <is>
          <t>国家</t>
        </is>
      </c>
      <c r="N18" s="341" t="inlineStr">
        <is>
          <t>N/A</t>
        </is>
      </c>
      <c r="O18" s="341" t="inlineStr">
        <is>
          <t>08/11/2024</t>
        </is>
      </c>
      <c r="P18" s="341" t="inlineStr">
        <is>
          <t>01/01/2025</t>
        </is>
      </c>
      <c r="Q18" s="341" t="inlineStr">
        <is>
          <t>N/A</t>
        </is>
      </c>
      <c r="R18" s="341" t="inlineStr">
        <is>
          <t>N/A</t>
        </is>
      </c>
      <c r="S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T18" s="341">
        <f>IF(P18="","生效",IF(P18="N/A","生效",IF(TODAY()&lt;DATE(VALUE(RIGHT(P18,4)),VALUE(MID(P18,4,2)),VALUE(LEFT(P18,2))),"计划实施",IF(Q18="","生效",IF(Q18="N/A","生效",IF(TODAY()&lt;DATE(VALUE(RIGHT(Q18,4)),VALUE(MID(Q18,4,2)),VALUE(LEFT(Q18,2))),"生效","已终止"))))))</f>
        <v/>
      </c>
      <c r="U18" s="341" t="inlineStr">
        <is>
          <t>国家发展改革委；国家能源局；省级能源主管部门</t>
        </is>
      </c>
      <c r="V18" s="341" t="inlineStr">
        <is>
          <t>可再生能源发电机组</t>
        </is>
      </c>
      <c r="W18" s="341" t="inlineStr">
        <is>
          <t>既有</t>
        </is>
      </c>
      <c r="X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Y18" s="341" t="inlineStr">
        <is>
          <t>N/A</t>
        </is>
      </c>
      <c r="Z18" s="341" t="inlineStr">
        <is>
          <t>N/A</t>
        </is>
      </c>
      <c r="AA18" s="341" t="inlineStr">
        <is>
          <t>企业</t>
        </is>
      </c>
      <c r="AB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C18" s="341" t="inlineStr">
        <is>
          <t>生产</t>
        </is>
      </c>
      <c r="AD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E18" s="341" t="inlineStr">
        <is>
          <t>按可再生能源电力消纳责任权重执行</t>
        </is>
      </c>
      <c r="AF18" s="341" t="inlineStr">
        <is>
          <t>可再生能源电力消纳责任权重（%）</t>
        </is>
      </c>
      <c r="AG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H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I18" s="341" t="inlineStr">
        <is>
          <t>N/A</t>
        </is>
      </c>
      <c r="AJ18" s="341" t="inlineStr">
        <is>
          <t>N/A</t>
        </is>
      </c>
      <c r="AK18" s="341" t="inlineStr">
        <is>
          <t>信息报送；年度评估；能源监管机构监督检查</t>
        </is>
      </c>
      <c r="AL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M18" s="341" t="inlineStr">
        <is>
          <t>责令改正；罚款；行政处分</t>
        </is>
      </c>
      <c r="AN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O18" s="341" t="inlineStr">
        <is>
          <t>绿证交易收益；可再生能源基金补贴；公共机构优先采购</t>
        </is>
      </c>
      <c r="AP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Q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R18" s="341" t="inlineStr">
        <is>
          <t>约占全国CO₂排放的20%（来源：国家能源局2024年数据；可再生能源发电替代化石能源减排量占全国排放比例）</t>
        </is>
      </c>
      <c r="AS18" s="341" t="inlineStr">
        <is>
          <t>D35</t>
        </is>
      </c>
      <c r="AT18" s="341" t="inlineStr">
        <is>
          <t>CO2</t>
        </is>
      </c>
      <c r="AU18" s="341" t="inlineStr">
        <is>
          <t>正向</t>
        </is>
      </c>
      <c r="AV18" s="341" t="inlineStr">
        <is>
          <t>污染防治；能源安全；产业发展；可再生能源发展</t>
        </is>
      </c>
      <c r="AW18" s="341" t="inlineStr">
        <is>
          <t>《中华人民共和国能源法》（主席令第三十七号，2024年）</t>
        </is>
      </c>
      <c r="AX18" s="341" t="inlineStr">
        <is>
          <t>https://www.gov.cn/yaowen/liebiao/202411/content_6985761.htm</t>
        </is>
      </c>
      <c r="AY18" s="341" t="inlineStr">
        <is>
          <t>《全额保障性收购可再生能源电量监管办法》（国家发展改革委令第15号，2024年）：https://www.gov.cn/gongbao/2024/issue_11326/202405/content_6949616.html</t>
        </is>
      </c>
      <c r="AZ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国家</t>
        </is>
      </c>
      <c r="N19" s="341" t="inlineStr">
        <is>
          <t>N/A</t>
        </is>
      </c>
      <c r="O19" s="341" t="inlineStr">
        <is>
          <t>10/11/2016</t>
        </is>
      </c>
      <c r="P19" s="341" t="inlineStr">
        <is>
          <t>10/11/2016</t>
        </is>
      </c>
      <c r="Q19" s="341" t="inlineStr">
        <is>
          <t>N/A</t>
        </is>
      </c>
      <c r="R19" s="341" t="inlineStr">
        <is>
          <t>24/01/2021</t>
        </is>
      </c>
      <c r="S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T19" s="341">
        <f>IF(P19="","生效",IF(P19="N/A","生效",IF(TODAY()&lt;DATE(VALUE(RIGHT(P19,4)),VALUE(MID(P19,4,2)),VALUE(LEFT(P19,2))),"计划实施",IF(Q19="","生效",IF(Q19="N/A","生效",IF(TODAY()&lt;DATE(VALUE(RIGHT(Q19,4)),VALUE(MID(Q19,4,2)),VALUE(LEFT(Q19,2))),"生效","已终止"))))))</f>
        <v/>
      </c>
      <c r="U19" s="341" t="inlineStr">
        <is>
          <t>生态环境部；设区的市级以上生态环境主管部门</t>
        </is>
      </c>
      <c r="V19" s="341" t="inlineStr">
        <is>
          <t>纳入排污许可管理的固定污染源生产设施</t>
        </is>
      </c>
      <c r="W19" s="341" t="inlineStr">
        <is>
          <t>既有</t>
        </is>
      </c>
      <c r="X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Y19" s="341" t="inlineStr">
        <is>
          <t>N/A</t>
        </is>
      </c>
      <c r="Z19" s="341" t="inlineStr">
        <is>
          <t>N/A</t>
        </is>
      </c>
      <c r="AA19" s="341" t="inlineStr">
        <is>
          <t>企业；政府</t>
        </is>
      </c>
      <c r="AB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C19" s="341" t="inlineStr">
        <is>
          <t>生产</t>
        </is>
      </c>
      <c r="AD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E19" s="341" t="inlineStr">
        <is>
          <t>约50万家固定污染源纳入排污许可管理（重点管理约10万家，简化管理约40万家）</t>
        </is>
      </c>
      <c r="AF19" s="341" t="inlineStr">
        <is>
          <t>纳入管理的固定污染源数量（万家）</t>
        </is>
      </c>
      <c r="AG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H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I19" s="341" t="inlineStr">
        <is>
          <t>N/A</t>
        </is>
      </c>
      <c r="AJ19" s="341" t="inlineStr">
        <is>
          <t>N/A</t>
        </is>
      </c>
      <c r="AK19" s="341" t="inlineStr">
        <is>
          <t>在线监控；现场检查；监督性监测；执行报告；全国排污许可证管理信息平台</t>
        </is>
      </c>
      <c r="AL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M19" s="341" t="inlineStr">
        <is>
          <t>责令改正；限制生产；停产整治；罚款；责令停业关闭；行政拘留</t>
        </is>
      </c>
      <c r="AN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O19" s="341" t="inlineStr">
        <is>
          <t>排污权交易；环保信用评价；降低检查频次；表彰奖励</t>
        </is>
      </c>
      <c r="AP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Q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R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S19" s="341" t="inlineStr">
        <is>
          <t>C13; C17; C19; C20; C23; C24; D35</t>
        </is>
      </c>
      <c r="AT19" s="341" t="inlineStr">
        <is>
          <t>CO2</t>
        </is>
      </c>
      <c r="AU19" s="341" t="inlineStr">
        <is>
          <t>正向</t>
        </is>
      </c>
      <c r="AV19" s="341" t="inlineStr">
        <is>
          <t>污染防治；资源节约</t>
        </is>
      </c>
      <c r="AW19" s="341" t="inlineStr">
        <is>
          <t>《国务院办公厅关于印发控制污染物排放许可制实施方案的通知》（国办发〔2016〕81号）</t>
        </is>
      </c>
      <c r="AX19" s="341" t="inlineStr">
        <is>
          <t>https://www.gov.cn/zhengce/content/2016-11/21/content_5135510.htm</t>
        </is>
      </c>
      <c r="AY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AZ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t>
        </is>
      </c>
      <c r="L20" s="341" t="inlineStr">
        <is>
          <t>间接</t>
        </is>
      </c>
      <c r="M20" s="341" t="inlineStr">
        <is>
          <t>国家</t>
        </is>
      </c>
      <c r="N20" s="341" t="inlineStr">
        <is>
          <t>N/A</t>
        </is>
      </c>
      <c r="O20" s="341" t="inlineStr">
        <is>
          <t>25/12/2016</t>
        </is>
      </c>
      <c r="P20" s="341" t="inlineStr">
        <is>
          <t>25/12/2016</t>
        </is>
      </c>
      <c r="Q20" s="341" t="inlineStr">
        <is>
          <t>N/A</t>
        </is>
      </c>
      <c r="R20" s="341" t="inlineStr">
        <is>
          <t>01/09/2020</t>
        </is>
      </c>
      <c r="S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T20" s="341">
        <f>IF(P20="","生效",IF(P20="N/A","生效",IF(TODAY()&lt;DATE(VALUE(RIGHT(P20,4)),VALUE(MID(P20,4,2)),VALUE(LEFT(P20,2))),"计划实施",IF(Q20="","生效",IF(Q20="N/A","生效",IF(TODAY()&lt;DATE(VALUE(RIGHT(Q20,4)),VALUE(MID(Q20,4,2)),VALUE(LEFT(Q20,2))),"生效","已终止"))))))</f>
        <v/>
      </c>
      <c r="U20" s="341" t="inlineStr">
        <is>
          <t>国家发展改革委；工业和信息化部；生态环境部；市场监管总局</t>
        </is>
      </c>
      <c r="V20" s="341" t="inlineStr">
        <is>
          <t>纳入EPR制度范围的产品全生命周期回收处理体系</t>
        </is>
      </c>
      <c r="W20" s="341" t="inlineStr">
        <is>
          <t>新建；既有</t>
        </is>
      </c>
      <c r="X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Y20" s="341" t="inlineStr">
        <is>
          <t>N/A</t>
        </is>
      </c>
      <c r="Z20" s="341" t="inlineStr">
        <is>
          <t>N/A</t>
        </is>
      </c>
      <c r="AA20" s="341" t="inlineStr">
        <is>
          <t>企业</t>
        </is>
      </c>
      <c r="AB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C20" s="341" t="inlineStr">
        <is>
          <t>生产；销售；回收、再利用或其他消费后处理</t>
        </is>
      </c>
      <c r="AD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E20" s="341" t="inlineStr">
        <is>
          <t>20%（再生原料使用比例目标）；50%（回收与循环利用率目标）</t>
        </is>
      </c>
      <c r="AF20" s="341" t="inlineStr">
        <is>
          <t>回收利用率目标（%）</t>
        </is>
      </c>
      <c r="AG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H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I20" s="341" t="inlineStr">
        <is>
          <t>N/A</t>
        </is>
      </c>
      <c r="AJ20" s="341" t="inlineStr">
        <is>
          <t>N/A</t>
        </is>
      </c>
      <c r="AK20" s="341" t="inlineStr">
        <is>
          <t>信息报送；行业EPR信息平台；环境信用评价；全过程监管</t>
        </is>
      </c>
      <c r="AL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M20" s="341" t="inlineStr">
        <is>
          <t>责令改正；罚款；责令停产整治；追回补贴资金</t>
        </is>
      </c>
      <c r="AN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O20" s="341" t="inlineStr">
        <is>
          <t>环境信用评价；中央预算内投资；绿色金融支持；政府采购优先</t>
        </is>
      </c>
      <c r="AP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Q20" s="341" t="inlineStr">
        <is>
          <t>N/A</t>
        </is>
      </c>
      <c r="AR20" s="341" t="inlineStr">
        <is>
          <t>N/A</t>
        </is>
      </c>
      <c r="AS20" s="341" t="inlineStr">
        <is>
          <t>C10; C11; C12; C13; C14; C15; C16; C17; C18; C19; C20; C21; C22; C23; C24; C25; C26; C27; C28; C29; C30; C31; C32; C33</t>
        </is>
      </c>
      <c r="AT20" s="341" t="inlineStr">
        <is>
          <t>CO2</t>
        </is>
      </c>
      <c r="AU20" s="341" t="inlineStr">
        <is>
          <t>正向</t>
        </is>
      </c>
      <c r="AV20" s="341" t="inlineStr">
        <is>
          <t>资源节约；循环经济；污染防治；产业发展</t>
        </is>
      </c>
      <c r="AW20" s="341" t="inlineStr">
        <is>
          <t>《生产者责任延伸制度推行方案》（国办发〔2016〕99号）</t>
        </is>
      </c>
      <c r="AX20" s="341" t="inlineStr">
        <is>
          <t>https://www.gov.cn/zhengce/content/2017-01/03/content_5156043.htm</t>
        </is>
      </c>
      <c r="AY20" s="341" t="inlineStr">
        <is>
          <t>《固体废物污染环境防治法》（2020年修订）第66条（EPR入法）：https://www.gov.cn/xinwen/2020-04/30/content_5507646.htm | 《生态环境法典》（2026年施行）第959条、978条、1223条</t>
        </is>
      </c>
      <c r="AZ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循环经济；污染防治</t>
        </is>
      </c>
      <c r="L21" s="341" t="inlineStr">
        <is>
          <t>间接</t>
        </is>
      </c>
      <c r="M21" s="341" t="inlineStr">
        <is>
          <t>国家</t>
        </is>
      </c>
      <c r="N21" s="341" t="inlineStr">
        <is>
          <t>N/A</t>
        </is>
      </c>
      <c r="O21" s="341" t="inlineStr">
        <is>
          <t>25/02/2009</t>
        </is>
      </c>
      <c r="P21" s="341" t="inlineStr">
        <is>
          <t>01/01/2011</t>
        </is>
      </c>
      <c r="Q21" s="341" t="inlineStr">
        <is>
          <t>N/A</t>
        </is>
      </c>
      <c r="R21" s="341" t="inlineStr">
        <is>
          <t>02/03/2019</t>
        </is>
      </c>
      <c r="S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T21" s="341">
        <f>IF(P21="","生效",IF(P21="N/A","生效",IF(TODAY()&lt;DATE(VALUE(RIGHT(P21,4)),VALUE(MID(P21,4,2)),VALUE(LEFT(P21,2))),"计划实施",IF(Q21="","生效",IF(Q21="N/A","生效",IF(TODAY()&lt;DATE(VALUE(RIGHT(Q21,4)),VALUE(MID(Q21,4,2)),VALUE(LEFT(Q21,2))),"生效","已终止"))))))</f>
        <v/>
      </c>
      <c r="U21" s="341" t="inlineStr">
        <is>
          <t>生态环境部；国家发展改革委；工业和信息化部；财政部</t>
        </is>
      </c>
      <c r="V21" s="341" t="inlineStr">
        <is>
          <t>废弃电器电子产品</t>
        </is>
      </c>
      <c r="W21" s="341" t="inlineStr">
        <is>
          <t>新建；既有</t>
        </is>
      </c>
      <c r="X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Y21" s="341" t="inlineStr">
        <is>
          <t>N/A</t>
        </is>
      </c>
      <c r="Z21" s="341" t="inlineStr">
        <is>
          <t>N/A</t>
        </is>
      </c>
      <c r="AA21" s="341" t="inlineStr">
        <is>
          <t>企业</t>
        </is>
      </c>
      <c r="AB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C21" s="341" t="inlineStr">
        <is>
          <t>收集或分类（消费后）；减排或预防</t>
        </is>
      </c>
      <c r="AD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E21" s="341" t="inlineStr">
        <is>
          <t>14类产品（电视机、电冰箱、洗衣机、空调、微型计算机、吸油烟机、电热水器、燃气热水器、打印机、复印机、传真机、电话机、监视器、移动通信手持机）</t>
        </is>
      </c>
      <c r="AF21" s="341" t="inlineStr">
        <is>
          <t>纳入处理目录的产品类别数</t>
        </is>
      </c>
      <c r="AG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H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I21" s="341" t="inlineStr">
        <is>
          <t>N/A</t>
        </is>
      </c>
      <c r="AJ21" s="341" t="inlineStr">
        <is>
          <t>N/A</t>
        </is>
      </c>
      <c r="AK21" s="341" t="inlineStr">
        <is>
          <t>处理资格许可证审批；处理信息系统报送；现场检查；监督性监测</t>
        </is>
      </c>
      <c r="AL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M21" s="341" t="inlineStr">
        <is>
          <t>责令停止处理活动；没收违法所得；罚款；通报公示</t>
        </is>
      </c>
      <c r="AN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O21" s="341" t="inlineStr">
        <is>
          <t>中央财政处理补贴；增值税即征即退；工业用地政策优惠</t>
        </is>
      </c>
      <c r="AP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Q21" s="341" t="inlineStr">
        <is>
          <t>N/A</t>
        </is>
      </c>
      <c r="AR21" s="341" t="inlineStr">
        <is>
          <t>N/A</t>
        </is>
      </c>
      <c r="AS21" s="341" t="inlineStr">
        <is>
          <t>C26; C27; E38</t>
        </is>
      </c>
      <c r="AT21" s="341" t="inlineStr">
        <is>
          <t>CO2; HFCs</t>
        </is>
      </c>
      <c r="AU21" s="341" t="inlineStr">
        <is>
          <t>正向</t>
        </is>
      </c>
      <c r="AV21" s="341" t="inlineStr">
        <is>
          <t>资源节约；循环经济；污染防治；产业发展</t>
        </is>
      </c>
      <c r="AW21" s="341" t="inlineStr">
        <is>
          <t>《废弃电器电子产品回收处理管理条例》（国务院令第551号）</t>
        </is>
      </c>
      <c r="AX21" s="341" t="inlineStr">
        <is>
          <t>https://www.gov.cn/gongbao/content/2019/content_5468893.htm</t>
        </is>
      </c>
      <c r="AY21" s="341" t="inlineStr">
        <is>
          <t>《废弃电器电子产品处理目录（2014年版）》（14类产品）：https://www.gov.cn/zhengce/content/2015-02/11/content_9468.htm | 废弃电器电子产品回收处理奖补经济工具：CHNSUBRTSI01S000</t>
        </is>
      </c>
      <c r="AZ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t>
        </is>
      </c>
      <c r="L22" s="341" t="inlineStr">
        <is>
          <t>间接</t>
        </is>
      </c>
      <c r="M22" s="341" t="inlineStr">
        <is>
          <t>国家</t>
        </is>
      </c>
      <c r="N22" s="341" t="inlineStr">
        <is>
          <t>N/A</t>
        </is>
      </c>
      <c r="O22" s="341" t="inlineStr">
        <is>
          <t>26/01/2018</t>
        </is>
      </c>
      <c r="P22" s="341" t="inlineStr">
        <is>
          <t>01/08/2018</t>
        </is>
      </c>
      <c r="Q22" s="341" t="inlineStr">
        <is>
          <t>N/A</t>
        </is>
      </c>
      <c r="R22" s="341" t="inlineStr">
        <is>
          <t>30/10/2025</t>
        </is>
      </c>
      <c r="S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T22" s="341">
        <f>IF(P22="","生效",IF(P22="N/A","生效",IF(TODAY()&lt;DATE(VALUE(RIGHT(P22,4)),VALUE(MID(P22,4,2)),VALUE(LEFT(P22,2))),"计划实施",IF(Q22="","生效",IF(Q22="N/A","生效",IF(TODAY()&lt;DATE(VALUE(RIGHT(Q22,4)),VALUE(MID(Q22,4,2)),VALUE(LEFT(Q22,2))),"生效","已终止"))))))</f>
        <v/>
      </c>
      <c r="U22" s="341" t="inlineStr">
        <is>
          <t>工业和信息化部；国家发展改革委；生态环境部；交通运输部；商务部；市场监管总局</t>
        </is>
      </c>
      <c r="V22" s="341" t="inlineStr">
        <is>
          <t>新能源汽车废旧动力电池</t>
        </is>
      </c>
      <c r="W22" s="341" t="inlineStr">
        <is>
          <t>既有</t>
        </is>
      </c>
      <c r="X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Y22" s="341" t="inlineStr">
        <is>
          <t>N/A</t>
        </is>
      </c>
      <c r="Z22" s="341" t="inlineStr">
        <is>
          <t>N/A</t>
        </is>
      </c>
      <c r="AA22" s="341" t="inlineStr">
        <is>
          <t>企业</t>
        </is>
      </c>
      <c r="AB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C22" s="341" t="inlineStr">
        <is>
          <t>收集或分类（消费后）；回收、再利用或其他消费后处理</t>
        </is>
      </c>
      <c r="AD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E22" s="341" t="inlineStr">
        <is>
          <t>再生利用企业产能不低于5000吨/年</t>
        </is>
      </c>
      <c r="AF22" s="341" t="inlineStr">
        <is>
          <t>年综合利用产能（吨/年）</t>
        </is>
      </c>
      <c r="AG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H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I22" s="341" t="inlineStr">
        <is>
          <t>N/A</t>
        </is>
      </c>
      <c r="AJ22" s="341" t="inlineStr">
        <is>
          <t>N/A</t>
        </is>
      </c>
      <c r="AK22" s="341" t="inlineStr">
        <is>
          <t>溯源信息平台全过程追溯；电池编码和数字身份证；信息报送；监督检查</t>
        </is>
      </c>
      <c r="AL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M22" s="341" t="inlineStr">
        <is>
          <t>责令改正；罚款；责令停产整改</t>
        </is>
      </c>
      <c r="AN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O22" s="341" t="inlineStr">
        <is>
          <t>增值税即征即退；中央预算内投资；产业园区优惠；绿色金融支持</t>
        </is>
      </c>
      <c r="AP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Q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R22" s="341" t="inlineStr">
        <is>
          <t>N/A（来源：工信部数据；动力电池回收减排量暂缺全国总量占比统一核算）</t>
        </is>
      </c>
      <c r="AS22" s="341" t="inlineStr">
        <is>
          <t>C29; C27</t>
        </is>
      </c>
      <c r="AT22" s="341" t="inlineStr">
        <is>
          <t>CO2</t>
        </is>
      </c>
      <c r="AU22" s="341" t="inlineStr">
        <is>
          <t>正向</t>
        </is>
      </c>
      <c r="AV22" s="341" t="inlineStr">
        <is>
          <t>资源节约；循环经济；污染防治；产业发展</t>
        </is>
      </c>
      <c r="AW22" s="341" t="inlineStr">
        <is>
          <t>《新能源汽车废旧动力电池回收和综合利用管理暂行办法》（六部门联合部门规章第73号）</t>
        </is>
      </c>
      <c r="AX22" s="341" t="inlineStr">
        <is>
          <t>https://www.miit.gov.cn/zcfg/jdcjxl/art/2026/art_640a0abfac6549feb6ead9c591b7680d.html</t>
        </is>
      </c>
      <c r="AY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AZ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绿色经济；减缓气候变化；绿色金融</t>
        </is>
      </c>
      <c r="L23" s="341" t="inlineStr">
        <is>
          <t>间接</t>
        </is>
      </c>
      <c r="M23" s="341" t="inlineStr">
        <is>
          <t>国家</t>
        </is>
      </c>
      <c r="N23" s="341" t="inlineStr">
        <is>
          <t>N/A</t>
        </is>
      </c>
      <c r="O23" s="341" t="inlineStr">
        <is>
          <t>01/06/2022</t>
        </is>
      </c>
      <c r="P23" s="341" t="inlineStr">
        <is>
          <t>01/06/2022</t>
        </is>
      </c>
      <c r="Q23" s="341" t="inlineStr">
        <is>
          <t>N/A</t>
        </is>
      </c>
      <c r="R23" s="341" t="inlineStr">
        <is>
          <t>N/A</t>
        </is>
      </c>
      <c r="S23" s="341" t="inlineStr">
        <is>
          <t>N/A</t>
        </is>
      </c>
      <c r="T23" s="341">
        <f>IF(P23="","生效",IF(P23="N/A","生效",IF(TODAY()&lt;DATE(VALUE(RIGHT(P23,4)),VALUE(MID(P23,4,2)),VALUE(LEFT(P23,2))),"计划实施",IF(Q23="","生效",IF(Q23="N/A","生效",IF(TODAY()&lt;DATE(VALUE(RIGHT(Q23,4)),VALUE(MID(Q23,4,2)),VALUE(LEFT(Q23,2))),"生效","已终止"))))))</f>
        <v/>
      </c>
      <c r="U23" s="341" t="inlineStr">
        <is>
          <t>国家金融监督管理总局（原中国银行保险监督管理委员会）</t>
        </is>
      </c>
      <c r="V23" s="341" t="inlineStr">
        <is>
          <t>绿色金融资产</t>
        </is>
      </c>
      <c r="W23" s="341" t="inlineStr">
        <is>
          <t>既有；新建</t>
        </is>
      </c>
      <c r="X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Y23" s="341" t="inlineStr">
        <is>
          <t>N/A</t>
        </is>
      </c>
      <c r="Z23" s="341" t="inlineStr">
        <is>
          <t>N/A</t>
        </is>
      </c>
      <c r="AA23" s="341" t="inlineStr">
        <is>
          <t>企业</t>
        </is>
      </c>
      <c r="AB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C23" s="341" t="inlineStr">
        <is>
          <t>投融资</t>
        </is>
      </c>
      <c r="AD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E23" s="341" t="inlineStr">
        <is>
          <t>N/A</t>
        </is>
      </c>
      <c r="AF23" s="341" t="inlineStr">
        <is>
          <t>N/A</t>
        </is>
      </c>
      <c r="AG23" s="341" t="inlineStr">
        <is>
          <t>N/A</t>
        </is>
      </c>
      <c r="AH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I23" s="341" t="inlineStr">
        <is>
          <t>N/A</t>
        </is>
      </c>
      <c r="AJ23" s="341" t="inlineStr">
        <is>
          <t>N/A</t>
        </is>
      </c>
      <c r="AK23" s="341" t="inlineStr">
        <is>
          <t>信息报送；内部审计；监督检查</t>
        </is>
      </c>
      <c r="AL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M23" s="341" t="inlineStr">
        <is>
          <t>合规命令；行政处罚；责令整改</t>
        </is>
      </c>
      <c r="AN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O23" s="341" t="inlineStr">
        <is>
          <t>监管评级挂钩；市场激励</t>
        </is>
      </c>
      <c r="AP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Q23" s="341" t="inlineStr">
        <is>
          <t>N/A</t>
        </is>
      </c>
      <c r="AR23" s="341" t="inlineStr">
        <is>
          <t>N/A</t>
        </is>
      </c>
      <c r="AS23" s="341" t="inlineStr">
        <is>
          <t>K64</t>
        </is>
      </c>
      <c r="AT23" s="341" t="inlineStr">
        <is>
          <t>CO2; CH4; N2O</t>
        </is>
      </c>
      <c r="AU23" s="341" t="inlineStr">
        <is>
          <t>正向</t>
        </is>
      </c>
      <c r="AV23" s="341" t="inlineStr">
        <is>
          <t>产业发展；污染防治；技术创新</t>
        </is>
      </c>
      <c r="AW23" s="341" t="inlineStr">
        <is>
          <t>《中国银保监会关于印发银行业保险业绿色金融指引的通知》（银保监发〔2022〕15号）</t>
        </is>
      </c>
      <c r="AX23" s="341" t="inlineStr">
        <is>
          <t>https://www.gov.cn/zhengce/zhengceku/2022-06/03/content_5693849.htm</t>
        </is>
      </c>
      <c r="AY23" s="341" t="inlineStr">
        <is>
          <t>N/A</t>
        </is>
      </c>
      <c r="AZ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国家</t>
        </is>
      </c>
      <c r="N24" s="341" t="inlineStr">
        <is>
          <t>N/A</t>
        </is>
      </c>
      <c r="O24" s="341" t="inlineStr">
        <is>
          <t>05/05/2016</t>
        </is>
      </c>
      <c r="P24" s="341" t="inlineStr">
        <is>
          <t>05/05/2016</t>
        </is>
      </c>
      <c r="Q24" s="341" t="inlineStr">
        <is>
          <t>N/A</t>
        </is>
      </c>
      <c r="R24" s="341" t="inlineStr">
        <is>
          <t>28/12/2020</t>
        </is>
      </c>
      <c r="S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T24" s="341">
        <f>IF(P24="","生效",IF(P24="N/A","生效",IF(TODAY()&lt;DATE(VALUE(RIGHT(P24,4)),VALUE(MID(P24,4,2)),VALUE(LEFT(P24,2))),"计划实施",IF(Q24="","生效",IF(Q24="N/A","生效",IF(TODAY()&lt;DATE(VALUE(RIGHT(Q24,4)),VALUE(MID(Q24,4,2)),VALUE(LEFT(Q24,2))),"生效","已终止"))))))</f>
        <v/>
      </c>
      <c r="U24" s="341" t="inlineStr">
        <is>
          <t>工业和信息化部；生态环境部</t>
        </is>
      </c>
      <c r="V24" s="341" t="inlineStr">
        <is>
          <t>水泥熟料生产线</t>
        </is>
      </c>
      <c r="W24" s="341" t="inlineStr">
        <is>
          <t>既有</t>
        </is>
      </c>
      <c r="X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Y24" s="341" t="inlineStr">
        <is>
          <t>N/A</t>
        </is>
      </c>
      <c r="Z24" s="341" t="inlineStr">
        <is>
          <t>N/A</t>
        </is>
      </c>
      <c r="AA24" s="341" t="inlineStr">
        <is>
          <t>企业</t>
        </is>
      </c>
      <c r="AB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C24" s="341" t="inlineStr">
        <is>
          <t>生产</t>
        </is>
      </c>
      <c r="AD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E24" s="341" t="inlineStr">
        <is>
          <t>分区域差异化确定</t>
        </is>
      </c>
      <c r="AF24" s="341" t="inlineStr">
        <is>
          <t>停窑天数/年</t>
        </is>
      </c>
      <c r="AG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H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I24" s="341" t="inlineStr">
        <is>
          <t>N/A</t>
        </is>
      </c>
      <c r="AJ24" s="341" t="inlineStr">
        <is>
          <t>N/A</t>
        </is>
      </c>
      <c r="AK24" s="341" t="inlineStr">
        <is>
          <t>在线监测；信息报送；现场检查；督查考核</t>
        </is>
      </c>
      <c r="AL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M24" s="341" t="inlineStr">
        <is>
          <t>约谈；公开曝光；限制产能置换指标交易；行业自律惩戒</t>
        </is>
      </c>
      <c r="AN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O24" s="341" t="inlineStr">
        <is>
          <t>差异化错峰减免；中央预算内投资；绿色制造名单推荐</t>
        </is>
      </c>
      <c r="AP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Q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R24" s="341" t="inlineStr">
        <is>
          <t>约占全国CO2排放的2%—3%（来源：中国水泥协会；水泥行业碳排放约占全国10%—12%，错峰生产压减产量约占全国水泥熟料总产量的20%—30%）</t>
        </is>
      </c>
      <c r="AS24" s="341" t="inlineStr">
        <is>
          <t>C23</t>
        </is>
      </c>
      <c r="AT24" s="341" t="inlineStr">
        <is>
          <t>CO2</t>
        </is>
      </c>
      <c r="AU24" s="341" t="inlineStr">
        <is>
          <t>正向</t>
        </is>
      </c>
      <c r="AV24" s="341" t="inlineStr">
        <is>
          <t>污染防治；资源节约</t>
        </is>
      </c>
      <c r="AW24" s="341" t="inlineStr">
        <is>
          <t>《工业和信息化部 生态环境部关于进一步做好水泥常态化错峰生产的通知》（工信部联原〔2020〕201号）</t>
        </is>
      </c>
      <c r="AX24" s="341" t="inlineStr">
        <is>
          <t>https://www.miit.gov.cn/jgsj/ycls/gzdt/art/2020/art_468a2824c4474f798f0f3c4fe647006e.html</t>
        </is>
      </c>
      <c r="AY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AZ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国家</t>
        </is>
      </c>
      <c r="N25" s="341" t="inlineStr">
        <is>
          <t>N/A</t>
        </is>
      </c>
      <c r="O25" s="341" t="inlineStr">
        <is>
          <t>13/05/2016</t>
        </is>
      </c>
      <c r="P25" s="341" t="inlineStr">
        <is>
          <t>13/05/2016</t>
        </is>
      </c>
      <c r="Q25" s="341" t="inlineStr">
        <is>
          <t>N/A</t>
        </is>
      </c>
      <c r="R25" s="341" t="inlineStr">
        <is>
          <t>06/04/2024</t>
        </is>
      </c>
      <c r="S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T25" s="341">
        <f>IF(P25="","生效",IF(P25="N/A","生效",IF(TODAY()&lt;DATE(VALUE(RIGHT(P25,4)),VALUE(MID(P25,4,2)),VALUE(LEFT(P25,2))),"计划实施",IF(Q25="","生效",IF(Q25="N/A","生效",IF(TODAY()&lt;DATE(VALUE(RIGHT(Q25,4)),VALUE(MID(Q25,4,2)),VALUE(LEFT(Q25,2))),"生效","已终止"))))))</f>
        <v/>
      </c>
      <c r="U25" s="341" t="inlineStr">
        <is>
          <t>国家发展改革委；财政部；自然资源部；生态环境部；水利部；农业农村部；国家林业和草原局</t>
        </is>
      </c>
      <c r="V25" s="341" t="inlineStr">
        <is>
          <t>森林、草原、湿地、荒漠、海洋、水流、耕地等七大类生态系统</t>
        </is>
      </c>
      <c r="W25" s="341" t="inlineStr">
        <is>
          <t>既有</t>
        </is>
      </c>
      <c r="X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Y25" s="341" t="inlineStr">
        <is>
          <t>N/A</t>
        </is>
      </c>
      <c r="Z25" s="341" t="inlineStr">
        <is>
          <t>N/A</t>
        </is>
      </c>
      <c r="AA25" s="341" t="inlineStr">
        <is>
          <t>家庭；企业；政府</t>
        </is>
      </c>
      <c r="AB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C25" s="341" t="inlineStr">
        <is>
          <t>保护或修复（生态系统）；生产</t>
        </is>
      </c>
      <c r="AD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E25" s="341" t="inlineStr">
        <is>
          <t>约2000亿元/年（含重点生态功能区转移支付、森林生态效益补偿、草原补奖等各类补偿资金合计）</t>
        </is>
      </c>
      <c r="AF25" s="341" t="inlineStr">
        <is>
          <t>年补偿资金总额（人民币亿元/年）</t>
        </is>
      </c>
      <c r="AG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H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I25" s="341" t="inlineStr">
        <is>
          <t>N/A</t>
        </is>
      </c>
      <c r="AJ25" s="341" t="inlineStr">
        <is>
          <t>N/A</t>
        </is>
      </c>
      <c r="AK25" s="341" t="inlineStr">
        <is>
          <t>部际联席会议制度；绩效评价；审计监督；监测评估</t>
        </is>
      </c>
      <c r="AL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M25" s="341" t="inlineStr">
        <is>
          <t>约谈；限期整改；扣减转移支付资金；追回补偿资金；行政处分；刑事追诉</t>
        </is>
      </c>
      <c r="AN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O25" s="341" t="inlineStr">
        <is>
          <t>生态管护公益岗位；专项债券；绿色金融；转移支付保障</t>
        </is>
      </c>
      <c r="AP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Q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R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5" s="341" t="inlineStr">
        <is>
          <t>A02</t>
        </is>
      </c>
      <c r="AT25" s="341" t="inlineStr">
        <is>
          <t>CO2</t>
        </is>
      </c>
      <c r="AU25" s="341" t="inlineStr">
        <is>
          <t>正向</t>
        </is>
      </c>
      <c r="AV25" s="341" t="inlineStr">
        <is>
          <t>生态保护；生物多样性保护；污染防治；适应气候变化</t>
        </is>
      </c>
      <c r="AW25" s="341" t="inlineStr">
        <is>
          <t>《中华人民共和国生态保护补偿条例》（国务院令第779号，2024年4月6日公布，自2024年6月1日起施行）</t>
        </is>
      </c>
      <c r="AX25" s="341" t="inlineStr">
        <is>
          <t>https://www.gov.cn/zhengce/content/202404/content_6944394.htm</t>
        </is>
      </c>
      <c r="AY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AZ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国家</t>
        </is>
      </c>
      <c r="N26" s="341" t="inlineStr">
        <is>
          <t>N/A</t>
        </is>
      </c>
      <c r="O26" s="341" t="inlineStr">
        <is>
          <t>19/11/2021</t>
        </is>
      </c>
      <c r="P26" s="341" t="inlineStr">
        <is>
          <t>19/11/2021</t>
        </is>
      </c>
      <c r="Q26" s="341" t="inlineStr">
        <is>
          <t>N/A</t>
        </is>
      </c>
      <c r="R26" s="341" t="inlineStr">
        <is>
          <t>N/A</t>
        </is>
      </c>
      <c r="S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T26" s="341">
        <f>IF(P26="","生效",IF(P26="N/A","生效",IF(TODAY()&lt;DATE(VALUE(RIGHT(P26,4)),VALUE(MID(P26,4,2)),VALUE(LEFT(P26,2))),"计划实施",IF(Q26="","生效",IF(Q26="N/A","生效",IF(TODAY()&lt;DATE(VALUE(RIGHT(Q26,4)),VALUE(MID(Q26,4,2)),VALUE(LEFT(Q26,2))),"生效","已终止"))))))</f>
        <v/>
      </c>
      <c r="U26" s="341" t="inlineStr">
        <is>
          <t>生态环境部；国家发展改革委；自然资源部；省级人民政府；市级人民政府</t>
        </is>
      </c>
      <c r="V26" s="341" t="inlineStr">
        <is>
          <t>土地</t>
        </is>
      </c>
      <c r="W26" s="341" t="inlineStr">
        <is>
          <t>既有</t>
        </is>
      </c>
      <c r="X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Y26" s="341" t="inlineStr">
        <is>
          <t>N/A</t>
        </is>
      </c>
      <c r="Z26" s="341" t="inlineStr">
        <is>
          <t>N/A</t>
        </is>
      </c>
      <c r="AA26" s="341" t="inlineStr">
        <is>
          <t>政府</t>
        </is>
      </c>
      <c r="AB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C26" s="341" t="inlineStr">
        <is>
          <t>生产；投资</t>
        </is>
      </c>
      <c r="AD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E26" s="341" t="inlineStr">
        <is>
          <t>全国划定约4万余个生态环境管控单元</t>
        </is>
      </c>
      <c r="AF26" s="341" t="inlineStr">
        <is>
          <t>生态环境管控单元数量（个）</t>
        </is>
      </c>
      <c r="AG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H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I26" s="341" t="inlineStr">
        <is>
          <t>N/A</t>
        </is>
      </c>
      <c r="AJ26" s="341" t="inlineStr">
        <is>
          <t>N/A</t>
        </is>
      </c>
      <c r="AK26" s="341" t="inlineStr">
        <is>
          <t>数据共享平台；跟踪评估；年度报告；卫星遥感动态监测；5年全面评估</t>
        </is>
      </c>
      <c r="AL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M26" s="341" t="inlineStr">
        <is>
          <t>撤销审批决定；行政处分；不予环评审批；约谈；限期整改</t>
        </is>
      </c>
      <c r="AN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O26" s="341" t="inlineStr">
        <is>
          <t>专项资金倾斜；技术培训；典型案例推广；公众查询开放；联动机制</t>
        </is>
      </c>
      <c r="AP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Q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R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S26" s="341" t="inlineStr">
        <is>
          <t>O84</t>
        </is>
      </c>
      <c r="AT26" s="341" t="inlineStr">
        <is>
          <t>CO2</t>
        </is>
      </c>
      <c r="AU26" s="341" t="inlineStr">
        <is>
          <t>正向</t>
        </is>
      </c>
      <c r="AV26" s="341" t="inlineStr">
        <is>
          <t>生态保护；生物多样性保护；污染防治；资源节约；产业发展；节能；适应气候变化</t>
        </is>
      </c>
      <c r="AW26" s="341" t="inlineStr">
        <is>
          <t>《关于实施“三线一单”生态环境分区管控的指导意见（试行）》（环环评〔2021〕108号）</t>
        </is>
      </c>
      <c r="AX26" s="341" t="inlineStr">
        <is>
          <t>https://www.mee.gov.cn/xxgk2018/xxgk/xxgk03/202111/t20211125_961692.html</t>
        </is>
      </c>
      <c r="AY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AZ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生态保护；减缓气候变化</t>
        </is>
      </c>
      <c r="L27" s="341" t="inlineStr">
        <is>
          <t>间接</t>
        </is>
      </c>
      <c r="M27" s="341" t="inlineStr">
        <is>
          <t>国家</t>
        </is>
      </c>
      <c r="N27" s="341" t="inlineStr">
        <is>
          <t>N/A</t>
        </is>
      </c>
      <c r="O27" s="341" t="inlineStr">
        <is>
          <t>23/07/2019</t>
        </is>
      </c>
      <c r="P27" s="341" t="inlineStr">
        <is>
          <t>23/07/2019</t>
        </is>
      </c>
      <c r="Q27" s="341" t="inlineStr">
        <is>
          <t>N/A</t>
        </is>
      </c>
      <c r="R27" s="341" t="inlineStr">
        <is>
          <t>N/A</t>
        </is>
      </c>
      <c r="S27" s="341" t="inlineStr">
        <is>
          <t>N/A</t>
        </is>
      </c>
      <c r="T27" s="341">
        <f>IF(P27="","生效",IF(P27="N/A","生效",IF(TODAY()&lt;DATE(VALUE(RIGHT(P27,4)),VALUE(MID(P27,4,2)),VALUE(LEFT(P27,2))),"计划实施",IF(Q27="","生效",IF(Q27="N/A","生效",IF(TODAY()&lt;DATE(VALUE(RIGHT(Q27,4)),VALUE(MID(Q27,4,2)),VALUE(LEFT(Q27,2))),"生效","已终止"))))))</f>
        <v/>
      </c>
      <c r="U27" s="341" t="inlineStr">
        <is>
          <t>国家林业和草原局；自然资源部；生态环境部</t>
        </is>
      </c>
      <c r="V27" s="341" t="inlineStr">
        <is>
          <t>天然林</t>
        </is>
      </c>
      <c r="W27" s="341" t="inlineStr">
        <is>
          <t>既有</t>
        </is>
      </c>
      <c r="X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Y27" s="341" t="inlineStr">
        <is>
          <t>N/A</t>
        </is>
      </c>
      <c r="Z27" s="341" t="inlineStr">
        <is>
          <t>N/A</t>
        </is>
      </c>
      <c r="AA27" s="341" t="inlineStr">
        <is>
          <t>企业；政府</t>
        </is>
      </c>
      <c r="AB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C27" s="341" t="inlineStr">
        <is>
          <t>保护或修复（生态系统）</t>
        </is>
      </c>
      <c r="AD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E27" s="341" t="inlineStr">
        <is>
          <t>N/A</t>
        </is>
      </c>
      <c r="AF27" s="341" t="inlineStr">
        <is>
          <t>N/A</t>
        </is>
      </c>
      <c r="AG27" s="341" t="inlineStr">
        <is>
          <t>N/A</t>
        </is>
      </c>
      <c r="AH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I27" s="341" t="inlineStr">
        <is>
          <t>N/A</t>
        </is>
      </c>
      <c r="AJ27" s="341" t="inlineStr">
        <is>
          <t>N/A</t>
        </is>
      </c>
      <c r="AK27" s="341" t="inlineStr">
        <is>
          <t>监督检查；监测评估；年度报告；绩效考核</t>
        </is>
      </c>
      <c r="AL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M27" s="341" t="inlineStr">
        <is>
          <t>行政处罚；罚款；刑事责任；绩效考核问责</t>
        </is>
      </c>
      <c r="AN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O27" s="341" t="inlineStr">
        <is>
          <t>中央财政补助；生态效益补偿；公益岗位</t>
        </is>
      </c>
      <c r="AP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Q27" s="341" t="inlineStr">
        <is>
          <t>覆盖全国天然林约2亿公顷（占森林总面积约64%）。中国林草植被碳储量约107.23亿吨，年碳汇量超过12亿吨CO₂（来源：国家林草局2024年发布；天然林系林草碳汇主要贡献组分）</t>
        </is>
      </c>
      <c r="AR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7" s="341" t="inlineStr">
        <is>
          <t>A02</t>
        </is>
      </c>
      <c r="AT27" s="341" t="inlineStr">
        <is>
          <t>CO2</t>
        </is>
      </c>
      <c r="AU27" s="341" t="inlineStr">
        <is>
          <t>正向</t>
        </is>
      </c>
      <c r="AV27" s="341" t="inlineStr">
        <is>
          <t>生态保护；生物多样性保护；适应气候变化</t>
        </is>
      </c>
      <c r="AW27" s="341" t="inlineStr">
        <is>
          <t>中共中央办公厅 国务院办公厅《天然林保护修复制度方案》</t>
        </is>
      </c>
      <c r="AX27" s="341" t="inlineStr">
        <is>
          <t>https://www.gov.cn/zhengce/2019-07/23/content_5413850.htm</t>
        </is>
      </c>
      <c r="AY27" s="341" t="inlineStr">
        <is>
          <t>《中华人民共和国森林法》：http://www.npc.gov.cn/npc/c2/c30834/201912/t20191228_304013.html</t>
        </is>
      </c>
      <c r="AZ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国家</t>
        </is>
      </c>
      <c r="N28" s="341" t="inlineStr">
        <is>
          <t>N/A</t>
        </is>
      </c>
      <c r="O28" s="341" t="inlineStr">
        <is>
          <t>12/03/2021</t>
        </is>
      </c>
      <c r="P28" s="341" t="inlineStr">
        <is>
          <t>12/03/2021</t>
        </is>
      </c>
      <c r="Q28" s="341" t="inlineStr">
        <is>
          <t>N/A</t>
        </is>
      </c>
      <c r="R28" s="341" t="inlineStr">
        <is>
          <t>N/A</t>
        </is>
      </c>
      <c r="S28" s="341" t="inlineStr">
        <is>
          <t>N/A</t>
        </is>
      </c>
      <c r="T28" s="341">
        <f>IF(P28="","生效",IF(P28="N/A","生效",IF(TODAY()&lt;DATE(VALUE(RIGHT(P28,4)),VALUE(MID(P28,4,2)),VALUE(LEFT(P28,2))),"计划实施",IF(Q28="","生效",IF(Q28="N/A","生效",IF(TODAY()&lt;DATE(VALUE(RIGHT(Q28,4)),VALUE(MID(Q28,4,2)),VALUE(LEFT(Q28,2))),"生效","已终止"))))))</f>
        <v/>
      </c>
      <c r="U28" s="341" t="inlineStr">
        <is>
          <t>国家林业和草原局；农业农村部；自然资源部</t>
        </is>
      </c>
      <c r="V28" s="341" t="inlineStr">
        <is>
          <t>草原</t>
        </is>
      </c>
      <c r="W28" s="341" t="inlineStr">
        <is>
          <t>既有</t>
        </is>
      </c>
      <c r="X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Y28" s="341" t="inlineStr">
        <is>
          <t>N/A</t>
        </is>
      </c>
      <c r="Z28" s="341" t="inlineStr">
        <is>
          <t>N/A</t>
        </is>
      </c>
      <c r="AA28" s="341" t="inlineStr">
        <is>
          <t>家庭；企业</t>
        </is>
      </c>
      <c r="AB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C28" s="341" t="inlineStr">
        <is>
          <t>保护或修复（生态系统）</t>
        </is>
      </c>
      <c r="AD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E28" s="341" t="inlineStr">
        <is>
          <t>N/A</t>
        </is>
      </c>
      <c r="AF28" s="341" t="inlineStr">
        <is>
          <t>N/A</t>
        </is>
      </c>
      <c r="AG28" s="341" t="inlineStr">
        <is>
          <t>N/A</t>
        </is>
      </c>
      <c r="AH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I28" s="341" t="inlineStr">
        <is>
          <t>N/A</t>
        </is>
      </c>
      <c r="AJ28" s="341" t="inlineStr">
        <is>
          <t>N/A</t>
        </is>
      </c>
      <c r="AK28" s="341" t="inlineStr">
        <is>
          <t>监督检查；监测评价；草畜平衡核查</t>
        </is>
      </c>
      <c r="AL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M28" s="341" t="inlineStr">
        <is>
          <t>行政处罚；罚款；责令整改；扣减草原生态补奖资金</t>
        </is>
      </c>
      <c r="AN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O28" s="341" t="inlineStr">
        <is>
          <t>草原生态保护补助奖励；中央财政补助</t>
        </is>
      </c>
      <c r="AP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Q28" s="341" t="inlineStr">
        <is>
          <t>覆盖全国草原约2.645亿公顷（约占国土面积27.5%；第三次全国国土调查数据）。中国林草年碳汇量合计超过12亿吨CO₂，草原植被和土壤是重要碳库组分（来源：国家林草局2024年发布）</t>
        </is>
      </c>
      <c r="AR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8" s="341" t="inlineStr">
        <is>
          <t>A01</t>
        </is>
      </c>
      <c r="AT28" s="341" t="inlineStr">
        <is>
          <t>CO2; CH4; N2O</t>
        </is>
      </c>
      <c r="AU28" s="341" t="inlineStr">
        <is>
          <t>正向</t>
        </is>
      </c>
      <c r="AV28" s="341" t="inlineStr">
        <is>
          <t>生态保护；生物多样性保护；适应气候变化</t>
        </is>
      </c>
      <c r="AW28" s="341" t="inlineStr">
        <is>
          <t>《国务院办公厅关于加强草原保护修复的若干意见》（国办发〔2021〕7号）</t>
        </is>
      </c>
      <c r="AX28" s="341" t="inlineStr">
        <is>
          <t>https://www.gov.cn/zhengce/content/2021-03/30/content_5596791.htm</t>
        </is>
      </c>
      <c r="AY28" s="341" t="inlineStr">
        <is>
          <t>《中华人民共和国草原法》：http://www.npc.gov.cn/npc/c1772/c21116/c21297/c21305/201905/t20190521_180532.html；2002年《国务院关于加强草原保护与建设的若干意见》（国发〔2002〕19号，旧版，已废止）：https://www.gov.cn/gongbao/content/2002/content_61781.htm</t>
        </is>
      </c>
      <c r="AZ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生态保护；减缓气候变化</t>
        </is>
      </c>
      <c r="L29" s="341" t="inlineStr">
        <is>
          <t>间接</t>
        </is>
      </c>
      <c r="M29" s="341" t="inlineStr">
        <is>
          <t>国家</t>
        </is>
      </c>
      <c r="N29" s="341" t="inlineStr">
        <is>
          <t>N/A</t>
        </is>
      </c>
      <c r="O29" s="341" t="inlineStr">
        <is>
          <t>28/11/2016</t>
        </is>
      </c>
      <c r="P29" s="341" t="inlineStr">
        <is>
          <t>28/11/2016</t>
        </is>
      </c>
      <c r="Q29" s="341" t="inlineStr">
        <is>
          <t>N/A</t>
        </is>
      </c>
      <c r="R29" s="341" t="inlineStr">
        <is>
          <t>24/12/2021</t>
        </is>
      </c>
      <c r="S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T29" s="341">
        <f>IF(P29="","生效",IF(P29="N/A","生效",IF(TODAY()&lt;DATE(VALUE(RIGHT(P29,4)),VALUE(MID(P29,4,2)),VALUE(LEFT(P29,2))),"计划实施",IF(Q29="","生效",IF(Q29="N/A","生效",IF(TODAY()&lt;DATE(VALUE(RIGHT(Q29,4)),VALUE(MID(Q29,4,2)),VALUE(LEFT(Q29,2))),"生效","已终止"))))))</f>
        <v/>
      </c>
      <c r="U29" s="341" t="inlineStr">
        <is>
          <t>国家林业和草原局；自然资源部；生态环境部</t>
        </is>
      </c>
      <c r="V29" s="341" t="inlineStr">
        <is>
          <t>湿地</t>
        </is>
      </c>
      <c r="W29" s="341" t="inlineStr">
        <is>
          <t>既有</t>
        </is>
      </c>
      <c r="X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Y29" s="341" t="inlineStr">
        <is>
          <t>N/A</t>
        </is>
      </c>
      <c r="Z29" s="341" t="inlineStr">
        <is>
          <t>N/A</t>
        </is>
      </c>
      <c r="AA29" s="341" t="inlineStr">
        <is>
          <t>企业；政府</t>
        </is>
      </c>
      <c r="AB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C29" s="341" t="inlineStr">
        <is>
          <t>保护或修复（生态系统）</t>
        </is>
      </c>
      <c r="AD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E29" s="341" t="inlineStr">
        <is>
          <t>N/A</t>
        </is>
      </c>
      <c r="AF29" s="341" t="inlineStr">
        <is>
          <t>N/A</t>
        </is>
      </c>
      <c r="AG29" s="341" t="inlineStr">
        <is>
          <t>N/A</t>
        </is>
      </c>
      <c r="AH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I29" s="341" t="inlineStr">
        <is>
          <t>N/A</t>
        </is>
      </c>
      <c r="AJ29" s="341" t="inlineStr">
        <is>
          <t>N/A</t>
        </is>
      </c>
      <c r="AK29" s="341" t="inlineStr">
        <is>
          <t>监督检查；遥感监测；年度报告</t>
        </is>
      </c>
      <c r="AL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M29" s="341" t="inlineStr">
        <is>
          <t>行政处罚；罚款；刑事责任；生态损害赔偿；约谈</t>
        </is>
      </c>
      <c r="AN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O29" s="341" t="inlineStr">
        <is>
          <t>中央财政湿地保护补助；生态补偿</t>
        </is>
      </c>
      <c r="AP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Q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R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S29" s="341" t="inlineStr">
        <is>
          <t>N/A</t>
        </is>
      </c>
      <c r="AT29" s="341" t="inlineStr">
        <is>
          <t>CO2; CH4</t>
        </is>
      </c>
      <c r="AU29" s="341" t="inlineStr">
        <is>
          <t>正向</t>
        </is>
      </c>
      <c r="AV29" s="341" t="inlineStr">
        <is>
          <t>生态保护；生物多样性保护；适应气候变化</t>
        </is>
      </c>
      <c r="AW29" s="341" t="inlineStr">
        <is>
          <t>《国务院办公厅关于印发湿地保护修复制度方案的通知》（国办发〔2016〕89号）</t>
        </is>
      </c>
      <c r="AX29" s="341" t="inlineStr">
        <is>
          <t>https://www.gov.cn/zhengce/content/2016-12/12/content_5146928.htm</t>
        </is>
      </c>
      <c r="AY29" s="341" t="inlineStr">
        <is>
          <t>《中华人民共和国湿地保护法》：http://www.npc.gov.cn/npc/c2/c30834/202112/t20211224_315589.html</t>
        </is>
      </c>
      <c r="AZ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能源效率；能源安全</t>
        </is>
      </c>
      <c r="L30" s="341" t="inlineStr">
        <is>
          <t>直接</t>
        </is>
      </c>
      <c r="M30" s="341" t="inlineStr">
        <is>
          <t>国家</t>
        </is>
      </c>
      <c r="N30" s="341" t="inlineStr">
        <is>
          <t>N/A</t>
        </is>
      </c>
      <c r="O30" s="341" t="inlineStr">
        <is>
          <t>20/12/2016</t>
        </is>
      </c>
      <c r="P30" s="341" t="inlineStr">
        <is>
          <t>20/12/2016</t>
        </is>
      </c>
      <c r="Q30" s="341" t="inlineStr">
        <is>
          <t>N/A</t>
        </is>
      </c>
      <c r="R30" s="341" t="inlineStr">
        <is>
          <t>11/09/2021</t>
        </is>
      </c>
      <c r="S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T30" s="341">
        <f>IF(P30="","生效",IF(P30="N/A","生效",IF(TODAY()&lt;DATE(VALUE(RIGHT(P30,4)),VALUE(MID(P30,4,2)),VALUE(LEFT(P30,2))),"计划实施",IF(Q30="","生效",IF(Q30="N/A","生效",IF(TODAY()&lt;DATE(VALUE(RIGHT(Q30,4)),VALUE(MID(Q30,4,2)),VALUE(LEFT(Q30,2))),"生效","已终止"))))))</f>
        <v/>
      </c>
      <c r="U30" s="341" t="inlineStr">
        <is>
          <t>国家发展和改革委员会；国务院；省级人民政府</t>
        </is>
      </c>
      <c r="V30" s="341" t="inlineStr">
        <is>
          <t>N/A</t>
        </is>
      </c>
      <c r="W30" s="341" t="inlineStr">
        <is>
          <t>N/A</t>
        </is>
      </c>
      <c r="X30" s="341" t="inlineStr">
        <is>
          <t>N/A</t>
        </is>
      </c>
      <c r="Y30" s="341" t="inlineStr">
        <is>
          <t>N/A</t>
        </is>
      </c>
      <c r="Z30" s="341" t="inlineStr">
        <is>
          <t>N/A</t>
        </is>
      </c>
      <c r="AA30" s="341" t="inlineStr">
        <is>
          <t>企业；政府</t>
        </is>
      </c>
      <c r="AB30" s="341" t="inlineStr">
        <is>
          <t>各省、自治区、直辖市人民政府对本行政区能源消费总量和强度控制负总责；年综合能源消费量达到限定标准的重点用能单位须履行节能目标责任。</t>
        </is>
      </c>
      <c r="AC30" s="341" t="inlineStr">
        <is>
          <t>消费（使用）</t>
        </is>
      </c>
      <c r="AD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E30" s="341" t="inlineStr">
        <is>
          <t>约束性指标，按五年规划期设定</t>
        </is>
      </c>
      <c r="AF30" s="341" t="inlineStr">
        <is>
          <t>吨标准煤（总量）；吨标准煤/万元GDP（强度）</t>
        </is>
      </c>
      <c r="AG30" s="341" t="inlineStr">
        <is>
          <t>“十三五”期间全国单位GDP能耗降低15%，能源消费总量控制在50亿吨标准煤以内；“十四五”期间全国单位GDP能耗降低13.5%。各省目标由国家发展改革委分解下达。</t>
        </is>
      </c>
      <c r="AH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I30" s="341" t="inlineStr">
        <is>
          <t>N/A</t>
        </is>
      </c>
      <c r="AJ30" s="341" t="inlineStr">
        <is>
          <t>N/A</t>
        </is>
      </c>
      <c r="AK30" s="341" t="inlineStr">
        <is>
          <t>目标责任评价考核；监测预警</t>
        </is>
      </c>
      <c r="AL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M30" s="341" t="inlineStr">
        <is>
          <t>目标责任考核；问责约谈；项目限批</t>
        </is>
      </c>
      <c r="AN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O30" s="341" t="inlineStr">
        <is>
          <t>其他激励或支持</t>
        </is>
      </c>
      <c r="AP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Q30" s="341" t="inlineStr">
        <is>
          <t>N/A</t>
        </is>
      </c>
      <c r="AR30" s="341" t="inlineStr">
        <is>
          <t>N/A</t>
        </is>
      </c>
      <c r="AS30" s="341" t="inlineStr">
        <is>
          <t>B05; B06; B07; B08; B09; C10; C11; C12; C13; C14; C15; C16; C17; C18; C19; C20; C21; C22; C23; C24; C25; C26; C27; C28; C29; C30; C31; C32; C33; D35; F41; F42; F43; H49</t>
        </is>
      </c>
      <c r="AT30" s="341" t="inlineStr">
        <is>
          <t>CO2</t>
        </is>
      </c>
      <c r="AU30" s="341" t="inlineStr">
        <is>
          <t>正向</t>
        </is>
      </c>
      <c r="AV30" s="341" t="inlineStr">
        <is>
          <t>节能；污染防治；能源安全</t>
        </is>
      </c>
      <c r="AW30" s="341" t="inlineStr">
        <is>
          <t>国务院关于印发“十三五”节能减排综合工作方案的通知</t>
        </is>
      </c>
      <c r="AX30" s="341" t="inlineStr">
        <is>
          <t>https://www.gov.cn/zhengce/content/2017-01/05/content_5156789.htm</t>
        </is>
      </c>
      <c r="AY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AZ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国家</t>
        </is>
      </c>
      <c r="N31" s="341" t="inlineStr">
        <is>
          <t>N/A</t>
        </is>
      </c>
      <c r="O31" s="341" t="inlineStr">
        <is>
          <t>30/07/2024</t>
        </is>
      </c>
      <c r="P31" s="341" t="inlineStr">
        <is>
          <t>30/07/2024</t>
        </is>
      </c>
      <c r="Q31" s="341" t="inlineStr">
        <is>
          <t>N/A</t>
        </is>
      </c>
      <c r="R31" s="341" t="inlineStr">
        <is>
          <t>N/A</t>
        </is>
      </c>
      <c r="S31" s="341" t="inlineStr">
        <is>
          <t>N/A</t>
        </is>
      </c>
      <c r="T31" s="341">
        <f>IF(P31="","生效",IF(P31="N/A","生效",IF(TODAY()&lt;DATE(VALUE(RIGHT(P31,4)),VALUE(MID(P31,4,2)),VALUE(LEFT(P31,2))),"计划实施",IF(Q31="","生效",IF(Q31="N/A","生效",IF(TODAY()&lt;DATE(VALUE(RIGHT(Q31,4)),VALUE(MID(Q31,4,2)),VALUE(LEFT(Q31,2))),"生效","已终止"))))))</f>
        <v/>
      </c>
      <c r="U31" s="341" t="inlineStr">
        <is>
          <t>国家发展和改革委员会；国务院；省级人民政府</t>
        </is>
      </c>
      <c r="V31" s="341" t="inlineStr">
        <is>
          <t>N/A</t>
        </is>
      </c>
      <c r="W31" s="341" t="inlineStr">
        <is>
          <t>N/A</t>
        </is>
      </c>
      <c r="X31" s="341" t="inlineStr">
        <is>
          <t>N/A</t>
        </is>
      </c>
      <c r="Y31" s="341" t="inlineStr">
        <is>
          <t>N/A</t>
        </is>
      </c>
      <c r="Z31" s="341" t="inlineStr">
        <is>
          <t>N/A</t>
        </is>
      </c>
      <c r="AA31" s="341" t="inlineStr">
        <is>
          <t>企业；政府</t>
        </is>
      </c>
      <c r="AB31" s="341" t="inlineStr">
        <is>
          <t>各省、自治区、直辖市人民政府对本行政区碳排放总量和强度控制负总责；年温室气体排放量达到限定标准的重点排放单位须履行碳排放控制目标责任。</t>
        </is>
      </c>
      <c r="AC31" s="341" t="inlineStr">
        <is>
          <t>生产</t>
        </is>
      </c>
      <c r="AD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E31" s="341" t="inlineStr">
        <is>
          <t>约束性指标，按五年规划期设定</t>
        </is>
      </c>
      <c r="AF31" s="341" t="inlineStr">
        <is>
          <t>吨CO₂（总量）；吨CO₂/万元GDP（强度）</t>
        </is>
      </c>
      <c r="AG31" s="341" t="inlineStr">
        <is>
          <t>“十五五”规划（2026—2030年）期间将以碳排放强度和总量双控替代能耗双控，具体指标数值由国家在“十五五”规划纲要中确定。过渡期内实行碳排放双控与能耗双控并行的弹性管理制度。</t>
        </is>
      </c>
      <c r="AH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I31" s="341" t="inlineStr">
        <is>
          <t>N/A</t>
        </is>
      </c>
      <c r="AJ31" s="341" t="inlineStr">
        <is>
          <t>N/A</t>
        </is>
      </c>
      <c r="AK31" s="341" t="inlineStr">
        <is>
          <t>目标责任评价考核；监测预警</t>
        </is>
      </c>
      <c r="AL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M31" s="341" t="inlineStr">
        <is>
          <t>目标责任考核；问责约谈；项目限批</t>
        </is>
      </c>
      <c r="AN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O31" s="341" t="inlineStr">
        <is>
          <t>其他激励或支持</t>
        </is>
      </c>
      <c r="AP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Q31" s="341" t="inlineStr">
        <is>
          <t>N/A</t>
        </is>
      </c>
      <c r="AR31" s="341" t="inlineStr">
        <is>
          <t>N/A</t>
        </is>
      </c>
      <c r="AS31" s="341" t="inlineStr">
        <is>
          <t>B05; B06; B07; B08; B09; C10; C11; C12; C13; C14; C15; C16; C17; C18; C19; C20; C21; C22; C23; C24; C25; C26; C27; C28; C29; C30; C31; C32; C33; D35; F41; F42; F43; H49</t>
        </is>
      </c>
      <c r="AT31" s="341" t="inlineStr">
        <is>
          <t>CO2</t>
        </is>
      </c>
      <c r="AU31" s="341" t="inlineStr">
        <is>
          <t>正向</t>
        </is>
      </c>
      <c r="AV31" s="341" t="inlineStr">
        <is>
          <t>节能；污染防治；技术创新；产业发展</t>
        </is>
      </c>
      <c r="AW31" s="341" t="inlineStr">
        <is>
          <t>国务院办公厅关于印发《加快构建碳排放双控制度体系工作方案》的通知</t>
        </is>
      </c>
      <c r="AX31" s="341" t="inlineStr">
        <is>
          <t>https://www.gov.cn/zhengce/content/202408/content_6966079.htm</t>
        </is>
      </c>
      <c r="AY31" s="341" t="inlineStr">
        <is>
          <t>《中共中央 国务院关于加快经济社会发展全面绿色转型的意见》（2024年7月）：https://www.gov.cn/zhengce/202408/content_6967663.htm</t>
        </is>
      </c>
      <c r="AZ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国家</t>
        </is>
      </c>
      <c r="N32" s="341" t="inlineStr">
        <is>
          <t>N/A</t>
        </is>
      </c>
      <c r="O32" s="341" t="inlineStr">
        <is>
          <t>12/04/2026</t>
        </is>
      </c>
      <c r="P32" s="341" t="inlineStr">
        <is>
          <t>12/04/2026</t>
        </is>
      </c>
      <c r="Q32" s="341" t="inlineStr">
        <is>
          <t>N/A</t>
        </is>
      </c>
      <c r="R32" s="341" t="inlineStr">
        <is>
          <t>N/A</t>
        </is>
      </c>
      <c r="S32" s="341" t="inlineStr">
        <is>
          <t>N/A</t>
        </is>
      </c>
      <c r="T32" s="341">
        <f>IF(P32="","生效",IF(P32="N/A","生效",IF(TODAY()&lt;DATE(VALUE(RIGHT(P32,4)),VALUE(MID(P32,4,2)),VALUE(LEFT(P32,2))),"计划实施",IF(Q32="","生效",IF(Q32="N/A","生效",IF(TODAY()&lt;DATE(VALUE(RIGHT(Q32,4)),VALUE(MID(Q32,4,2)),VALUE(LEFT(Q32,2))),"生效","已终止"))))))</f>
        <v/>
      </c>
      <c r="U32" s="341" t="inlineStr">
        <is>
          <t>中共中央组织部；国家发展和改革委员会；国务院；省级人民政府</t>
        </is>
      </c>
      <c r="V32" s="341" t="inlineStr">
        <is>
          <t>N/A</t>
        </is>
      </c>
      <c r="W32" s="341" t="inlineStr">
        <is>
          <t>N/A</t>
        </is>
      </c>
      <c r="X32" s="341" t="inlineStr">
        <is>
          <t>N/A</t>
        </is>
      </c>
      <c r="Y32" s="341" t="inlineStr">
        <is>
          <t>N/A</t>
        </is>
      </c>
      <c r="Z32" s="341" t="inlineStr">
        <is>
          <t>N/A</t>
        </is>
      </c>
      <c r="AA32" s="341" t="inlineStr">
        <is>
          <t>政府</t>
        </is>
      </c>
      <c r="AB32" s="341" t="inlineStr">
        <is>
          <t>各省、自治区、直辖市党委和政府对本行政区碳达峰碳中和目标任务完成情况负总责，实行党政同责、一岗双责。中央组织部统筹指导，国家发展改革委会同有关部门组织实施评价考核。</t>
        </is>
      </c>
      <c r="AC32" s="341" t="inlineStr">
        <is>
          <t>生产</t>
        </is>
      </c>
      <c r="AD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E32" s="341" t="inlineStr">
        <is>
          <t>约束性指标，按年度设定</t>
        </is>
      </c>
      <c r="AF32" s="341" t="inlineStr">
        <is>
          <t>5项控制指标+9项支撑指标；等次：优秀、合格、不合格</t>
        </is>
      </c>
      <c r="AG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H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I32" s="341" t="inlineStr">
        <is>
          <t>N/A</t>
        </is>
      </c>
      <c r="AJ32" s="341" t="inlineStr">
        <is>
          <t>N/A</t>
        </is>
      </c>
      <c r="AK32" s="341" t="inlineStr">
        <is>
          <t>目标责任评价考核；监测预警</t>
        </is>
      </c>
      <c r="AL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M32" s="341" t="inlineStr">
        <is>
          <t>目标责任考核；问责约谈</t>
        </is>
      </c>
      <c r="AN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O32" s="341" t="inlineStr">
        <is>
          <t>其他激励或支持</t>
        </is>
      </c>
      <c r="AP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Q32" s="341" t="inlineStr">
        <is>
          <t>N/A</t>
        </is>
      </c>
      <c r="AR32" s="341" t="inlineStr">
        <is>
          <t>N/A</t>
        </is>
      </c>
      <c r="AS32" s="341" t="inlineStr">
        <is>
          <t>B05; B06; B07; B08; B09; C10; C11; C12; C13; C14; C15; C16; C17; C18; C19; C20; C21; C22; C23; C24; C25; C26; C27; C28; C29; C30; C31; C32; C33; D35; F41; F42; F43; H49</t>
        </is>
      </c>
      <c r="AT32" s="341" t="inlineStr">
        <is>
          <t>CO2</t>
        </is>
      </c>
      <c r="AU32" s="341" t="inlineStr">
        <is>
          <t>正向</t>
        </is>
      </c>
      <c r="AV32" s="341" t="inlineStr">
        <is>
          <t>节能；污染防治；技术创新；产业发展；能源安全；可再生能源发展；生态保护</t>
        </is>
      </c>
      <c r="AW32" s="341" t="inlineStr">
        <is>
          <t>中共中央办公厅 国务院办公厅关于印发《碳达峰碳中和综合评价考核办法》的通知</t>
        </is>
      </c>
      <c r="AX32" s="341" t="inlineStr">
        <is>
          <t>https://www.gov.cn/zhengce/202604/content_7066695.htm</t>
        </is>
      </c>
      <c r="AY32" s="341" t="inlineStr">
        <is>
          <t>国家发展改革委有关负责同志就《碳达峰碳中和综合评价考核办法》答记者问：https://www.ndrc.gov.cn/xxgk/jd/jd/202604/t20260423_1404856_ext.html</t>
        </is>
      </c>
      <c r="AZ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国家</t>
        </is>
      </c>
      <c r="N33" s="341" t="inlineStr">
        <is>
          <t>N/A</t>
        </is>
      </c>
      <c r="O33" s="341" t="inlineStr">
        <is>
          <t>29/06/2022</t>
        </is>
      </c>
      <c r="P33" s="341" t="inlineStr">
        <is>
          <t>01/08/2022</t>
        </is>
      </c>
      <c r="Q33" s="341" t="inlineStr">
        <is>
          <t>N/A</t>
        </is>
      </c>
      <c r="R33" s="341" t="inlineStr">
        <is>
          <t>N/A</t>
        </is>
      </c>
      <c r="S33" s="341" t="inlineStr">
        <is>
          <t>N/A</t>
        </is>
      </c>
      <c r="T33" s="341">
        <f>IF(P33="","生效",IF(P33="N/A","生效",IF(TODAY()&lt;DATE(VALUE(RIGHT(P33,4)),VALUE(MID(P33,4,2)),VALUE(LEFT(P33,2))),"计划实施",IF(Q33="","生效",IF(Q33="N/A","生效",IF(TODAY()&lt;DATE(VALUE(RIGHT(Q33,4)),VALUE(MID(Q33,4,2)),VALUE(LEFT(Q33,2))),"生效","已终止"))))))</f>
        <v/>
      </c>
      <c r="U33" s="341" t="inlineStr">
        <is>
          <t>国务院国有资产监督管理委员会</t>
        </is>
      </c>
      <c r="V33" s="341" t="inlineStr">
        <is>
          <t>N/A</t>
        </is>
      </c>
      <c r="W33" s="341" t="inlineStr">
        <is>
          <t>N/A</t>
        </is>
      </c>
      <c r="X33" s="341" t="inlineStr">
        <is>
          <t>N/A</t>
        </is>
      </c>
      <c r="Y33" s="341" t="inlineStr">
        <is>
          <t>N/A</t>
        </is>
      </c>
      <c r="Z33" s="341" t="inlineStr">
        <is>
          <t>N/A</t>
        </is>
      </c>
      <c r="AA33" s="341" t="inlineStr">
        <is>
          <t>企业</t>
        </is>
      </c>
      <c r="AB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C33" s="341" t="inlineStr">
        <is>
          <t>生产；消费（使用）</t>
        </is>
      </c>
      <c r="AD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E33" s="341" t="inlineStr">
        <is>
          <t>三类分类管理，动态调整</t>
        </is>
      </c>
      <c r="AF33" s="341" t="inlineStr">
        <is>
          <t>企业类别（第一类、第二类、第三类）</t>
        </is>
      </c>
      <c r="AG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H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I33" s="341" t="inlineStr">
        <is>
          <t>N/A</t>
        </is>
      </c>
      <c r="AJ33" s="341" t="inlineStr">
        <is>
          <t>N/A</t>
        </is>
      </c>
      <c r="AK33" s="341" t="inlineStr">
        <is>
          <t>目标责任评价考核；监测预警</t>
        </is>
      </c>
      <c r="AL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M33" s="341" t="inlineStr">
        <is>
          <t>目标责任考核</t>
        </is>
      </c>
      <c r="AN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O33" s="341" t="inlineStr">
        <is>
          <t>其他激励或支持</t>
        </is>
      </c>
      <c r="AP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Q33" s="341" t="inlineStr">
        <is>
          <t>N/A</t>
        </is>
      </c>
      <c r="AR33" s="341" t="inlineStr">
        <is>
          <t>N/A</t>
        </is>
      </c>
      <c r="AS33" s="341" t="inlineStr">
        <is>
          <t>B05; B06; B07; B08; B09; C10; C11; C12; C13; C14; C15; C16; C17; C18; C19; C20; C21; C22; C23; C24; C25; C26; C27; C28; C29; C30; C31; C32; C33; D35; F41; F42; F43; H49</t>
        </is>
      </c>
      <c r="AT33" s="341" t="inlineStr">
        <is>
          <t>CO2</t>
        </is>
      </c>
      <c r="AU33" s="341" t="inlineStr">
        <is>
          <t>正向</t>
        </is>
      </c>
      <c r="AV33" s="341" t="inlineStr">
        <is>
          <t>节能；污染防治；技术创新；产业发展；能源安全；生态保护</t>
        </is>
      </c>
      <c r="AW33" s="341" t="inlineStr">
        <is>
          <t>《中央企业节约能源与生态环境保护监督管理办法》（国务院国资委令第41号）</t>
        </is>
      </c>
      <c r="AX33" s="341" t="inlineStr">
        <is>
          <t>https://www.gov.cn/zhengce/2022-08/03/content_5718613.htm</t>
        </is>
      </c>
      <c r="AY33" s="341" t="inlineStr">
        <is>
          <t>《中央企业节能减排监督管理暂行办法》（国资委令第23号，已废止）：https://www.gov.cn/gongbao/content/2010/content_1705528.htm</t>
        </is>
      </c>
      <c r="AZ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t>
        </is>
      </c>
      <c r="L34" s="341" t="inlineStr">
        <is>
          <t>直接</t>
        </is>
      </c>
      <c r="M34" s="341" t="inlineStr">
        <is>
          <t>国家</t>
        </is>
      </c>
      <c r="N34" s="341" t="inlineStr">
        <is>
          <t>N/A</t>
        </is>
      </c>
      <c r="O34" s="341" t="inlineStr">
        <is>
          <t>01/04/2008</t>
        </is>
      </c>
      <c r="P34" s="341" t="inlineStr">
        <is>
          <t>01/11/2008</t>
        </is>
      </c>
      <c r="Q34" s="341" t="inlineStr">
        <is>
          <t>N/A</t>
        </is>
      </c>
      <c r="R34" s="341" t="inlineStr">
        <is>
          <t>29/12/2022</t>
        </is>
      </c>
      <c r="S34" s="341" t="inlineStr">
        <is>
          <t>2022年12月29日发布GB 21518-2022替代GB 21518-2008，扩大适用范围（6A~630A），提高各级能效指标</t>
        </is>
      </c>
      <c r="T34" s="341">
        <f>IF(P34="","生效",IF(P34="N/A","生效",IF(TODAY()&lt;DATE(VALUE(RIGHT(P34,4)),VALUE(MID(P34,4,2)),VALUE(LEFT(P34,2))),"计划实施",IF(Q34="","生效",IF(Q34="N/A","生效",IF(TODAY()&lt;DATE(VALUE(RIGHT(Q34,4)),VALUE(MID(Q34,4,2)),VALUE(LEFT(Q34,2))),"生效","已终止"))))))</f>
        <v/>
      </c>
      <c r="U34" s="341" t="inlineStr">
        <is>
          <t>国家市场监督管理总局；国家标准化管理委员会</t>
        </is>
      </c>
      <c r="V34" s="341" t="inlineStr">
        <is>
          <t>交流接触器</t>
        </is>
      </c>
      <c r="W34" s="341" t="inlineStr">
        <is>
          <t>新建</t>
        </is>
      </c>
      <c r="X34" s="341" t="inlineStr">
        <is>
          <t>额定频率50Hz、主电路额定工作电压1000V及以下、额定工作电流6A~630A、使用类别AC-3的三极机电式直动式整体式交流接触器。不适用于外加节电装置、家用接触器及半导体接触器（固态接触器）。</t>
        </is>
      </c>
      <c r="Y34" s="341" t="inlineStr">
        <is>
          <t>N/A</t>
        </is>
      </c>
      <c r="Z34" s="341" t="inlineStr">
        <is>
          <t>N/A</t>
        </is>
      </c>
      <c r="AA34" s="341" t="inlineStr">
        <is>
          <t>企业</t>
        </is>
      </c>
      <c r="AB34" s="341" t="inlineStr">
        <is>
          <t>在中国境内生产、进口或销售交流接触器产品的生产企业和进口商。</t>
        </is>
      </c>
      <c r="AC34" s="341" t="inlineStr">
        <is>
          <t>生产；销售；进口</t>
        </is>
      </c>
      <c r="AD34" s="341" t="inlineStr">
        <is>
          <t>交流接触器产品的生产、进口和销售活动。产品须达到标准规定的能效限定值（3级）方可进入市场。</t>
        </is>
      </c>
      <c r="AE34" s="341" t="inlineStr">
        <is>
          <t>3级</t>
        </is>
      </c>
      <c r="AF34" s="341" t="inlineStr">
        <is>
          <t>能效等级</t>
        </is>
      </c>
      <c r="AG34" s="341" t="inlineStr">
        <is>
          <t>交流接触器能效等级分为3级（1级最高），3级为能效限定值即市场准入最低要求。吸持功率（VA）按额定工作电流分级：6A~12A: 1级≤2.5W, 3级（限定值）≤4.0W；&gt;12A~32A: 1级≤3.5W, 3级≤6.0W；&gt;32A~100A: 1级≤6.0W, 3级≤11.0W；&gt;100A~630A: 1级≤14.0W, 3级≤28.0W。</t>
        </is>
      </c>
      <c r="AH34" s="341" t="inlineStr">
        <is>
          <t>1）交流接触器须达到标准规定的能效限定值（3级）方可生产、进口或销售；2）产品须标注能效等级标识；3）能效等级分为1级（最高）、2级、3级，3级为市场准入最低要求。</t>
        </is>
      </c>
      <c r="AI34" s="341" t="inlineStr">
        <is>
          <t>N/A</t>
        </is>
      </c>
      <c r="AJ34" s="341" t="inlineStr">
        <is>
          <t>N/A</t>
        </is>
      </c>
      <c r="AK34" s="341" t="inlineStr">
        <is>
          <t>政府机构开展的监督检查</t>
        </is>
      </c>
      <c r="AL34" s="341" t="inlineStr">
        <is>
          <t>市场监督管理部门对交流接触器产品进行能效标识监督检查和产品质量监督抽查。</t>
        </is>
      </c>
      <c r="AM34" s="341" t="inlineStr">
        <is>
          <t>合规命令；罚款</t>
        </is>
      </c>
      <c r="AN34" s="341" t="inlineStr">
        <is>
          <t>对生产、进口、销售不符合强制性能效标准的交流接触器产品的，由市场监督管理部门责令停止生产、进口、销售，没收违法所得，并处罚款；情节严重的，吊销营业执照。</t>
        </is>
      </c>
      <c r="AO34" s="341" t="inlineStr">
        <is>
          <t>其他激励或支持</t>
        </is>
      </c>
      <c r="AP34" s="341" t="inlineStr">
        <is>
          <t>国家鼓励生产和使用1级、2级高效交流接触器；通过节能产品认证引导高效低压电器市场推广。</t>
        </is>
      </c>
      <c r="AQ34" s="341" t="inlineStr">
        <is>
          <t>N/A</t>
        </is>
      </c>
      <c r="AR34" s="341" t="inlineStr">
        <is>
          <t>N/A</t>
        </is>
      </c>
      <c r="AS34" s="341" t="inlineStr">
        <is>
          <t>C27</t>
        </is>
      </c>
      <c r="AT34" s="341" t="inlineStr">
        <is>
          <t>CO2</t>
        </is>
      </c>
      <c r="AU34" s="341" t="inlineStr">
        <is>
          <t>正向</t>
        </is>
      </c>
      <c r="AV34" s="341" t="inlineStr">
        <is>
          <t>节能；产业发展</t>
        </is>
      </c>
      <c r="AW34" s="341" t="inlineStr">
        <is>
          <t>GB 21518-2022 交流接触器能效限定值及能效等级</t>
        </is>
      </c>
      <c r="AX34" s="341" t="inlineStr">
        <is>
          <t>https://openstd.samr.gov.cn/bzgk/std/newGbInfo?hcno=2E80B4EFF3711392207A4185EB7B7911</t>
        </is>
      </c>
      <c r="AY34" s="341" t="inlineStr">
        <is>
          <t>N/A</t>
        </is>
      </c>
      <c r="AZ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t>
        </is>
      </c>
      <c r="L35" s="341" t="inlineStr">
        <is>
          <t>直接</t>
        </is>
      </c>
      <c r="M35" s="341" t="inlineStr">
        <is>
          <t>国家</t>
        </is>
      </c>
      <c r="N35" s="341" t="inlineStr">
        <is>
          <t>N/A</t>
        </is>
      </c>
      <c r="O35" s="341" t="inlineStr">
        <is>
          <t>01/06/2021</t>
        </is>
      </c>
      <c r="P35" s="341" t="inlineStr">
        <is>
          <t>01/06/2021</t>
        </is>
      </c>
      <c r="Q35" s="341" t="inlineStr">
        <is>
          <t>N/A</t>
        </is>
      </c>
      <c r="R35" s="341" t="inlineStr">
        <is>
          <t>29/04/2024</t>
        </is>
      </c>
      <c r="S35" s="341" t="inlineStr">
        <is>
          <t>2024年4月29日发布GB 20052-2024替代GB 20052-2020，扩展适用范围至新能源发电侧变压器，提高各级能效指标</t>
        </is>
      </c>
      <c r="T35" s="341">
        <f>IF(P35="","生效",IF(P35="N/A","生效",IF(TODAY()&lt;DATE(VALUE(RIGHT(P35,4)),VALUE(MID(P35,4,2)),VALUE(LEFT(P35,2))),"计划实施",IF(Q35="","生效",IF(Q35="N/A","生效",IF(TODAY()&lt;DATE(VALUE(RIGHT(Q35,4)),VALUE(MID(Q35,4,2)),VALUE(LEFT(Q35,2))),"生效","已终止"))))))</f>
        <v/>
      </c>
      <c r="U35" s="341" t="inlineStr">
        <is>
          <t>国家市场监督管理总局；国家标准化管理委员会</t>
        </is>
      </c>
      <c r="V35" s="341" t="inlineStr">
        <is>
          <t>电力变压器</t>
        </is>
      </c>
      <c r="W35" s="341" t="inlineStr">
        <is>
          <t>新建</t>
        </is>
      </c>
      <c r="X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Y35" s="341" t="inlineStr">
        <is>
          <t>N/A</t>
        </is>
      </c>
      <c r="Z35" s="341" t="inlineStr">
        <is>
          <t>N/A</t>
        </is>
      </c>
      <c r="AA35" s="341" t="inlineStr">
        <is>
          <t>企业</t>
        </is>
      </c>
      <c r="AB35" s="341" t="inlineStr">
        <is>
          <t>在中国境内生产、进口或销售电力变压器产品的生产企业和进口商。</t>
        </is>
      </c>
      <c r="AC35" s="341" t="inlineStr">
        <is>
          <t>生产；销售；进口</t>
        </is>
      </c>
      <c r="AD35" s="341" t="inlineStr">
        <is>
          <t>电力变压器产品的生产、进口和销售活动。产品须达到标准规定的能效限定值方可进入市场。</t>
        </is>
      </c>
      <c r="AE35" s="341" t="inlineStr">
        <is>
          <t>3级</t>
        </is>
      </c>
      <c r="AF35" s="341" t="inlineStr">
        <is>
          <t>能效等级</t>
        </is>
      </c>
      <c r="AG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H35" s="341" t="inlineStr">
        <is>
          <t>1）电力变压器须达到标准规定的能效限定值（3级）方可生产、进口或销售；2）产品须标注能效等级标识；3）能效等级分为1级、2级、3级，3级为市场准入最低要求。</t>
        </is>
      </c>
      <c r="AI35" s="341" t="inlineStr">
        <is>
          <t>N/A</t>
        </is>
      </c>
      <c r="AJ35" s="341" t="inlineStr">
        <is>
          <t>N/A</t>
        </is>
      </c>
      <c r="AK35" s="341" t="inlineStr">
        <is>
          <t>政府机构开展的监督检查</t>
        </is>
      </c>
      <c r="AL35" s="341" t="inlineStr">
        <is>
          <t>市场监督管理部门对电力变压器产品进行能效标识监督检查和产品质量监督抽查。国家发展改革委、工业和信息化部对电网企业采购变压器能效水平进行监督检查。</t>
        </is>
      </c>
      <c r="AM35" s="341" t="inlineStr">
        <is>
          <t>合规命令；罚款</t>
        </is>
      </c>
      <c r="AN35" s="341" t="inlineStr">
        <is>
          <t>对生产、进口、销售不符合强制性能效标准的电力变压器产品的，由市场监督管理部门责令停止生产、进口、销售，没收违法所得，并处罚款；情节严重的，吊销营业执照。</t>
        </is>
      </c>
      <c r="AO35" s="341" t="inlineStr">
        <is>
          <t>其他激励或支持</t>
        </is>
      </c>
      <c r="AP35" s="341" t="inlineStr">
        <is>
          <t>国家通过《变压器能效提升计划（2021-2023年）》等政策，要求在运变压器逐步替换为高效变压器；鼓励电网企业优先采购1级、2级高效变压器。</t>
        </is>
      </c>
      <c r="AQ35" s="341" t="inlineStr">
        <is>
          <t>N/A</t>
        </is>
      </c>
      <c r="AR35" s="341" t="inlineStr">
        <is>
          <t>N/A</t>
        </is>
      </c>
      <c r="AS35" s="341" t="inlineStr">
        <is>
          <t>C27; D35</t>
        </is>
      </c>
      <c r="AT35" s="341" t="inlineStr">
        <is>
          <t>CO2</t>
        </is>
      </c>
      <c r="AU35" s="341" t="inlineStr">
        <is>
          <t>正向</t>
        </is>
      </c>
      <c r="AV35" s="341" t="inlineStr">
        <is>
          <t>节能；产业发展</t>
        </is>
      </c>
      <c r="AW35" s="341" t="inlineStr">
        <is>
          <t>GB 20052-2024 电力变压器能效限定值及能效等级</t>
        </is>
      </c>
      <c r="AX35" s="341" t="inlineStr">
        <is>
          <t>https://openstd.samr.gov.cn/bzgk/std/newGbInfo?hcno=B0CE4A3FBCC4501211A25E3E10F75498</t>
        </is>
      </c>
      <c r="AY35" s="341" t="inlineStr">
        <is>
          <t>N/A</t>
        </is>
      </c>
      <c r="AZ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t>
        </is>
      </c>
      <c r="L36" s="341" t="inlineStr">
        <is>
          <t>直接</t>
        </is>
      </c>
      <c r="M36" s="341" t="inlineStr">
        <is>
          <t>国家</t>
        </is>
      </c>
      <c r="N36" s="341" t="inlineStr">
        <is>
          <t>N/A</t>
        </is>
      </c>
      <c r="O36" s="341" t="inlineStr">
        <is>
          <t>28/12/2023</t>
        </is>
      </c>
      <c r="P36" s="341" t="inlineStr">
        <is>
          <t>01/01/2025</t>
        </is>
      </c>
      <c r="Q36" s="341" t="inlineStr">
        <is>
          <t>N/A</t>
        </is>
      </c>
      <c r="R36" s="341" t="inlineStr">
        <is>
          <t>N/A</t>
        </is>
      </c>
      <c r="S36" s="341" t="inlineStr">
        <is>
          <t>N/A</t>
        </is>
      </c>
      <c r="T36" s="341">
        <f>IF(P36="","生效",IF(P36="N/A","生效",IF(TODAY()&lt;DATE(VALUE(RIGHT(P36,4)),VALUE(MID(P36,4,2)),VALUE(LEFT(P36,2))),"计划实施",IF(Q36="","生效",IF(Q36="N/A","生效",IF(TODAY()&lt;DATE(VALUE(RIGHT(Q36,4)),VALUE(MID(Q36,4,2)),VALUE(LEFT(Q36,2))),"生效","已终止"))))))</f>
        <v/>
      </c>
      <c r="U36" s="341" t="inlineStr">
        <is>
          <t>国家市场监督管理总局；国家标准化管理委员会</t>
        </is>
      </c>
      <c r="V36" s="341" t="inlineStr">
        <is>
          <t>塔式和机架式服务器</t>
        </is>
      </c>
      <c r="W36" s="341" t="inlineStr">
        <is>
          <t>新建</t>
        </is>
      </c>
      <c r="X36" s="341" t="inlineStr">
        <is>
          <t>1路和2路普通用途的塔式和机架式服务器。不适用于仅配有辅助处理加速器的服务器。</t>
        </is>
      </c>
      <c r="Y36" s="341" t="inlineStr">
        <is>
          <t>N/A</t>
        </is>
      </c>
      <c r="Z36" s="341" t="inlineStr">
        <is>
          <t>N/A</t>
        </is>
      </c>
      <c r="AA36" s="341" t="inlineStr">
        <is>
          <t>企业</t>
        </is>
      </c>
      <c r="AB36" s="341" t="inlineStr">
        <is>
          <t>在中国境内生产、进口或销售服务器产品的生产企业和进口商。</t>
        </is>
      </c>
      <c r="AC36" s="341" t="inlineStr">
        <is>
          <t>生产；销售；进口</t>
        </is>
      </c>
      <c r="AD36" s="341" t="inlineStr">
        <is>
          <t>服务器产品的生产、进口和销售活动。产品须达到标准规定的能效限定值方可进入市场。</t>
        </is>
      </c>
      <c r="AE36" s="341" t="inlineStr">
        <is>
          <t>3级</t>
        </is>
      </c>
      <c r="AF36" s="341" t="inlineStr">
        <is>
          <t>能效等级</t>
        </is>
      </c>
      <c r="AG36" s="341" t="inlineStr">
        <is>
          <t>服务器能效等级分为3级（1级最高），3级为能效限定值即市场准入最低要求。评价指标综合考虑服务器在空闲状态和满载状态下的功耗，以及服务器能效指数（SEE）。</t>
        </is>
      </c>
      <c r="AH36" s="341" t="inlineStr">
        <is>
          <t>1）塔式和机架式服务器须达到标准规定的能效限定值（3级）方可生产、进口或销售；2）产品须标注能效等级标识；3）能效等级分为1级、2级、3级，3级为市场准入最低要求。</t>
        </is>
      </c>
      <c r="AI36" s="341" t="inlineStr">
        <is>
          <t>N/A</t>
        </is>
      </c>
      <c r="AJ36" s="341" t="inlineStr">
        <is>
          <t>N/A</t>
        </is>
      </c>
      <c r="AK36" s="341" t="inlineStr">
        <is>
          <t>政府机构开展的监督检查</t>
        </is>
      </c>
      <c r="AL36" s="341" t="inlineStr">
        <is>
          <t>市场监督管理部门对服务器产品进行能效标识监督检查和产品质量监督抽查。</t>
        </is>
      </c>
      <c r="AM36" s="341" t="inlineStr">
        <is>
          <t>合规命令；罚款</t>
        </is>
      </c>
      <c r="AN36" s="341" t="inlineStr">
        <is>
          <t>对生产、进口、销售不符合强制性能效标准的服务器产品的，由市场监督管理部门责令停止生产、进口、销售，没收违法所得，并处罚款；情节严重的，吊销营业执照。</t>
        </is>
      </c>
      <c r="AO36" s="341" t="inlineStr">
        <is>
          <t>其他激励或支持</t>
        </is>
      </c>
      <c r="AP36" s="341" t="inlineStr">
        <is>
          <t>国家鼓励采购和使用1级、2级高效服务器；通过绿色数据中心建设、政府绿色采购等措施引导高效IT设备市场推广。</t>
        </is>
      </c>
      <c r="AQ36" s="341" t="inlineStr">
        <is>
          <t>N/A</t>
        </is>
      </c>
      <c r="AR36" s="341" t="inlineStr">
        <is>
          <t>N/A</t>
        </is>
      </c>
      <c r="AS36" s="341" t="inlineStr">
        <is>
          <t>C26; J63</t>
        </is>
      </c>
      <c r="AT36" s="341" t="inlineStr">
        <is>
          <t>CO2</t>
        </is>
      </c>
      <c r="AU36" s="341" t="inlineStr">
        <is>
          <t>正向</t>
        </is>
      </c>
      <c r="AV36" s="341" t="inlineStr">
        <is>
          <t>节能；技术创新；产业发展</t>
        </is>
      </c>
      <c r="AW36" s="341" t="inlineStr">
        <is>
          <t>GB 43630-2023 塔式和机架式服务器能效限定值及能效等级</t>
        </is>
      </c>
      <c r="AX36" s="341" t="inlineStr">
        <is>
          <t>https://openstd.samr.gov.cn/bzgk/gb/newGbInfo?hcno=0CBABD8219F6CFB2F54A520081119867</t>
        </is>
      </c>
      <c r="AY36" s="341" t="inlineStr">
        <is>
          <t>N/A</t>
        </is>
      </c>
      <c r="AZ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t>
        </is>
      </c>
      <c r="L37" s="341" t="inlineStr">
        <is>
          <t>直接</t>
        </is>
      </c>
      <c r="M37" s="341" t="inlineStr">
        <is>
          <t>国家</t>
        </is>
      </c>
      <c r="N37" s="341" t="inlineStr">
        <is>
          <t>N/A</t>
        </is>
      </c>
      <c r="O37" s="341" t="inlineStr">
        <is>
          <t>29/06/2015</t>
        </is>
      </c>
      <c r="P37" s="341" t="inlineStr">
        <is>
          <t>01/06/2016</t>
        </is>
      </c>
      <c r="Q37" s="341" t="inlineStr">
        <is>
          <t>N/A</t>
        </is>
      </c>
      <c r="R37" s="341" t="inlineStr">
        <is>
          <t>23/05/2023</t>
        </is>
      </c>
      <c r="S37" s="341" t="inlineStr">
        <is>
          <t>2023年5月23日发布GB 21520-2023替代GB 21520-2015，扩展适用范围至OLED和LED一体化显示终端，提高各级能效指标</t>
        </is>
      </c>
      <c r="T37" s="341">
        <f>IF(P37="","生效",IF(P37="N/A","生效",IF(TODAY()&lt;DATE(VALUE(RIGHT(P37,4)),VALUE(MID(P37,4,2)),VALUE(LEFT(P37,2))),"计划实施",IF(Q37="","生效",IF(Q37="N/A","生效",IF(TODAY()&lt;DATE(VALUE(RIGHT(Q37,4)),VALUE(MID(Q37,4,2)),VALUE(LEFT(Q37,2))),"生效","已终止"))))))</f>
        <v/>
      </c>
      <c r="U37" s="341" t="inlineStr">
        <is>
          <t>国家市场监督管理总局；国家标准化管理委员会</t>
        </is>
      </c>
      <c r="V37" s="341" t="inlineStr">
        <is>
          <t>显示器</t>
        </is>
      </c>
      <c r="W37" s="341" t="inlineStr">
        <is>
          <t>新建</t>
        </is>
      </c>
      <c r="X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Y37" s="341" t="inlineStr">
        <is>
          <t>N/A</t>
        </is>
      </c>
      <c r="Z37" s="341" t="inlineStr">
        <is>
          <t>N/A</t>
        </is>
      </c>
      <c r="AA37" s="341" t="inlineStr">
        <is>
          <t>企业</t>
        </is>
      </c>
      <c r="AB37" s="341" t="inlineStr">
        <is>
          <t>在中国境内生产、进口或销售显示器产品的生产企业和进口商。</t>
        </is>
      </c>
      <c r="AC37" s="341" t="inlineStr">
        <is>
          <t>生产；销售；进口</t>
        </is>
      </c>
      <c r="AD37" s="341" t="inlineStr">
        <is>
          <t>显示器产品的生产、进口和销售活动。产品须达到标准规定的能效限定值方可进入市场。</t>
        </is>
      </c>
      <c r="AE37" s="341" t="inlineStr">
        <is>
          <t>3级</t>
        </is>
      </c>
      <c r="AF37" s="341" t="inlineStr">
        <is>
          <t>能效等级</t>
        </is>
      </c>
      <c r="AG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H37" s="341" t="inlineStr">
        <is>
          <t>1）显示器须达到标准规定的能效限定值（3级）方可生产、进口或销售；2）产品须标注能效等级标识；3）能效等级分为1级、2级、3级，3级为市场准入最低要求。</t>
        </is>
      </c>
      <c r="AI37" s="341" t="inlineStr">
        <is>
          <t>N/A</t>
        </is>
      </c>
      <c r="AJ37" s="341" t="inlineStr">
        <is>
          <t>N/A</t>
        </is>
      </c>
      <c r="AK37" s="341" t="inlineStr">
        <is>
          <t>政府机构开展的监督检查</t>
        </is>
      </c>
      <c r="AL37" s="341" t="inlineStr">
        <is>
          <t>市场监督管理部门对显示器产品进行能效标识监督检查和产品质量监督抽查。</t>
        </is>
      </c>
      <c r="AM37" s="341" t="inlineStr">
        <is>
          <t>合规命令；罚款</t>
        </is>
      </c>
      <c r="AN37" s="341" t="inlineStr">
        <is>
          <t>对生产、进口、销售不符合强制性能效标准的显示器产品的，由市场监督管理部门责令停止生产、进口、销售，没收违法所得，并处罚款。</t>
        </is>
      </c>
      <c r="AO37" s="341" t="inlineStr">
        <is>
          <t>其他激励或支持</t>
        </is>
      </c>
      <c r="AP37" s="341" t="inlineStr">
        <is>
          <t>国家鼓励生产和使用1级、2级高效显示器；通过节能产品认证、政府绿色采购等措施引导市场推广。</t>
        </is>
      </c>
      <c r="AQ37" s="341" t="inlineStr">
        <is>
          <t>N/A</t>
        </is>
      </c>
      <c r="AR37" s="341" t="inlineStr">
        <is>
          <t>N/A</t>
        </is>
      </c>
      <c r="AS37" s="341" t="inlineStr">
        <is>
          <t>C26</t>
        </is>
      </c>
      <c r="AT37" s="341" t="inlineStr">
        <is>
          <t>CO2</t>
        </is>
      </c>
      <c r="AU37" s="341" t="inlineStr">
        <is>
          <t>正向</t>
        </is>
      </c>
      <c r="AV37" s="341" t="inlineStr">
        <is>
          <t>节能；产业发展</t>
        </is>
      </c>
      <c r="AW37" s="341" t="inlineStr">
        <is>
          <t>GB 21520-2023 显示器能效限定值及能效等级</t>
        </is>
      </c>
      <c r="AX37" s="341" t="inlineStr">
        <is>
          <t>https://openstd.samr.gov.cn/bzgk/std/newGbInfo?hcno=062F417801C532C4338A5CD387C18F06</t>
        </is>
      </c>
      <c r="AY37" s="341" t="inlineStr">
        <is>
          <t>N/A</t>
        </is>
      </c>
      <c r="AZ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t>
        </is>
      </c>
      <c r="L38" s="341" t="inlineStr">
        <is>
          <t>直接</t>
        </is>
      </c>
      <c r="M38" s="341" t="inlineStr">
        <is>
          <t>国家</t>
        </is>
      </c>
      <c r="N38" s="341" t="inlineStr">
        <is>
          <t>N/A</t>
        </is>
      </c>
      <c r="O38" s="341" t="inlineStr">
        <is>
          <t>19/11/2018</t>
        </is>
      </c>
      <c r="P38" s="341" t="inlineStr">
        <is>
          <t>01/12/2019</t>
        </is>
      </c>
      <c r="Q38" s="341" t="inlineStr">
        <is>
          <t>N/A</t>
        </is>
      </c>
      <c r="R38" s="341" t="inlineStr">
        <is>
          <t>29/09/2024</t>
        </is>
      </c>
      <c r="S38" s="341" t="inlineStr">
        <is>
          <t>2024年9月29日发布GB 36893-2024替代GB 36893-2018，扩大适用范围至气态污染物净化、加湿净化器和净化风扇，提高各级能效指标</t>
        </is>
      </c>
      <c r="T38" s="341">
        <f>IF(P38="","生效",IF(P38="N/A","生效",IF(TODAY()&lt;DATE(VALUE(RIGHT(P38,4)),VALUE(MID(P38,4,2)),VALUE(LEFT(P38,2))),"计划实施",IF(Q38="","生效",IF(Q38="N/A","生效",IF(TODAY()&lt;DATE(VALUE(RIGHT(Q38,4)),VALUE(MID(Q38,4,2)),VALUE(LEFT(Q38,2))),"生效","已终止"))))))</f>
        <v/>
      </c>
      <c r="U38" s="341" t="inlineStr">
        <is>
          <t>国家市场监督管理总局；国家标准化管理委员会</t>
        </is>
      </c>
      <c r="V38" s="341" t="inlineStr">
        <is>
          <t>空气净化器</t>
        </is>
      </c>
      <c r="W38" s="341" t="inlineStr">
        <is>
          <t>新建</t>
        </is>
      </c>
      <c r="X38" s="341" t="inlineStr">
        <is>
          <t>单相额定电压大于5V且不超过250V、其他额定电压不超过480V，具有去除颗粒物和/或气态污染物功能的空气净化器，以及具有独立空气净化功能的加湿净化器和净化风扇。</t>
        </is>
      </c>
      <c r="Y38" s="341" t="inlineStr">
        <is>
          <t>N/A</t>
        </is>
      </c>
      <c r="Z38" s="341" t="inlineStr">
        <is>
          <t>N/A</t>
        </is>
      </c>
      <c r="AA38" s="341" t="inlineStr">
        <is>
          <t>企业</t>
        </is>
      </c>
      <c r="AB38" s="341" t="inlineStr">
        <is>
          <t>在中国境内生产、进口或销售空气净化器产品的生产企业和进口商。</t>
        </is>
      </c>
      <c r="AC38" s="341" t="inlineStr">
        <is>
          <t>生产；销售；进口</t>
        </is>
      </c>
      <c r="AD38" s="341" t="inlineStr">
        <is>
          <t>空气净化器产品的生产、进口和销售活动。产品须达到标准规定的能效限定值方可进入市场。</t>
        </is>
      </c>
      <c r="AE38" s="341" t="inlineStr">
        <is>
          <t>3级</t>
        </is>
      </c>
      <c r="AF38" s="341" t="inlineStr">
        <is>
          <t>能效等级</t>
        </is>
      </c>
      <c r="AG38" s="341" t="inlineStr">
        <is>
          <t>空气净化器能效等级分为3级（1级最高），3级为能效限定值即市场准入最低要求。评价指标包括能效比（CADR/输入功率）、待机功率等。颗粒物能效比≥2.0（3级），气态污染物能效比≥0.5（3级）。</t>
        </is>
      </c>
      <c r="AH38" s="341" t="inlineStr">
        <is>
          <t>1）空气净化器须达到标准规定的能效限定值（3级）方可生产、进口或销售；2）产品须标注能效等级标识；3）能效等级分为1级、2级、3级，3级为市场准入最低要求。</t>
        </is>
      </c>
      <c r="AI38" s="341" t="inlineStr">
        <is>
          <t>N/A</t>
        </is>
      </c>
      <c r="AJ38" s="341" t="inlineStr">
        <is>
          <t>N/A</t>
        </is>
      </c>
      <c r="AK38" s="341" t="inlineStr">
        <is>
          <t>政府机构开展的监督检查</t>
        </is>
      </c>
      <c r="AL38" s="341" t="inlineStr">
        <is>
          <t>市场监督管理部门对空气净化器产品进行能效标识监督检查和产品质量监督抽查。</t>
        </is>
      </c>
      <c r="AM38" s="341" t="inlineStr">
        <is>
          <t>合规命令；罚款</t>
        </is>
      </c>
      <c r="AN38" s="341" t="inlineStr">
        <is>
          <t>对生产、进口、销售不符合强制性能效标准的空气净化器产品的，由市场监督管理部门责令停止生产、进口、销售，没收违法所得，并处罚款。</t>
        </is>
      </c>
      <c r="AO38" s="341" t="inlineStr">
        <is>
          <t>其他激励或支持</t>
        </is>
      </c>
      <c r="AP38" s="341" t="inlineStr">
        <is>
          <t>国家鼓励生产和使用1级、2级高效空气净化器；通过节能产品认证等措施引导市场推广。</t>
        </is>
      </c>
      <c r="AQ38" s="341" t="inlineStr">
        <is>
          <t>N/A</t>
        </is>
      </c>
      <c r="AR38" s="341" t="inlineStr">
        <is>
          <t>N/A</t>
        </is>
      </c>
      <c r="AS38" s="341" t="inlineStr">
        <is>
          <t>C27</t>
        </is>
      </c>
      <c r="AT38" s="341" t="inlineStr">
        <is>
          <t>CO2</t>
        </is>
      </c>
      <c r="AU38" s="341" t="inlineStr">
        <is>
          <t>正向</t>
        </is>
      </c>
      <c r="AV38" s="341" t="inlineStr">
        <is>
          <t>节能；产业发展</t>
        </is>
      </c>
      <c r="AW38" s="341" t="inlineStr">
        <is>
          <t>GB 36893-2024 空气净化器能效限定值及能效等级</t>
        </is>
      </c>
      <c r="AX38" s="341" t="inlineStr">
        <is>
          <t>https://openstd.samr.gov.cn/bzgk/std/newGbInfo?hcno=4BA93C92616062B1F73D34BBEB2E0233</t>
        </is>
      </c>
      <c r="AY38" s="341" t="inlineStr">
        <is>
          <t>N/A</t>
        </is>
      </c>
      <c r="AZ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t>
        </is>
      </c>
      <c r="L39" s="341" t="inlineStr">
        <is>
          <t>直接</t>
        </is>
      </c>
      <c r="M39" s="341" t="inlineStr">
        <is>
          <t>国家</t>
        </is>
      </c>
      <c r="N39" s="341" t="inlineStr">
        <is>
          <t>N/A</t>
        </is>
      </c>
      <c r="O39" s="341" t="inlineStr">
        <is>
          <t>29/12/2022</t>
        </is>
      </c>
      <c r="P39" s="341" t="inlineStr">
        <is>
          <t>01/01/2024</t>
        </is>
      </c>
      <c r="Q39" s="341" t="inlineStr">
        <is>
          <t>N/A</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国家市场监督管理总局；国家标准化管理委员会</t>
        </is>
      </c>
      <c r="V39" s="341" t="inlineStr">
        <is>
          <t>潜水电泵</t>
        </is>
      </c>
      <c r="W39" s="341" t="inlineStr">
        <is>
          <t>新建</t>
        </is>
      </c>
      <c r="X39" s="341" t="inlineStr">
        <is>
          <t>小型潜水电泵、大中型潜水电泵、污水污物潜水电泵、井用潜水电泵和混流潜水电泵。涵盖农业灌溉、城市给排水、工业用水、污水处理等领域使用的各类潜水电泵。</t>
        </is>
      </c>
      <c r="Y39" s="341" t="inlineStr">
        <is>
          <t>N/A</t>
        </is>
      </c>
      <c r="Z39" s="341" t="inlineStr">
        <is>
          <t>N/A</t>
        </is>
      </c>
      <c r="AA39" s="341" t="inlineStr">
        <is>
          <t>企业</t>
        </is>
      </c>
      <c r="AB39" s="341" t="inlineStr">
        <is>
          <t>在中国境内生产、进口或销售潜水电泵产品的生产企业和进口商。</t>
        </is>
      </c>
      <c r="AC39" s="341" t="inlineStr">
        <is>
          <t>生产；销售；进口</t>
        </is>
      </c>
      <c r="AD39" s="341" t="inlineStr">
        <is>
          <t>潜水电泵产品的生产、进口和销售活动。产品须达到标准规定的能效限定值方可进入市场。</t>
        </is>
      </c>
      <c r="AE39" s="341" t="inlineStr">
        <is>
          <t>3级</t>
        </is>
      </c>
      <c r="AF39" s="341" t="inlineStr">
        <is>
          <t>能效等级</t>
        </is>
      </c>
      <c r="AG39" s="341" t="inlineStr">
        <is>
          <t>潜水电泵能效等级分为3级（1级最高），3级为能效限定值即市场准入最低要求。效率限定值（3级）按泵型和比转速分级，例如小型潜水电泵3级效率为55%~72%（因流量和比转速而异）。</t>
        </is>
      </c>
      <c r="AH39" s="341" t="inlineStr">
        <is>
          <t>1）潜水电泵须达到标准规定的能效限定值（3级）方可生产、进口或销售；2）产品须标注能效等级标识；3）能效等级分为1级、2级、3级，3级为市场准入最低要求。</t>
        </is>
      </c>
      <c r="AI39" s="341" t="inlineStr">
        <is>
          <t>N/A</t>
        </is>
      </c>
      <c r="AJ39" s="341" t="inlineStr">
        <is>
          <t>N/A</t>
        </is>
      </c>
      <c r="AK39" s="341" t="inlineStr">
        <is>
          <t>政府机构开展的监督检查</t>
        </is>
      </c>
      <c r="AL39" s="341" t="inlineStr">
        <is>
          <t>市场监督管理部门对潜水电泵产品进行能效标识监督检查和产品质量监督抽查。</t>
        </is>
      </c>
      <c r="AM39" s="341" t="inlineStr">
        <is>
          <t>合规命令；罚款</t>
        </is>
      </c>
      <c r="AN39" s="341" t="inlineStr">
        <is>
          <t>对生产、进口、销售不符合强制性能效标准的潜水电泵产品的，由市场监督管理部门责令停止生产、进口、销售，没收违法所得，并处罚款。</t>
        </is>
      </c>
      <c r="AO39" s="341" t="inlineStr">
        <is>
          <t>其他激励或支持</t>
        </is>
      </c>
      <c r="AP39" s="341" t="inlineStr">
        <is>
          <t>国家鼓励生产和使用1级、2级高效潜水电泵；通过节能产品认证、政府绿色采购等措施引导市场推广。</t>
        </is>
      </c>
      <c r="AQ39" s="341" t="inlineStr">
        <is>
          <t>N/A</t>
        </is>
      </c>
      <c r="AR39" s="341" t="inlineStr">
        <is>
          <t>N/A</t>
        </is>
      </c>
      <c r="AS39" s="341" t="inlineStr">
        <is>
          <t>C28</t>
        </is>
      </c>
      <c r="AT39" s="341" t="inlineStr">
        <is>
          <t>CO2</t>
        </is>
      </c>
      <c r="AU39" s="341" t="inlineStr">
        <is>
          <t>正向</t>
        </is>
      </c>
      <c r="AV39" s="341" t="inlineStr">
        <is>
          <t>节能；产业发展</t>
        </is>
      </c>
      <c r="AW39" s="341" t="inlineStr">
        <is>
          <t>GB 32030-2022 潜水电泵能效限定值及能效等级</t>
        </is>
      </c>
      <c r="AX39" s="341" t="inlineStr">
        <is>
          <t>https://openstd.samr.gov.cn/bzgk/std/newGbInfo?hcno=A169A5996E7443A3CF22F1BF58A151C9</t>
        </is>
      </c>
      <c r="AY39" s="341" t="inlineStr">
        <is>
          <t>N/A</t>
        </is>
      </c>
      <c r="AZ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t>
        </is>
      </c>
      <c r="L40" s="341" t="inlineStr">
        <is>
          <t>直接</t>
        </is>
      </c>
      <c r="M40" s="341" t="inlineStr">
        <is>
          <t>国家</t>
        </is>
      </c>
      <c r="N40" s="341" t="inlineStr">
        <is>
          <t>N/A</t>
        </is>
      </c>
      <c r="O40" s="341" t="inlineStr">
        <is>
          <t>01/03/2009</t>
        </is>
      </c>
      <c r="P40" s="341" t="inlineStr">
        <is>
          <t>01/03/2010</t>
        </is>
      </c>
      <c r="Q40" s="341" t="inlineStr">
        <is>
          <t>N/A</t>
        </is>
      </c>
      <c r="R40" s="341" t="inlineStr">
        <is>
          <t>11/10/2021</t>
        </is>
      </c>
      <c r="S40" s="341" t="inlineStr">
        <is>
          <t>2021年10月11日发布GB 12021.9-2021替代GB 12021.9-2008，新增直流电机风扇和聚风型风扇，新增待机功率要求，1级能效指标提升幅度达30.9%~80.6%</t>
        </is>
      </c>
      <c r="T40" s="341">
        <f>IF(P40="","生效",IF(P40="N/A","生效",IF(TODAY()&lt;DATE(VALUE(RIGHT(P40,4)),VALUE(MID(P40,4,2)),VALUE(LEFT(P40,2))),"计划实施",IF(Q40="","生效",IF(Q40="N/A","生效",IF(TODAY()&lt;DATE(VALUE(RIGHT(Q40,4)),VALUE(MID(Q40,4,2)),VALUE(LEFT(Q40,2))),"生效","已终止"))))))</f>
        <v/>
      </c>
      <c r="U40" s="341" t="inlineStr">
        <is>
          <t>国家市场监督管理总局；国家标准化管理委员会</t>
        </is>
      </c>
      <c r="V40" s="341" t="inlineStr">
        <is>
          <t>电风扇</t>
        </is>
      </c>
      <c r="W40" s="341" t="inlineStr">
        <is>
          <t>新建</t>
        </is>
      </c>
      <c r="X40" s="341" t="inlineStr">
        <is>
          <t>单相额定电压不超过250V、其他额定电压不超过480V，由交流或直流电动机驱动的台扇、转页扇、壁扇、台地扇、落地扇和吊扇。</t>
        </is>
      </c>
      <c r="Y40" s="341" t="inlineStr">
        <is>
          <t>N/A</t>
        </is>
      </c>
      <c r="Z40" s="341" t="inlineStr">
        <is>
          <t>N/A</t>
        </is>
      </c>
      <c r="AA40" s="341" t="inlineStr">
        <is>
          <t>企业</t>
        </is>
      </c>
      <c r="AB40" s="341" t="inlineStr">
        <is>
          <t>在中国境内生产、进口或销售电风扇产品的生产企业和进口商。</t>
        </is>
      </c>
      <c r="AC40" s="341" t="inlineStr">
        <is>
          <t>生产；销售；进口</t>
        </is>
      </c>
      <c r="AD40" s="341" t="inlineStr">
        <is>
          <t>电风扇产品的生产、进口和销售活动。产品须达到标准规定的能效限定值方可进入市场。</t>
        </is>
      </c>
      <c r="AE40" s="341" t="inlineStr">
        <is>
          <t>3级</t>
        </is>
      </c>
      <c r="AF40" s="341" t="inlineStr">
        <is>
          <t>能效等级</t>
        </is>
      </c>
      <c r="AG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H40" s="341" t="inlineStr">
        <is>
          <t>1）电风扇须达到标准规定的能效限定值（3级）方可生产、进口或销售；2）产品须标注能效等级标识；3）能效等级分为1级、2级、3级，3级为市场准入最低要求。</t>
        </is>
      </c>
      <c r="AI40" s="341" t="inlineStr">
        <is>
          <t>N/A</t>
        </is>
      </c>
      <c r="AJ40" s="341" t="inlineStr">
        <is>
          <t>N/A</t>
        </is>
      </c>
      <c r="AK40" s="341" t="inlineStr">
        <is>
          <t>政府机构开展的监督检查</t>
        </is>
      </c>
      <c r="AL40" s="341" t="inlineStr">
        <is>
          <t>市场监督管理部门对电风扇产品进行能效标识监督检查和产品质量监督抽查。</t>
        </is>
      </c>
      <c r="AM40" s="341" t="inlineStr">
        <is>
          <t>合规命令；罚款</t>
        </is>
      </c>
      <c r="AN40" s="341" t="inlineStr">
        <is>
          <t>对生产、进口、销售不符合强制性能效标准的电风扇产品的，由市场监督管理部门责令停止生产、进口、销售，没收违法所得，并处罚款。</t>
        </is>
      </c>
      <c r="AO40" s="341" t="inlineStr">
        <is>
          <t>其他激励或支持</t>
        </is>
      </c>
      <c r="AP40" s="341" t="inlineStr">
        <is>
          <t>国家鼓励生产和使用1级、2级高效电风扇；通过节能产品认证、政府绿色采购等措施引导市场推广。</t>
        </is>
      </c>
      <c r="AQ40" s="341" t="inlineStr">
        <is>
          <t>N/A</t>
        </is>
      </c>
      <c r="AR40" s="341" t="inlineStr">
        <is>
          <t>N/A</t>
        </is>
      </c>
      <c r="AS40" s="341" t="inlineStr">
        <is>
          <t>C27</t>
        </is>
      </c>
      <c r="AT40" s="341" t="inlineStr">
        <is>
          <t>CO2</t>
        </is>
      </c>
      <c r="AU40" s="341" t="inlineStr">
        <is>
          <t>正向</t>
        </is>
      </c>
      <c r="AV40" s="341" t="inlineStr">
        <is>
          <t>节能；产业发展</t>
        </is>
      </c>
      <c r="AW40" s="341" t="inlineStr">
        <is>
          <t>GB 12021.9-2021 电风扇能效限定值及能效等级</t>
        </is>
      </c>
      <c r="AX40" s="341" t="inlineStr">
        <is>
          <t>https://openstd.samr.gov.cn/bzgk/std/newGbInfo?hcno=91AD3442EF85B846C4DB9879198D200E</t>
        </is>
      </c>
      <c r="AY40" s="341" t="inlineStr">
        <is>
          <t>N/A</t>
        </is>
      </c>
      <c r="AZ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t>
        </is>
      </c>
      <c r="L41" s="341" t="inlineStr">
        <is>
          <t>直接</t>
        </is>
      </c>
      <c r="M41" s="341" t="inlineStr">
        <is>
          <t>国家</t>
        </is>
      </c>
      <c r="N41" s="341" t="inlineStr">
        <is>
          <t>N/A</t>
        </is>
      </c>
      <c r="O41" s="341" t="inlineStr">
        <is>
          <t>23/07/2020</t>
        </is>
      </c>
      <c r="P41" s="341" t="inlineStr">
        <is>
          <t>01/08/2021</t>
        </is>
      </c>
      <c r="Q41" s="341" t="inlineStr">
        <is>
          <t>N/A</t>
        </is>
      </c>
      <c r="R41" s="341" t="inlineStr">
        <is>
          <t>N/A</t>
        </is>
      </c>
      <c r="S41" s="341" t="inlineStr">
        <is>
          <t>N/A</t>
        </is>
      </c>
      <c r="T41" s="341">
        <f>IF(P41="","生效",IF(P41="N/A","生效",IF(TODAY()&lt;DATE(VALUE(RIGHT(P41,4)),VALUE(MID(P41,4,2)),VALUE(LEFT(P41,2))),"计划实施",IF(Q41="","生效",IF(Q41="N/A","生效",IF(TODAY()&lt;DATE(VALUE(RIGHT(Q41,4)),VALUE(MID(Q41,4,2)),VALUE(LEFT(Q41,2))),"生效","已终止"))))))</f>
        <v/>
      </c>
      <c r="U41" s="341" t="inlineStr">
        <is>
          <t>国家市场监督管理总局；国家标准化管理委员会</t>
        </is>
      </c>
      <c r="V41" s="341" t="inlineStr">
        <is>
          <t>平板电视与机顶盒</t>
        </is>
      </c>
      <c r="W41" s="341" t="inlineStr">
        <is>
          <t>新建</t>
        </is>
      </c>
      <c r="X41" s="341" t="inlineStr">
        <is>
          <t>液晶电视、OLED电视；有线、地面、卫星和网络机顶盒。不适用于直播卫星机顶盒。</t>
        </is>
      </c>
      <c r="Y41" s="341" t="inlineStr">
        <is>
          <t>N/A</t>
        </is>
      </c>
      <c r="Z41" s="341" t="inlineStr">
        <is>
          <t>N/A</t>
        </is>
      </c>
      <c r="AA41" s="341" t="inlineStr">
        <is>
          <t>企业</t>
        </is>
      </c>
      <c r="AB41" s="341" t="inlineStr">
        <is>
          <t>在中国境内生产、进口或销售平板电视和机顶盒产品的生产企业和进口商。</t>
        </is>
      </c>
      <c r="AC41" s="341" t="inlineStr">
        <is>
          <t>生产；销售；进口</t>
        </is>
      </c>
      <c r="AD41" s="341" t="inlineStr">
        <is>
          <t>平板电视和机顶盒产品的生产、进口和销售活动。产品须达到标准规定的能效限定值方可进入市场。</t>
        </is>
      </c>
      <c r="AE41" s="341" t="inlineStr">
        <is>
          <t>5级</t>
        </is>
      </c>
      <c r="AF41" s="341" t="inlineStr">
        <is>
          <t>能效等级</t>
        </is>
      </c>
      <c r="AG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H41" s="341" t="inlineStr">
        <is>
          <t>1）平板电视和机顶盒须达到标准规定的能效限定值方可生产、进口或销售；2）产品须标注能效等级标识；3）能效等级分为1~5级，能效限定值为市场准入最低要求。</t>
        </is>
      </c>
      <c r="AI41" s="341" t="inlineStr">
        <is>
          <t>N/A</t>
        </is>
      </c>
      <c r="AJ41" s="341" t="inlineStr">
        <is>
          <t>N/A</t>
        </is>
      </c>
      <c r="AK41" s="341" t="inlineStr">
        <is>
          <t>政府机构开展的监督检查</t>
        </is>
      </c>
      <c r="AL41" s="341" t="inlineStr">
        <is>
          <t>市场监督管理部门对平板电视和机顶盒产品进行能效标识监督检查和产品质量监督抽查。</t>
        </is>
      </c>
      <c r="AM41" s="341" t="inlineStr">
        <is>
          <t>合规命令；罚款</t>
        </is>
      </c>
      <c r="AN41" s="341" t="inlineStr">
        <is>
          <t>对生产、进口、销售不符合强制性能效标准的平板电视和机顶盒产品的，由市场监督管理部门责令停止生产、进口、销售，没收违法所得，并处罚款。</t>
        </is>
      </c>
      <c r="AO41" s="341" t="inlineStr">
        <is>
          <t>其他激励或支持</t>
        </is>
      </c>
      <c r="AP41" s="341" t="inlineStr">
        <is>
          <t>国家鼓励生产和使用1级、2级高效电视和机顶盒；通过节能产品认证等措施引导高效消费电子市场推广。</t>
        </is>
      </c>
      <c r="AQ41" s="341" t="inlineStr">
        <is>
          <t>N/A</t>
        </is>
      </c>
      <c r="AR41" s="341" t="inlineStr">
        <is>
          <t>N/A</t>
        </is>
      </c>
      <c r="AS41" s="341" t="inlineStr">
        <is>
          <t>C26</t>
        </is>
      </c>
      <c r="AT41" s="341" t="inlineStr">
        <is>
          <t>CO2</t>
        </is>
      </c>
      <c r="AU41" s="341" t="inlineStr">
        <is>
          <t>正向</t>
        </is>
      </c>
      <c r="AV41" s="341" t="inlineStr">
        <is>
          <t>节能；产业发展</t>
        </is>
      </c>
      <c r="AW41" s="341" t="inlineStr">
        <is>
          <t>GB 24850-2020 平板电视与机顶盒能效限定值及能效等级</t>
        </is>
      </c>
      <c r="AX41" s="341" t="inlineStr">
        <is>
          <t>https://openstd.samr.gov.cn/bzgk/gb/newGbInfo?hcno=C372F09A3155C3B9967182CAD49415BA</t>
        </is>
      </c>
      <c r="AY41" s="341" t="inlineStr">
        <is>
          <t>N/A</t>
        </is>
      </c>
      <c r="AZ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t>
        </is>
      </c>
      <c r="L42" s="341" t="inlineStr">
        <is>
          <t>直接</t>
        </is>
      </c>
      <c r="M42" s="341" t="inlineStr">
        <is>
          <t>国家</t>
        </is>
      </c>
      <c r="N42" s="341" t="inlineStr">
        <is>
          <t>N/A</t>
        </is>
      </c>
      <c r="O42" s="341" t="inlineStr">
        <is>
          <t>29/05/2020</t>
        </is>
      </c>
      <c r="P42" s="341" t="inlineStr">
        <is>
          <t>01/06/2021</t>
        </is>
      </c>
      <c r="Q42" s="341" t="inlineStr">
        <is>
          <t>N/A</t>
        </is>
      </c>
      <c r="R42" s="341" t="inlineStr">
        <is>
          <t>N/A</t>
        </is>
      </c>
      <c r="S42" s="341" t="inlineStr">
        <is>
          <t>N/A</t>
        </is>
      </c>
      <c r="T42" s="341">
        <f>IF(P42="","生效",IF(P42="N/A","生效",IF(TODAY()&lt;DATE(VALUE(RIGHT(P42,4)),VALUE(MID(P42,4,2)),VALUE(LEFT(P42,2))),"计划实施",IF(Q42="","生效",IF(Q42="N/A","生效",IF(TODAY()&lt;DATE(VALUE(RIGHT(Q42,4)),VALUE(MID(Q42,4,2)),VALUE(LEFT(Q42,2))),"生效","已终止"))))))</f>
        <v/>
      </c>
      <c r="U42" s="341" t="inlineStr">
        <is>
          <t>国家市场监督管理总局；国家标准化管理委员会</t>
        </is>
      </c>
      <c r="V42" s="341" t="inlineStr">
        <is>
          <t>通风机</t>
        </is>
      </c>
      <c r="W42" s="341" t="inlineStr">
        <is>
          <t>新建</t>
        </is>
      </c>
      <c r="X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Y42" s="341" t="inlineStr">
        <is>
          <t>N/A</t>
        </is>
      </c>
      <c r="Z42" s="341" t="inlineStr">
        <is>
          <t>N/A</t>
        </is>
      </c>
      <c r="AA42" s="341" t="inlineStr">
        <is>
          <t>企业</t>
        </is>
      </c>
      <c r="AB42" s="341" t="inlineStr">
        <is>
          <t>在中国境内生产、进口或销售通风机产品的生产企业和进口商。</t>
        </is>
      </c>
      <c r="AC42" s="341" t="inlineStr">
        <is>
          <t>生产；销售；进口</t>
        </is>
      </c>
      <c r="AD42" s="341" t="inlineStr">
        <is>
          <t>通风机产品的生产、进口和销售活动。产品须达到标准规定的能效限定值方可进入市场。</t>
        </is>
      </c>
      <c r="AE42" s="341" t="inlineStr">
        <is>
          <t>3级</t>
        </is>
      </c>
      <c r="AF42" s="341" t="inlineStr">
        <is>
          <t>能效等级</t>
        </is>
      </c>
      <c r="AG42" s="341" t="inlineStr">
        <is>
          <t>通风机能效等级分为3级（1级最高），3级为能效限定值即市场准入最低要求。评价指标为通风机效率（%），按风机类型（离心/轴流）、机号（叶轮直径）和比转速分级量化。不同机号的通风机有对应的效率限定值。</t>
        </is>
      </c>
      <c r="AH42" s="341" t="inlineStr">
        <is>
          <t>1）通风机须达到标准规定的能效限定值（3级）方可生产、进口或销售；2）产品须标注能效等级标识；3）能效等级分为1级、2级、3级，3级为市场准入最低要求。</t>
        </is>
      </c>
      <c r="AI42" s="341" t="inlineStr">
        <is>
          <t>N/A</t>
        </is>
      </c>
      <c r="AJ42" s="341" t="inlineStr">
        <is>
          <t>N/A</t>
        </is>
      </c>
      <c r="AK42" s="341" t="inlineStr">
        <is>
          <t>政府机构开展的监督检查</t>
        </is>
      </c>
      <c r="AL42" s="341" t="inlineStr">
        <is>
          <t>市场监督管理部门对通风机产品进行能效标识监督检查和产品质量监督抽查。</t>
        </is>
      </c>
      <c r="AM42" s="341" t="inlineStr">
        <is>
          <t>合规命令；罚款</t>
        </is>
      </c>
      <c r="AN42" s="341" t="inlineStr">
        <is>
          <t>对生产、进口、销售不符合强制性能效标准的通风机产品的，由市场监督管理部门责令停止生产、进口、销售，没收违法所得，并处罚款。</t>
        </is>
      </c>
      <c r="AO42" s="341" t="inlineStr">
        <is>
          <t>其他激励或支持</t>
        </is>
      </c>
      <c r="AP42" s="341" t="inlineStr">
        <is>
          <t>国家鼓励生产和使用1级、2级高效通风机；通过节能产品认证等措施引导高效风机市场推广。</t>
        </is>
      </c>
      <c r="AQ42" s="341" t="inlineStr">
        <is>
          <t>N/A</t>
        </is>
      </c>
      <c r="AR42" s="341" t="inlineStr">
        <is>
          <t>N/A</t>
        </is>
      </c>
      <c r="AS42" s="341" t="inlineStr">
        <is>
          <t>C28</t>
        </is>
      </c>
      <c r="AT42" s="341" t="inlineStr">
        <is>
          <t>CO2</t>
        </is>
      </c>
      <c r="AU42" s="341" t="inlineStr">
        <is>
          <t>正向</t>
        </is>
      </c>
      <c r="AV42" s="341" t="inlineStr">
        <is>
          <t>节能；产业发展</t>
        </is>
      </c>
      <c r="AW42" s="341" t="inlineStr">
        <is>
          <t>GB 19761-2020 通风机能效限定值及能效等级</t>
        </is>
      </c>
      <c r="AX42" s="341" t="inlineStr">
        <is>
          <t>https://openstd.samr.gov.cn/bzgk/std/newGbInfo?hcno=5C781533AE5B55C239B50AE737E1B9A6</t>
        </is>
      </c>
      <c r="AY42" s="341" t="inlineStr">
        <is>
          <t>N/A</t>
        </is>
      </c>
      <c r="AZ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t>
        </is>
      </c>
      <c r="L43" s="341" t="inlineStr">
        <is>
          <t>直接</t>
        </is>
      </c>
      <c r="M43" s="341" t="inlineStr">
        <is>
          <t>国家</t>
        </is>
      </c>
      <c r="N43" s="341" t="inlineStr">
        <is>
          <t>N/A</t>
        </is>
      </c>
      <c r="O43" s="341" t="inlineStr">
        <is>
          <t>31/12/2019</t>
        </is>
      </c>
      <c r="P43" s="341" t="inlineStr">
        <is>
          <t>01/07/2020</t>
        </is>
      </c>
      <c r="Q43" s="341" t="inlineStr">
        <is>
          <t>N/A</t>
        </is>
      </c>
      <c r="R43" s="341" t="inlineStr">
        <is>
          <t>N/A</t>
        </is>
      </c>
      <c r="S43" s="341" t="inlineStr">
        <is>
          <t>N/A</t>
        </is>
      </c>
      <c r="T43" s="341">
        <f>IF(P43="","生效",IF(P43="N/A","生效",IF(TODAY()&lt;DATE(VALUE(RIGHT(P43,4)),VALUE(MID(P43,4,2)),VALUE(LEFT(P43,2))),"计划实施",IF(Q43="","生效",IF(Q43="N/A","生效",IF(TODAY()&lt;DATE(VALUE(RIGHT(Q43,4)),VALUE(MID(Q43,4,2)),VALUE(LEFT(Q43,2))),"生效","已终止"))))))</f>
        <v/>
      </c>
      <c r="U43" s="341" t="inlineStr">
        <is>
          <t>国家市场监督管理总局；国家标准化管理委员会</t>
        </is>
      </c>
      <c r="V43" s="341" t="inlineStr">
        <is>
          <t>容积式空气压缩机</t>
        </is>
      </c>
      <c r="W43" s="341" t="inlineStr">
        <is>
          <t>新建</t>
        </is>
      </c>
      <c r="X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Y43" s="341" t="inlineStr">
        <is>
          <t>N/A</t>
        </is>
      </c>
      <c r="Z43" s="341" t="inlineStr">
        <is>
          <t>N/A</t>
        </is>
      </c>
      <c r="AA43" s="341" t="inlineStr">
        <is>
          <t>企业</t>
        </is>
      </c>
      <c r="AB43" s="341" t="inlineStr">
        <is>
          <t>在中国境内生产、进口或销售容积式空气压缩机产品的生产企业和进口商。</t>
        </is>
      </c>
      <c r="AC43" s="341" t="inlineStr">
        <is>
          <t>生产；销售；进口</t>
        </is>
      </c>
      <c r="AD43" s="341" t="inlineStr">
        <is>
          <t>容积式空气压缩机产品的生产、进口和销售活动。产品须达到标准规定的能效限定值方可进入市场。</t>
        </is>
      </c>
      <c r="AE43" s="341" t="inlineStr">
        <is>
          <t>3级</t>
        </is>
      </c>
      <c r="AF43" s="341" t="inlineStr">
        <is>
          <t>能效等级</t>
        </is>
      </c>
      <c r="AG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H43" s="341" t="inlineStr">
        <is>
          <t>1）容积式空气压缩机须达到标准规定的能效限定值（3级）方可生产、进口或销售；2）产品须标注能效等级标识；3）能效等级分为1级、2级、3级，3级为市场准入最低要求。</t>
        </is>
      </c>
      <c r="AI43" s="341" t="inlineStr">
        <is>
          <t>N/A</t>
        </is>
      </c>
      <c r="AJ43" s="341" t="inlineStr">
        <is>
          <t>N/A</t>
        </is>
      </c>
      <c r="AK43" s="341" t="inlineStr">
        <is>
          <t>政府机构开展的监督检查</t>
        </is>
      </c>
      <c r="AL43" s="341" t="inlineStr">
        <is>
          <t>市场监督管理部门对空气压缩机产品进行能效标识监督检查和产品质量监督抽查。</t>
        </is>
      </c>
      <c r="AM43" s="341" t="inlineStr">
        <is>
          <t>合规命令；罚款</t>
        </is>
      </c>
      <c r="AN43" s="341" t="inlineStr">
        <is>
          <t>对生产、进口、销售不符合强制性能效标准的空气压缩机产品的，由市场监督管理部门责令停止生产、进口、销售，没收违法所得，并处罚款。</t>
        </is>
      </c>
      <c r="AO43" s="341" t="inlineStr">
        <is>
          <t>其他激励或支持</t>
        </is>
      </c>
      <c r="AP43" s="341" t="inlineStr">
        <is>
          <t>国家鼓励生产和使用1级、2级高效空气压缩机；通过节能产品认证、政府绿色采购等措施引导市场推广。</t>
        </is>
      </c>
      <c r="AQ43" s="341" t="inlineStr">
        <is>
          <t>N/A</t>
        </is>
      </c>
      <c r="AR43" s="341" t="inlineStr">
        <is>
          <t>N/A</t>
        </is>
      </c>
      <c r="AS43" s="341" t="inlineStr">
        <is>
          <t>C28</t>
        </is>
      </c>
      <c r="AT43" s="341" t="inlineStr">
        <is>
          <t>CO2</t>
        </is>
      </c>
      <c r="AU43" s="341" t="inlineStr">
        <is>
          <t>正向</t>
        </is>
      </c>
      <c r="AV43" s="341" t="inlineStr">
        <is>
          <t>节能；产业发展</t>
        </is>
      </c>
      <c r="AW43" s="341" t="inlineStr">
        <is>
          <t>GB 19153-2019 容积式空气压缩机能效限定值及能效等级</t>
        </is>
      </c>
      <c r="AX43" s="341" t="inlineStr">
        <is>
          <t>https://openstd.samr.gov.cn/bzgk/std/newGbInfo?hcno=B4CBDEB1530F5C89F3D78E6CB7921FED</t>
        </is>
      </c>
      <c r="AY43" s="341" t="inlineStr">
        <is>
          <t>N/A</t>
        </is>
      </c>
      <c r="AZ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t>
        </is>
      </c>
      <c r="L44" s="341" t="inlineStr">
        <is>
          <t>直接</t>
        </is>
      </c>
      <c r="M44" s="341" t="inlineStr">
        <is>
          <t>国家</t>
        </is>
      </c>
      <c r="N44" s="341" t="inlineStr">
        <is>
          <t>N/A</t>
        </is>
      </c>
      <c r="O44" s="341" t="inlineStr">
        <is>
          <t>31/12/2019</t>
        </is>
      </c>
      <c r="P44" s="341" t="inlineStr">
        <is>
          <t>01/07/2020</t>
        </is>
      </c>
      <c r="Q44" s="341" t="inlineStr">
        <is>
          <t>N/A</t>
        </is>
      </c>
      <c r="R44" s="341" t="inlineStr">
        <is>
          <t>N/A</t>
        </is>
      </c>
      <c r="S44" s="341" t="inlineStr">
        <is>
          <t>N/A</t>
        </is>
      </c>
      <c r="T44" s="341">
        <f>IF(P44="","生效",IF(P44="N/A","生效",IF(TODAY()&lt;DATE(VALUE(RIGHT(P44,4)),VALUE(MID(P44,4,2)),VALUE(LEFT(P44,2))),"计划实施",IF(Q44="","生效",IF(Q44="N/A","生效",IF(TODAY()&lt;DATE(VALUE(RIGHT(Q44,4)),VALUE(MID(Q44,4,2)),VALUE(LEFT(Q44,2))),"生效","已终止"))))))</f>
        <v/>
      </c>
      <c r="U44" s="341" t="inlineStr">
        <is>
          <t>国家市场监督管理总局；国家标准化管理委员会</t>
        </is>
      </c>
      <c r="V44" s="341" t="inlineStr">
        <is>
          <t>电焊机</t>
        </is>
      </c>
      <c r="W44" s="341" t="inlineStr">
        <is>
          <t>新建</t>
        </is>
      </c>
      <c r="X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Y44" s="341" t="inlineStr">
        <is>
          <t>N/A</t>
        </is>
      </c>
      <c r="Z44" s="341" t="inlineStr">
        <is>
          <t>N/A</t>
        </is>
      </c>
      <c r="AA44" s="341" t="inlineStr">
        <is>
          <t>企业</t>
        </is>
      </c>
      <c r="AB44" s="341" t="inlineStr">
        <is>
          <t>在中国境内生产、进口或销售电焊机产品的生产企业和进口商。</t>
        </is>
      </c>
      <c r="AC44" s="341" t="inlineStr">
        <is>
          <t>生产；销售；进口</t>
        </is>
      </c>
      <c r="AD44" s="341" t="inlineStr">
        <is>
          <t>电焊机产品的生产、进口和销售活动。产品须达到标准规定的能效限定值方可进入市场。</t>
        </is>
      </c>
      <c r="AE44" s="341" t="inlineStr">
        <is>
          <t>3级</t>
        </is>
      </c>
      <c r="AF44" s="341" t="inlineStr">
        <is>
          <t>能效等级</t>
        </is>
      </c>
      <c r="AG44" s="341" t="inlineStr">
        <is>
          <t>电焊机能效等级分为3级（1级最高），3级为能效限定值即市场准入最低要求。评价指标为电焊机效率（%），按焊接方法（手工电弧焊/MIG-MAG/TIG等）、额定焊接电流分级量化。</t>
        </is>
      </c>
      <c r="AH44" s="341" t="inlineStr">
        <is>
          <t>1）电焊机须达到标准规定的能效限定值（3级）方可生产、进口或销售；2）产品须标注能效等级标识；3）能效等级分为1级、2级、3级，3级为市场准入最低要求。</t>
        </is>
      </c>
      <c r="AI44" s="341" t="inlineStr">
        <is>
          <t>N/A</t>
        </is>
      </c>
      <c r="AJ44" s="341" t="inlineStr">
        <is>
          <t>N/A</t>
        </is>
      </c>
      <c r="AK44" s="341" t="inlineStr">
        <is>
          <t>政府机构开展的监督检查</t>
        </is>
      </c>
      <c r="AL44" s="341" t="inlineStr">
        <is>
          <t>市场监督管理部门对电焊机产品进行能效标识监督检查和产品质量监督抽查。</t>
        </is>
      </c>
      <c r="AM44" s="341" t="inlineStr">
        <is>
          <t>合规命令；罚款</t>
        </is>
      </c>
      <c r="AN44" s="341" t="inlineStr">
        <is>
          <t>对生产、进口、销售不符合强制性能效标准的电焊机产品的，由市场监督管理部门责令停止生产、进口、销售，没收违法所得，并处罚款。</t>
        </is>
      </c>
      <c r="AO44" s="341" t="inlineStr">
        <is>
          <t>其他激励或支持</t>
        </is>
      </c>
      <c r="AP44" s="341" t="inlineStr">
        <is>
          <t>国家鼓励生产和使用1级、2级高效电焊机；通过节能产品认证等措施引导高效焊接设备市场推广。</t>
        </is>
      </c>
      <c r="AQ44" s="341" t="inlineStr">
        <is>
          <t>N/A</t>
        </is>
      </c>
      <c r="AR44" s="341" t="inlineStr">
        <is>
          <t>N/A</t>
        </is>
      </c>
      <c r="AS44" s="341" t="inlineStr">
        <is>
          <t>C28</t>
        </is>
      </c>
      <c r="AT44" s="341" t="inlineStr">
        <is>
          <t>CO2</t>
        </is>
      </c>
      <c r="AU44" s="341" t="inlineStr">
        <is>
          <t>正向</t>
        </is>
      </c>
      <c r="AV44" s="341" t="inlineStr">
        <is>
          <t>节能；产业发展</t>
        </is>
      </c>
      <c r="AW44" s="341" t="inlineStr">
        <is>
          <t>GB 28736-2019 电焊机能效限定值及能效等级</t>
        </is>
      </c>
      <c r="AX44" s="341" t="inlineStr">
        <is>
          <t>https://openstd.samr.gov.cn/bzgk/std/newGbInfo?hcno=281E572A00FA151D3AFBAF48CBDBDDBE</t>
        </is>
      </c>
      <c r="AY44" s="341" t="inlineStr">
        <is>
          <t>N/A</t>
        </is>
      </c>
      <c r="AZ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t>
        </is>
      </c>
      <c r="L45" s="341" t="inlineStr">
        <is>
          <t>直接</t>
        </is>
      </c>
      <c r="M45" s="341" t="inlineStr">
        <is>
          <t>国家</t>
        </is>
      </c>
      <c r="N45" s="341" t="inlineStr">
        <is>
          <t>N/A</t>
        </is>
      </c>
      <c r="O45" s="341" t="inlineStr">
        <is>
          <t>01/11/2019</t>
        </is>
      </c>
      <c r="P45" s="341" t="inlineStr">
        <is>
          <t>01/07/2020</t>
        </is>
      </c>
      <c r="Q45" s="341" t="inlineStr">
        <is>
          <t>N/A</t>
        </is>
      </c>
      <c r="R45" s="341" t="inlineStr">
        <is>
          <t>01/08/2025</t>
        </is>
      </c>
      <c r="S45" s="341" t="inlineStr">
        <is>
          <t>2025年8月1日发布GB 38448-2025替代GB 38448-2019，首次纳入简易型智能坐便器，能效限定值收严20%，水效限定值收严14%</t>
        </is>
      </c>
      <c r="T45" s="341">
        <f>IF(P45="","生效",IF(P45="N/A","生效",IF(TODAY()&lt;DATE(VALUE(RIGHT(P45,4)),VALUE(MID(P45,4,2)),VALUE(LEFT(P45,2))),"计划实施",IF(Q45="","生效",IF(Q45="N/A","生效",IF(TODAY()&lt;DATE(VALUE(RIGHT(Q45,4)),VALUE(MID(Q45,4,2)),VALUE(LEFT(Q45,2))),"生效","已终止"))))))</f>
        <v/>
      </c>
      <c r="U45" s="341" t="inlineStr">
        <is>
          <t>国家市场监督管理总局；国家标准化管理委员会</t>
        </is>
      </c>
      <c r="V45" s="341" t="inlineStr">
        <is>
          <t>智能坐便器</t>
        </is>
      </c>
      <c r="W45" s="341" t="inlineStr">
        <is>
          <t>新建</t>
        </is>
      </c>
      <c r="X45" s="341" t="inlineStr">
        <is>
          <t>智能坐便器（含普通型和简易型），包括有/无温水清洗功能的产品。涵盖座圈加热、温水清洗、暖风干燥等功能。</t>
        </is>
      </c>
      <c r="Y45" s="341" t="inlineStr">
        <is>
          <t>N/A</t>
        </is>
      </c>
      <c r="Z45" s="341" t="inlineStr">
        <is>
          <t>N/A</t>
        </is>
      </c>
      <c r="AA45" s="341" t="inlineStr">
        <is>
          <t>企业</t>
        </is>
      </c>
      <c r="AB45" s="341" t="inlineStr">
        <is>
          <t>在中国境内生产、进口或销售智能坐便器产品的生产企业和进口商。</t>
        </is>
      </c>
      <c r="AC45" s="341" t="inlineStr">
        <is>
          <t>生产；销售；进口</t>
        </is>
      </c>
      <c r="AD45" s="341" t="inlineStr">
        <is>
          <t>智能坐便器产品的生产、进口和销售活动。产品须达到标准规定的能效水效限定值方可进入市场。</t>
        </is>
      </c>
      <c r="AE45" s="341" t="inlineStr">
        <is>
          <t>3级</t>
        </is>
      </c>
      <c r="AF45" s="341" t="inlineStr">
        <is>
          <t>能效水效等级</t>
        </is>
      </c>
      <c r="AG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H45" s="341" t="inlineStr">
        <is>
          <t>1）智能坐便器须达到标准规定的能效水效限定值（3级）方可生产、进口或销售；2）产品须标注能效水效等级标识；3）等级分为1级、2级、3级，3级为市场准入最低要求。</t>
        </is>
      </c>
      <c r="AI45" s="341" t="inlineStr">
        <is>
          <t>N/A</t>
        </is>
      </c>
      <c r="AJ45" s="341" t="inlineStr">
        <is>
          <t>N/A</t>
        </is>
      </c>
      <c r="AK45" s="341" t="inlineStr">
        <is>
          <t>政府机构开展的监督检查</t>
        </is>
      </c>
      <c r="AL45" s="341" t="inlineStr">
        <is>
          <t>市场监督管理部门对智能坐便器产品进行能效水效标识监督检查和产品质量监督抽查。</t>
        </is>
      </c>
      <c r="AM45" s="341" t="inlineStr">
        <is>
          <t>合规命令；罚款</t>
        </is>
      </c>
      <c r="AN45" s="341" t="inlineStr">
        <is>
          <t>对生产、进口、销售不符合强制性能效水效标准的智能坐便器产品的，由市场监督管理部门责令停止生产、进口、销售，没收违法所得，并处罚款。</t>
        </is>
      </c>
      <c r="AO45" s="341" t="inlineStr">
        <is>
          <t>其他激励或支持</t>
        </is>
      </c>
      <c r="AP45" s="341" t="inlineStr">
        <is>
          <t>国家鼓励生产和使用1级、2级高效节水智能坐便器；通过节能节水产品认证等措施引导市场推广。</t>
        </is>
      </c>
      <c r="AQ45" s="341" t="inlineStr">
        <is>
          <t>N/A</t>
        </is>
      </c>
      <c r="AR45" s="341" t="inlineStr">
        <is>
          <t>N/A</t>
        </is>
      </c>
      <c r="AS45" s="341" t="inlineStr">
        <is>
          <t>C27</t>
        </is>
      </c>
      <c r="AT45" s="341" t="inlineStr">
        <is>
          <t>CO2</t>
        </is>
      </c>
      <c r="AU45" s="341" t="inlineStr">
        <is>
          <t>正向</t>
        </is>
      </c>
      <c r="AV45" s="341" t="inlineStr">
        <is>
          <t>节能；产业发展</t>
        </is>
      </c>
      <c r="AW45" s="341" t="inlineStr">
        <is>
          <t>GB 38448-2025 智能坐便器能效水效限定值及等级</t>
        </is>
      </c>
      <c r="AX45" s="341" t="inlineStr">
        <is>
          <t>https://openstd.samr.gov.cn/bzgk/std/newGbInfo?hcno=C480041B00069A4461473136914D4057</t>
        </is>
      </c>
      <c r="AY45" s="341" t="inlineStr">
        <is>
          <t>N/A</t>
        </is>
      </c>
      <c r="AZ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t>
        </is>
      </c>
      <c r="L46" s="341" t="inlineStr">
        <is>
          <t>直接</t>
        </is>
      </c>
      <c r="M46" s="341" t="inlineStr">
        <is>
          <t>国家</t>
        </is>
      </c>
      <c r="N46" s="341" t="inlineStr">
        <is>
          <t>N/A</t>
        </is>
      </c>
      <c r="O46" s="341" t="inlineStr">
        <is>
          <t>17/12/2019</t>
        </is>
      </c>
      <c r="P46" s="341" t="inlineStr">
        <is>
          <t>01/01/2021</t>
        </is>
      </c>
      <c r="Q46" s="341" t="inlineStr">
        <is>
          <t>N/A</t>
        </is>
      </c>
      <c r="R46" s="341" t="inlineStr">
        <is>
          <t>01/08/2025</t>
        </is>
      </c>
      <c r="S46" s="341" t="inlineStr">
        <is>
          <t>2025年8月1日发布GB 38383-2025替代GB 38383-2019，新增噪声指标，1级耗电量减少约36%，1级耗水量减少约20%，对标欧盟先进水平</t>
        </is>
      </c>
      <c r="T46" s="341">
        <f>IF(P46="","生效",IF(P46="N/A","生效",IF(TODAY()&lt;DATE(VALUE(RIGHT(P46,4)),VALUE(MID(P46,4,2)),VALUE(LEFT(P46,2))),"计划实施",IF(Q46="","生效",IF(Q46="N/A","生效",IF(TODAY()&lt;DATE(VALUE(RIGHT(Q46,4)),VALUE(MID(Q46,4,2)),VALUE(LEFT(Q46,2))),"生效","已终止"))))))</f>
        <v/>
      </c>
      <c r="U46" s="341" t="inlineStr">
        <is>
          <t>国家市场监督管理总局；国家标准化管理委员会</t>
        </is>
      </c>
      <c r="V46" s="341" t="inlineStr">
        <is>
          <t>洗碗机</t>
        </is>
      </c>
      <c r="W46" s="341" t="inlineStr">
        <is>
          <t>新建</t>
        </is>
      </c>
      <c r="X46" s="341" t="inlineStr">
        <is>
          <t>使用热水和/或冷水的家用和类似用途电动洗碗机，包括嵌入式、独立式、台式等不同安装类型，含带烘干、消毒功能的产品。不适用于商用洗碗机。</t>
        </is>
      </c>
      <c r="Y46" s="341" t="inlineStr">
        <is>
          <t>N/A</t>
        </is>
      </c>
      <c r="Z46" s="341" t="inlineStr">
        <is>
          <t>N/A</t>
        </is>
      </c>
      <c r="AA46" s="341" t="inlineStr">
        <is>
          <t>企业</t>
        </is>
      </c>
      <c r="AB46" s="341" t="inlineStr">
        <is>
          <t>在中国境内生产、进口或销售洗碗机产品的生产企业和进口商。</t>
        </is>
      </c>
      <c r="AC46" s="341" t="inlineStr">
        <is>
          <t>生产；销售；进口</t>
        </is>
      </c>
      <c r="AD46" s="341" t="inlineStr">
        <is>
          <t>洗碗机产品的生产、进口和销售活动。产品须达到标准规定的能效水效限定值方可进入市场。</t>
        </is>
      </c>
      <c r="AE46" s="341" t="inlineStr">
        <is>
          <t>3级</t>
        </is>
      </c>
      <c r="AF46" s="341" t="inlineStr">
        <is>
          <t>能效水效等级</t>
        </is>
      </c>
      <c r="AG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H46" s="341" t="inlineStr">
        <is>
          <t>1）洗碗机须达到标准规定的能效水效限定值（3级）方可生产、进口或销售；2）产品须标注能效水效等级标识；3）等级分为1级、2级、3级，3级为市场准入最低要求。</t>
        </is>
      </c>
      <c r="AI46" s="341" t="inlineStr">
        <is>
          <t>N/A</t>
        </is>
      </c>
      <c r="AJ46" s="341" t="inlineStr">
        <is>
          <t>N/A</t>
        </is>
      </c>
      <c r="AK46" s="341" t="inlineStr">
        <is>
          <t>政府机构开展的监督检查</t>
        </is>
      </c>
      <c r="AL46" s="341" t="inlineStr">
        <is>
          <t>市场监督管理部门对洗碗机产品进行能效水效标识监督检查和产品质量监督抽查。</t>
        </is>
      </c>
      <c r="AM46" s="341" t="inlineStr">
        <is>
          <t>合规命令；罚款</t>
        </is>
      </c>
      <c r="AN46" s="341" t="inlineStr">
        <is>
          <t>对生产、进口、销售不符合强制性能效水效标准的洗碗机产品的，由市场监督管理部门责令停止生产、进口、销售，没收违法所得，并处罚款。</t>
        </is>
      </c>
      <c r="AO46" s="341" t="inlineStr">
        <is>
          <t>其他激励或支持</t>
        </is>
      </c>
      <c r="AP46" s="341" t="inlineStr">
        <is>
          <t>国家鼓励生产和使用1级、2级高效节水洗碗机；通过节能节水产品认证等措施引导市场推广。</t>
        </is>
      </c>
      <c r="AQ46" s="341" t="inlineStr">
        <is>
          <t>N/A</t>
        </is>
      </c>
      <c r="AR46" s="341" t="inlineStr">
        <is>
          <t>N/A</t>
        </is>
      </c>
      <c r="AS46" s="341" t="inlineStr">
        <is>
          <t>C27</t>
        </is>
      </c>
      <c r="AT46" s="341" t="inlineStr">
        <is>
          <t>CO2</t>
        </is>
      </c>
      <c r="AU46" s="341" t="inlineStr">
        <is>
          <t>正向</t>
        </is>
      </c>
      <c r="AV46" s="341" t="inlineStr">
        <is>
          <t>节能；产业发展</t>
        </is>
      </c>
      <c r="AW46" s="341" t="inlineStr">
        <is>
          <t>GB 38383-2025 洗碗机能效水效限定值及等级</t>
        </is>
      </c>
      <c r="AX46" s="341" t="inlineStr">
        <is>
          <t>https://openstd.samr.gov.cn/bzgk/std/newGbInfo?hcno=07F29FB5DBEDB7C37FBE5AA2F9D31ED0</t>
        </is>
      </c>
      <c r="AY46" s="341" t="inlineStr">
        <is>
          <t>N/A</t>
        </is>
      </c>
      <c r="AZ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t>
        </is>
      </c>
      <c r="L47" s="341" t="inlineStr">
        <is>
          <t>直接</t>
        </is>
      </c>
      <c r="M47" s="341" t="inlineStr">
        <is>
          <t>国家</t>
        </is>
      </c>
      <c r="N47" s="341" t="inlineStr">
        <is>
          <t>N/A</t>
        </is>
      </c>
      <c r="O47" s="341" t="inlineStr">
        <is>
          <t>01/10/2016</t>
        </is>
      </c>
      <c r="P47" s="341" t="inlineStr">
        <is>
          <t>01/10/2016</t>
        </is>
      </c>
      <c r="Q47" s="341" t="inlineStr">
        <is>
          <t>N/A</t>
        </is>
      </c>
      <c r="R47" s="341" t="inlineStr">
        <is>
          <t>30/05/2025</t>
        </is>
      </c>
      <c r="S47" s="341" t="inlineStr">
        <is>
          <t>2025年5月30日发布GB 12021.2-2025替代GB 12021.2-2015，第5次修订，扩大至半导体制冷器具，新增容积利用率和智能电网响应要求，1级能效达到国际领先水平</t>
        </is>
      </c>
      <c r="T47" s="341">
        <f>IF(P47="","生效",IF(P47="N/A","生效",IF(TODAY()&lt;DATE(VALUE(RIGHT(P47,4)),VALUE(MID(P47,4,2)),VALUE(LEFT(P47,2))),"计划实施",IF(Q47="","生效",IF(Q47="N/A","生效",IF(TODAY()&lt;DATE(VALUE(RIGHT(Q47,4)),VALUE(MID(Q47,4,2)),VALUE(LEFT(Q47,2))),"生效","已终止"))))))</f>
        <v/>
      </c>
      <c r="U47" s="341" t="inlineStr">
        <is>
          <t>国家市场监督管理总局；国家标准化管理委员会</t>
        </is>
      </c>
      <c r="V47" s="341" t="inlineStr">
        <is>
          <t>家用电冰箱</t>
        </is>
      </c>
      <c r="W47" s="341" t="inlineStr">
        <is>
          <t>新建</t>
        </is>
      </c>
      <c r="X47" s="341" t="inlineStr">
        <is>
          <t>电机驱动压缩式家用电冰箱（含冷藏箱、冷冻箱、冷藏冷冻箱等），以及容积≤60L的半导体制冷器具。</t>
        </is>
      </c>
      <c r="Y47" s="341" t="inlineStr">
        <is>
          <t>N/A</t>
        </is>
      </c>
      <c r="Z47" s="341" t="inlineStr">
        <is>
          <t>N/A</t>
        </is>
      </c>
      <c r="AA47" s="341" t="inlineStr">
        <is>
          <t>企业</t>
        </is>
      </c>
      <c r="AB47" s="341" t="inlineStr">
        <is>
          <t>在中国境内生产、进口或销售家用电冰箱产品的生产企业和进口商。</t>
        </is>
      </c>
      <c r="AC47" s="341" t="inlineStr">
        <is>
          <t>生产；销售；进口</t>
        </is>
      </c>
      <c r="AD47" s="341" t="inlineStr">
        <is>
          <t>家用电冰箱产品的生产、进口和销售活动。产品须达到标准规定的耗电量限定值方可进入市场。</t>
        </is>
      </c>
      <c r="AE47" s="341" t="inlineStr">
        <is>
          <t>5级</t>
        </is>
      </c>
      <c r="AF47" s="341" t="inlineStr">
        <is>
          <t>能效等级</t>
        </is>
      </c>
      <c r="AG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H47" s="341" t="inlineStr">
        <is>
          <t>1）电冰箱须达到标准规定的耗电量限定值方可生产、进口或销售；2）产品须标注能效等级标识；3）能效等级分为1~5级，能效限定值为市场准入最低要求。</t>
        </is>
      </c>
      <c r="AI47" s="341" t="inlineStr">
        <is>
          <t>N/A</t>
        </is>
      </c>
      <c r="AJ47" s="341" t="inlineStr">
        <is>
          <t>N/A</t>
        </is>
      </c>
      <c r="AK47" s="341" t="inlineStr">
        <is>
          <t>政府机构开展的监督检查</t>
        </is>
      </c>
      <c r="AL47" s="341" t="inlineStr">
        <is>
          <t>市场监督管理部门对电冰箱产品进行能效标识监督检查和产品质量监督抽查。</t>
        </is>
      </c>
      <c r="AM47" s="341" t="inlineStr">
        <is>
          <t>合规命令；罚款</t>
        </is>
      </c>
      <c r="AN47" s="341" t="inlineStr">
        <is>
          <t>对生产、进口、销售不符合强制性能效标准的电冰箱产品的，由市场监督管理部门责令停止生产、进口、销售，没收违法所得，并处罚款。</t>
        </is>
      </c>
      <c r="AO47" s="341" t="inlineStr">
        <is>
          <t>其他激励或支持</t>
        </is>
      </c>
      <c r="AP47" s="341" t="inlineStr">
        <is>
          <t>国家鼓励生产和使用1级、2级高效电冰箱；通过节能产品认证、政府绿色采购等措施引导市场推广。</t>
        </is>
      </c>
      <c r="AQ47" s="341" t="inlineStr">
        <is>
          <t>N/A</t>
        </is>
      </c>
      <c r="AR47" s="341" t="inlineStr">
        <is>
          <t>N/A</t>
        </is>
      </c>
      <c r="AS47" s="341" t="inlineStr">
        <is>
          <t>C27</t>
        </is>
      </c>
      <c r="AT47" s="341" t="inlineStr">
        <is>
          <t>CO2</t>
        </is>
      </c>
      <c r="AU47" s="341" t="inlineStr">
        <is>
          <t>正向</t>
        </is>
      </c>
      <c r="AV47" s="341" t="inlineStr">
        <is>
          <t>节能；产业发展</t>
        </is>
      </c>
      <c r="AW47" s="341" t="inlineStr">
        <is>
          <t>GB 12021.2-2025 家用电冰箱耗电量限定值及能效等级</t>
        </is>
      </c>
      <c r="AX47" s="341" t="inlineStr">
        <is>
          <t>https://openstd.samr.gov.cn/bzgk/std/newGbInfo?hcno=9BC022A3FF2B7F7D733C3962C986DF7A</t>
        </is>
      </c>
      <c r="AY47" s="341" t="inlineStr">
        <is>
          <t>N/A</t>
        </is>
      </c>
      <c r="AZ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t>
        </is>
      </c>
      <c r="L48" s="341" t="inlineStr">
        <is>
          <t>直接</t>
        </is>
      </c>
      <c r="M48" s="341" t="inlineStr">
        <is>
          <t>国家</t>
        </is>
      </c>
      <c r="N48" s="341" t="inlineStr">
        <is>
          <t>N/A</t>
        </is>
      </c>
      <c r="O48" s="341" t="inlineStr">
        <is>
          <t>01/07/2012</t>
        </is>
      </c>
      <c r="P48" s="341" t="inlineStr">
        <is>
          <t>01/02/2013</t>
        </is>
      </c>
      <c r="Q48" s="341" t="inlineStr">
        <is>
          <t>N/A</t>
        </is>
      </c>
      <c r="R48" s="341" t="inlineStr">
        <is>
          <t>24/01/2025</t>
        </is>
      </c>
      <c r="S48" s="341" t="inlineStr">
        <is>
          <t>2025年1月24日发布GB 28380-2025替代GB 28380-2012，首次修订，更改分类方式和能效指标，更新典型能源消耗计算方法</t>
        </is>
      </c>
      <c r="T48" s="341">
        <f>IF(P48="","生效",IF(P48="N/A","生效",IF(TODAY()&lt;DATE(VALUE(RIGHT(P48,4)),VALUE(MID(P48,4,2)),VALUE(LEFT(P48,2))),"计划实施",IF(Q48="","生效",IF(Q48="N/A","生效",IF(TODAY()&lt;DATE(VALUE(RIGHT(Q48,4)),VALUE(MID(Q48,4,2)),VALUE(LEFT(Q48,2))),"生效","已终止"))))))</f>
        <v/>
      </c>
      <c r="U48" s="341" t="inlineStr">
        <is>
          <t>国家市场监督管理总局；国家标准化管理委员会</t>
        </is>
      </c>
      <c r="V48" s="341" t="inlineStr">
        <is>
          <t>微型计算机</t>
        </is>
      </c>
      <c r="W48" s="341" t="inlineStr">
        <is>
          <t>新建</t>
        </is>
      </c>
      <c r="X48" s="341" t="inlineStr">
        <is>
          <t>普通用途的台式微型计算机、便携式微型计算机（笔记本）等。不适用于平板电脑、工作站、大功率电源（&gt;500W）、小尺寸屏幕（&lt;11.6英寸）设备。</t>
        </is>
      </c>
      <c r="Y48" s="341" t="inlineStr">
        <is>
          <t>N/A</t>
        </is>
      </c>
      <c r="Z48" s="341" t="inlineStr">
        <is>
          <t>N/A</t>
        </is>
      </c>
      <c r="AA48" s="341" t="inlineStr">
        <is>
          <t>企业</t>
        </is>
      </c>
      <c r="AB48" s="341" t="inlineStr">
        <is>
          <t>在中国境内生产、进口或销售微型计算机产品的生产企业和进口商。</t>
        </is>
      </c>
      <c r="AC48" s="341" t="inlineStr">
        <is>
          <t>生产；销售；进口</t>
        </is>
      </c>
      <c r="AD48" s="341" t="inlineStr">
        <is>
          <t>微型计算机产品的生产、进口和销售活动。产品须达到标准规定的能效限定值方可进入市场。</t>
        </is>
      </c>
      <c r="AE48" s="341" t="inlineStr">
        <is>
          <t>3级</t>
        </is>
      </c>
      <c r="AF48" s="341" t="inlineStr">
        <is>
          <t>能效等级</t>
        </is>
      </c>
      <c r="AG48" s="341" t="inlineStr">
        <is>
          <t>微型计算机能效等级分为3级（1级最高），3级为能效限定值即市场准入最低要求。评价指标为典型能源消耗（TEC），综合考虑空闲、睡眠、关机等各状态功耗，按产品类型和配置分级量化。</t>
        </is>
      </c>
      <c r="AH48" s="341" t="inlineStr">
        <is>
          <t>1）微型计算机须达到标准规定的能效限定值（3级）方可生产、进口或销售；2）产品须标注能效等级标识；3）能效等级分为1级、2级、3级，3级为市场准入最低要求。</t>
        </is>
      </c>
      <c r="AI48" s="341" t="inlineStr">
        <is>
          <t>N/A</t>
        </is>
      </c>
      <c r="AJ48" s="341" t="inlineStr">
        <is>
          <t>N/A</t>
        </is>
      </c>
      <c r="AK48" s="341" t="inlineStr">
        <is>
          <t>政府机构开展的监督检查</t>
        </is>
      </c>
      <c r="AL48" s="341" t="inlineStr">
        <is>
          <t>市场监督管理部门对微型计算机产品进行能效标识监督检查和产品质量监督抽查。</t>
        </is>
      </c>
      <c r="AM48" s="341" t="inlineStr">
        <is>
          <t>合规命令；罚款</t>
        </is>
      </c>
      <c r="AN48" s="341" t="inlineStr">
        <is>
          <t>对生产、进口、销售不符合强制性能效标准的微型计算机产品的，由市场监督管理部门责令停止生产、进口、销售，没收违法所得，并处罚款。</t>
        </is>
      </c>
      <c r="AO48" s="341" t="inlineStr">
        <is>
          <t>其他激励或支持</t>
        </is>
      </c>
      <c r="AP48" s="341" t="inlineStr">
        <is>
          <t>国家鼓励生产和使用1级、2级高效微型计算机；通过节能产品认证、政府绿色采购等措施引导高效IT设备市场推广。</t>
        </is>
      </c>
      <c r="AQ48" s="341" t="inlineStr">
        <is>
          <t>N/A</t>
        </is>
      </c>
      <c r="AR48" s="341" t="inlineStr">
        <is>
          <t>N/A</t>
        </is>
      </c>
      <c r="AS48" s="341" t="inlineStr">
        <is>
          <t>C26</t>
        </is>
      </c>
      <c r="AT48" s="341" t="inlineStr">
        <is>
          <t>CO2</t>
        </is>
      </c>
      <c r="AU48" s="341" t="inlineStr">
        <is>
          <t>正向</t>
        </is>
      </c>
      <c r="AV48" s="341" t="inlineStr">
        <is>
          <t>节能；产业发展</t>
        </is>
      </c>
      <c r="AW48" s="341" t="inlineStr">
        <is>
          <t>GB 28380-2025 微型计算机能效限定值及能效等级</t>
        </is>
      </c>
      <c r="AX48" s="341" t="inlineStr">
        <is>
          <t>https://openstd.samr.gov.cn/bzgk/std/newGbInfo?hcno=4DD0EF686BBB0377E2BE393D90F678AE</t>
        </is>
      </c>
      <c r="AY48" s="341" t="inlineStr">
        <is>
          <t>N/A</t>
        </is>
      </c>
      <c r="AZ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t>
        </is>
      </c>
      <c r="L49" s="341" t="inlineStr">
        <is>
          <t>直接</t>
        </is>
      </c>
      <c r="M49" s="341" t="inlineStr">
        <is>
          <t>国家</t>
        </is>
      </c>
      <c r="N49" s="341" t="inlineStr">
        <is>
          <t>N/A</t>
        </is>
      </c>
      <c r="O49" s="341" t="inlineStr">
        <is>
          <t>09/06/2013</t>
        </is>
      </c>
      <c r="P49" s="341" t="inlineStr">
        <is>
          <t>01/10/2013</t>
        </is>
      </c>
      <c r="Q49" s="341" t="inlineStr">
        <is>
          <t>N/A</t>
        </is>
      </c>
      <c r="R49" s="341" t="inlineStr">
        <is>
          <t>31/03/2026</t>
        </is>
      </c>
      <c r="S49" s="341" t="inlineStr">
        <is>
          <t>2026年3月31日发布GB 12021.4-2026替代GB 12021.4-2013，首次纳入洗干一体机，容量上限扩至25kg，首设洗涤时长限值，测试方法更新</t>
        </is>
      </c>
      <c r="T49" s="341">
        <f>IF(P49="","生效",IF(P49="N/A","生效",IF(TODAY()&lt;DATE(VALUE(RIGHT(P49,4)),VALUE(MID(P49,4,2)),VALUE(LEFT(P49,2))),"计划实施",IF(Q49="","生效",IF(Q49="N/A","生效",IF(TODAY()&lt;DATE(VALUE(RIGHT(Q49,4)),VALUE(MID(Q49,4,2)),VALUE(LEFT(Q49,2))),"生效","已终止"))))))</f>
        <v/>
      </c>
      <c r="U49" s="341" t="inlineStr">
        <is>
          <t>国家市场监督管理总局；国家标准化管理委员会</t>
        </is>
      </c>
      <c r="V49" s="341" t="inlineStr">
        <is>
          <t>电动洗衣机和洗干一体机</t>
        </is>
      </c>
      <c r="W49" s="341" t="inlineStr">
        <is>
          <t>新建</t>
        </is>
      </c>
      <c r="X49" s="341" t="inlineStr">
        <is>
          <t>家用和类似用途电动洗衣机（滚筒式和波轮式），额定洗涤容量上限25kg；洗干一体机。</t>
        </is>
      </c>
      <c r="Y49" s="341" t="inlineStr">
        <is>
          <t>N/A</t>
        </is>
      </c>
      <c r="Z49" s="341" t="inlineStr">
        <is>
          <t>N/A</t>
        </is>
      </c>
      <c r="AA49" s="341" t="inlineStr">
        <is>
          <t>企业</t>
        </is>
      </c>
      <c r="AB49" s="341" t="inlineStr">
        <is>
          <t>在中国境内生产、进口或销售电动洗衣机和洗干一体机产品的生产企业和进口商。</t>
        </is>
      </c>
      <c r="AC49" s="341" t="inlineStr">
        <is>
          <t>生产；销售；进口</t>
        </is>
      </c>
      <c r="AD49" s="341" t="inlineStr">
        <is>
          <t>电动洗衣机和洗干一体机的生产、进口和销售。产品须达到标准规定的能效水效限定值方可进入市场。</t>
        </is>
      </c>
      <c r="AE49" s="341" t="inlineStr">
        <is>
          <t>5级</t>
        </is>
      </c>
      <c r="AF49" s="341" t="inlineStr">
        <is>
          <t>能效水效等级</t>
        </is>
      </c>
      <c r="AG49" s="341" t="inlineStr">
        <is>
          <t>能效水效等级分为5级（1级最高），5级中的某一级为限定值即市场准入最低要求。评价指标包括单位耗电量（kW·h/cycle）、单位用水量（L/cycle）、洗涤时长（滚筒式≤192min，波轮式≤96min）、洗净比等。</t>
        </is>
      </c>
      <c r="AH49" s="341" t="inlineStr">
        <is>
          <t>1）电动洗衣机和洗干一体机须达到标准规定的能效水效限定值方可生产、进口或销售；2）产品须标注能效水效等级标识；3）等级分为1~5级，能效水效限定值为市场准入最低要求。</t>
        </is>
      </c>
      <c r="AI49" s="341" t="inlineStr">
        <is>
          <t>N/A</t>
        </is>
      </c>
      <c r="AJ49" s="341" t="inlineStr">
        <is>
          <t>N/A</t>
        </is>
      </c>
      <c r="AK49" s="341" t="inlineStr">
        <is>
          <t>政府机构开展的监督检查</t>
        </is>
      </c>
      <c r="AL49" s="341" t="inlineStr">
        <is>
          <t>市场监督管理部门对洗衣机和洗干一体机产品进行能效水效标识监督检查和产品质量监督抽查。</t>
        </is>
      </c>
      <c r="AM49" s="341" t="inlineStr">
        <is>
          <t>合规命令；罚款</t>
        </is>
      </c>
      <c r="AN49" s="341" t="inlineStr">
        <is>
          <t>对生产、进口、销售不符合强制性能效水效标准的洗衣机和洗干一体机产品的，由市场监督管理部门责令停止生产、进口、销售，没收违法所得，并处罚款。</t>
        </is>
      </c>
      <c r="AO49" s="341" t="inlineStr">
        <is>
          <t>其他激励或支持</t>
        </is>
      </c>
      <c r="AP49" s="341" t="inlineStr">
        <is>
          <t>国家鼓励生产和使用1级、2级高效节水洗衣机；通过节能节水产品认证等措施引导市场推广。</t>
        </is>
      </c>
      <c r="AQ49" s="341" t="inlineStr">
        <is>
          <t>N/A</t>
        </is>
      </c>
      <c r="AR49" s="341" t="inlineStr">
        <is>
          <t>N/A</t>
        </is>
      </c>
      <c r="AS49" s="341" t="inlineStr">
        <is>
          <t>C27</t>
        </is>
      </c>
      <c r="AT49" s="341" t="inlineStr">
        <is>
          <t>CO2</t>
        </is>
      </c>
      <c r="AU49" s="341" t="inlineStr">
        <is>
          <t>正向</t>
        </is>
      </c>
      <c r="AV49" s="341" t="inlineStr">
        <is>
          <t>节能；产业发展</t>
        </is>
      </c>
      <c r="AW49" s="341" t="inlineStr">
        <is>
          <t>GB 12021.4-2026 电动洗衣机和洗干一体机能效水效限定值及等级</t>
        </is>
      </c>
      <c r="AX49" s="341" t="inlineStr">
        <is>
          <t>https://openstd.samr.gov.cn/bzgk/std/newGbInfo?hcno=4804719D7D206D7538788BE44F54DC64</t>
        </is>
      </c>
      <c r="AY49" s="341" t="inlineStr">
        <is>
          <t>N/A</t>
        </is>
      </c>
      <c r="AZ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t>
        </is>
      </c>
      <c r="L50" s="341" t="inlineStr">
        <is>
          <t>直接</t>
        </is>
      </c>
      <c r="M50" s="341" t="inlineStr">
        <is>
          <t>国家</t>
        </is>
      </c>
      <c r="N50" s="341" t="inlineStr">
        <is>
          <t>N/A</t>
        </is>
      </c>
      <c r="O50" s="341" t="inlineStr">
        <is>
          <t>04/04/2019</t>
        </is>
      </c>
      <c r="P50" s="341" t="inlineStr">
        <is>
          <t>01/11/2020</t>
        </is>
      </c>
      <c r="Q50" s="341" t="inlineStr">
        <is>
          <t>N/A</t>
        </is>
      </c>
      <c r="R50" s="341" t="inlineStr">
        <is>
          <t>N/A</t>
        </is>
      </c>
      <c r="S50" s="341" t="inlineStr">
        <is>
          <t>N/A</t>
        </is>
      </c>
      <c r="T50" s="341">
        <f>IF(P50="","生效",IF(P50="N/A","生效",IF(TODAY()&lt;DATE(VALUE(RIGHT(P50,4)),VALUE(MID(P50,4,2)),VALUE(LEFT(P50,2))),"计划实施",IF(Q50="","生效",IF(Q50="N/A","生效",IF(TODAY()&lt;DATE(VALUE(RIGHT(Q50,4)),VALUE(MID(Q50,4,2)),VALUE(LEFT(Q50,2))),"生效","已终止"))))))</f>
        <v/>
      </c>
      <c r="U50" s="341" t="inlineStr">
        <is>
          <t>国家市场监督管理总局；国家标准化管理委员会</t>
        </is>
      </c>
      <c r="V50" s="341" t="inlineStr">
        <is>
          <t>污水处理用旋转曝气机</t>
        </is>
      </c>
      <c r="W50" s="341" t="inlineStr">
        <is>
          <t>新建</t>
        </is>
      </c>
      <c r="X50" s="341" t="inlineStr">
        <is>
          <t>各种型式的氧化沟转刷曝气机、氧化沟转盘曝气机、氧化沟立式表面曝气机和氧化沟卧式表面曝气机。</t>
        </is>
      </c>
      <c r="Y50" s="341" t="inlineStr">
        <is>
          <t>N/A</t>
        </is>
      </c>
      <c r="Z50" s="341" t="inlineStr">
        <is>
          <t>N/A</t>
        </is>
      </c>
      <c r="AA50" s="341" t="inlineStr">
        <is>
          <t>企业</t>
        </is>
      </c>
      <c r="AB50" s="341" t="inlineStr">
        <is>
          <t>在中国境内生产、进口或销售污水处理用旋转曝气机产品的生产企业和进口商。</t>
        </is>
      </c>
      <c r="AC50" s="341" t="inlineStr">
        <is>
          <t>生产；销售；进口</t>
        </is>
      </c>
      <c r="AD50" s="341" t="inlineStr">
        <is>
          <t>污水处理用旋转曝气机产品的生产、进口和销售活动。产品须达到标准规定的能效限定值方可进入市场。</t>
        </is>
      </c>
      <c r="AE50" s="341" t="inlineStr">
        <is>
          <t>3级</t>
        </is>
      </c>
      <c r="AF50" s="341" t="inlineStr">
        <is>
          <t>能效等级</t>
        </is>
      </c>
      <c r="AG50" s="341" t="inlineStr">
        <is>
          <t>旋转曝气机能效等级分为3级（1级最高），3级为能效限定值即市场准入最低要求。评价指标为充氧效率（kg/(kW·h)），按曝气机类型和规格分级量化限定值。</t>
        </is>
      </c>
      <c r="AH50" s="341" t="inlineStr">
        <is>
          <t>1）污水处理用旋转曝气机须达到标准规定的能效限定值（3级）方可生产、进口或销售；2）产品须标注能效等级标识；3）能效等级分为1级、2级、3级，3级为市场准入最低要求。</t>
        </is>
      </c>
      <c r="AI50" s="341" t="inlineStr">
        <is>
          <t>N/A</t>
        </is>
      </c>
      <c r="AJ50" s="341" t="inlineStr">
        <is>
          <t>N/A</t>
        </is>
      </c>
      <c r="AK50" s="341" t="inlineStr">
        <is>
          <t>政府机构开展的监督检查</t>
        </is>
      </c>
      <c r="AL50" s="341" t="inlineStr">
        <is>
          <t>市场监督管理部门对旋转曝气机产品进行能效标识监督检查和产品质量监督抽查。</t>
        </is>
      </c>
      <c r="AM50" s="341" t="inlineStr">
        <is>
          <t>合规命令；罚款</t>
        </is>
      </c>
      <c r="AN50" s="341" t="inlineStr">
        <is>
          <t>对生产、进口、销售不符合强制性能效标准的旋转曝气机产品的，由市场监督管理部门责令停止生产、进口、销售，没收违法所得，并处罚款。</t>
        </is>
      </c>
      <c r="AO50" s="341" t="inlineStr">
        <is>
          <t>其他激励或支持</t>
        </is>
      </c>
      <c r="AP50" s="341" t="inlineStr">
        <is>
          <t>国家鼓励生产和使用1级、2级高效旋转曝气机；通过节能产品认证等措施引导高效环保设备市场推广。</t>
        </is>
      </c>
      <c r="AQ50" s="341" t="inlineStr">
        <is>
          <t>N/A</t>
        </is>
      </c>
      <c r="AR50" s="341" t="inlineStr">
        <is>
          <t>N/A</t>
        </is>
      </c>
      <c r="AS50" s="341" t="inlineStr">
        <is>
          <t>C28</t>
        </is>
      </c>
      <c r="AT50" s="341" t="inlineStr">
        <is>
          <t>CO2</t>
        </is>
      </c>
      <c r="AU50" s="341" t="inlineStr">
        <is>
          <t>正向</t>
        </is>
      </c>
      <c r="AV50" s="341" t="inlineStr">
        <is>
          <t>节能；产业发展</t>
        </is>
      </c>
      <c r="AW50" s="341" t="inlineStr">
        <is>
          <t>GB 37483-2019 污水处理用旋转曝气机能效限定值及能效等级</t>
        </is>
      </c>
      <c r="AX50" s="341" t="inlineStr">
        <is>
          <t>https://openstd.samr.gov.cn/bzgk/std/newGbInfo?hcno=F735E1D19562E996DB548E1A02251B05</t>
        </is>
      </c>
      <c r="AY50" s="341" t="inlineStr">
        <is>
          <t>N/A</t>
        </is>
      </c>
      <c r="AZ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t>
        </is>
      </c>
      <c r="L51" s="341" t="inlineStr">
        <is>
          <t>直接</t>
        </is>
      </c>
      <c r="M51" s="341" t="inlineStr">
        <is>
          <t>国家</t>
        </is>
      </c>
      <c r="N51" s="341" t="inlineStr">
        <is>
          <t>N/A</t>
        </is>
      </c>
      <c r="O51" s="341" t="inlineStr">
        <is>
          <t>04/04/2019</t>
        </is>
      </c>
      <c r="P51" s="341" t="inlineStr">
        <is>
          <t>01/11/2020</t>
        </is>
      </c>
      <c r="Q51" s="341" t="inlineStr">
        <is>
          <t>N/A</t>
        </is>
      </c>
      <c r="R51" s="341" t="inlineStr">
        <is>
          <t>N/A</t>
        </is>
      </c>
      <c r="S51" s="341" t="inlineStr">
        <is>
          <t>N/A</t>
        </is>
      </c>
      <c r="T51" s="341">
        <f>IF(P51="","生效",IF(P51="N/A","生效",IF(TODAY()&lt;DATE(VALUE(RIGHT(P51,4)),VALUE(MID(P51,4,2)),VALUE(LEFT(P51,2))),"计划实施",IF(Q51="","生效",IF(Q51="N/A","生效",IF(TODAY()&lt;DATE(VALUE(RIGHT(Q51,4)),VALUE(MID(Q51,4,2)),VALUE(LEFT(Q51,2))),"生效","已终止"))))))</f>
        <v/>
      </c>
      <c r="U51" s="341" t="inlineStr">
        <is>
          <t>国家市场监督管理总局；国家标准化管理委员会</t>
        </is>
      </c>
      <c r="V51" s="341" t="inlineStr">
        <is>
          <t>污水处理用潜水推流式搅拌机</t>
        </is>
      </c>
      <c r="W51" s="341" t="inlineStr">
        <is>
          <t>新建</t>
        </is>
      </c>
      <c r="X51" s="341" t="inlineStr">
        <is>
          <t>污水处理厂（站）厌氧区、缺氧区、好氧区等工艺段使用的潜水推流式搅拌机。</t>
        </is>
      </c>
      <c r="Y51" s="341" t="inlineStr">
        <is>
          <t>N/A</t>
        </is>
      </c>
      <c r="Z51" s="341" t="inlineStr">
        <is>
          <t>N/A</t>
        </is>
      </c>
      <c r="AA51" s="341" t="inlineStr">
        <is>
          <t>企业</t>
        </is>
      </c>
      <c r="AB51" s="341" t="inlineStr">
        <is>
          <t>在中国境内生产、进口或销售污水处理用潜水推流式搅拌机产品的生产企业和进口商。</t>
        </is>
      </c>
      <c r="AC51" s="341" t="inlineStr">
        <is>
          <t>生产；销售；进口</t>
        </is>
      </c>
      <c r="AD51" s="341" t="inlineStr">
        <is>
          <t>潜水推流式搅拌机产品的生产、进口和销售活动。产品须达到标准规定的能效限定值方可进入市场。</t>
        </is>
      </c>
      <c r="AE51" s="341" t="inlineStr">
        <is>
          <t>3级</t>
        </is>
      </c>
      <c r="AF51" s="341" t="inlineStr">
        <is>
          <t>能效等级</t>
        </is>
      </c>
      <c r="AG51" s="341" t="inlineStr">
        <is>
          <t>潜水推流式搅拌机能效等级分为3级（1级最高），3级为能效限定值即市场准入最低要求。评价指标为单位输入功率的推流流量（m³/(h·W)），按搅拌机规格分级量化限定值。</t>
        </is>
      </c>
      <c r="AH51" s="341" t="inlineStr">
        <is>
          <t>1）污水处理用潜水推流式搅拌机须达到标准规定的能效限定值（3级）方可生产、进口或销售；2）产品须标注能效等级标识；3）能效等级分为1级、2级、3级，3级为市场准入最低要求。</t>
        </is>
      </c>
      <c r="AI51" s="341" t="inlineStr">
        <is>
          <t>N/A</t>
        </is>
      </c>
      <c r="AJ51" s="341" t="inlineStr">
        <is>
          <t>N/A</t>
        </is>
      </c>
      <c r="AK51" s="341" t="inlineStr">
        <is>
          <t>政府机构开展的监督检查</t>
        </is>
      </c>
      <c r="AL51" s="341" t="inlineStr">
        <is>
          <t>市场监督管理部门对潜水推流式搅拌机产品进行能效标识监督检查和产品质量监督抽查。</t>
        </is>
      </c>
      <c r="AM51" s="341" t="inlineStr">
        <is>
          <t>合规命令；罚款</t>
        </is>
      </c>
      <c r="AN51" s="341" t="inlineStr">
        <is>
          <t>对生产、进口、销售不符合强制性能效标准的潜水推流式搅拌机产品的，由市场监督管理部门责令停止生产、进口、销售，没收违法所得，并处罚款。</t>
        </is>
      </c>
      <c r="AO51" s="341" t="inlineStr">
        <is>
          <t>其他激励或支持</t>
        </is>
      </c>
      <c r="AP51" s="341" t="inlineStr">
        <is>
          <t>国家鼓励生产和使用1级、2级高效潜水推流式搅拌机；通过节能产品认证等措施引导高效环保设备市场推广。</t>
        </is>
      </c>
      <c r="AQ51" s="341" t="inlineStr">
        <is>
          <t>N/A</t>
        </is>
      </c>
      <c r="AR51" s="341" t="inlineStr">
        <is>
          <t>N/A</t>
        </is>
      </c>
      <c r="AS51" s="341" t="inlineStr">
        <is>
          <t>C28</t>
        </is>
      </c>
      <c r="AT51" s="341" t="inlineStr">
        <is>
          <t>CO2</t>
        </is>
      </c>
      <c r="AU51" s="341" t="inlineStr">
        <is>
          <t>正向</t>
        </is>
      </c>
      <c r="AV51" s="341" t="inlineStr">
        <is>
          <t>节能；产业发展</t>
        </is>
      </c>
      <c r="AW51" s="341" t="inlineStr">
        <is>
          <t>GB 37485-2019 污水处理用潜水推流式搅拌机能效限定值及能效等级</t>
        </is>
      </c>
      <c r="AX51" s="341" t="inlineStr">
        <is>
          <t>https://openstd.samr.gov.cn/bzgk/gb/newGbInfo?hcno=CE7904294CC2751F6617EAC7A6665D58</t>
        </is>
      </c>
      <c r="AY51" s="341" t="inlineStr">
        <is>
          <t>N/A</t>
        </is>
      </c>
      <c r="AZ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t>
        </is>
      </c>
      <c r="L52" s="341" t="inlineStr">
        <is>
          <t>直接</t>
        </is>
      </c>
      <c r="M52" s="341" t="inlineStr">
        <is>
          <t>国家</t>
        </is>
      </c>
      <c r="N52" s="341" t="inlineStr">
        <is>
          <t>N/A</t>
        </is>
      </c>
      <c r="O52" s="341" t="inlineStr">
        <is>
          <t>30/12/2005</t>
        </is>
      </c>
      <c r="P52" s="341" t="inlineStr">
        <is>
          <t>01/08/2006</t>
        </is>
      </c>
      <c r="Q52" s="341" t="inlineStr">
        <is>
          <t>N/A</t>
        </is>
      </c>
      <c r="R52" s="341" t="inlineStr">
        <is>
          <t>28/02/2025</t>
        </is>
      </c>
      <c r="S52" s="341" t="inlineStr">
        <is>
          <t>2025年2月28日发布GB 19762-2025替代GB 19762-2007和GB 32284-2015，首次合并清水离心泵与石油化工离心泵能效标准，统一评价体系</t>
        </is>
      </c>
      <c r="T52" s="341">
        <f>IF(P52="","生效",IF(P52="N/A","生效",IF(TODAY()&lt;DATE(VALUE(RIGHT(P52,4)),VALUE(MID(P52,4,2)),VALUE(LEFT(P52,2))),"计划实施",IF(Q52="","生效",IF(Q52="N/A","生效",IF(TODAY()&lt;DATE(VALUE(RIGHT(Q52,4)),VALUE(MID(Q52,4,2)),VALUE(LEFT(Q52,2))),"生效","已终止"))))))</f>
        <v/>
      </c>
      <c r="U52" s="341" t="inlineStr">
        <is>
          <t>国家市场监督管理总局；国家标准化管理委员会</t>
        </is>
      </c>
      <c r="V52" s="341" t="inlineStr">
        <is>
          <t>离心泵</t>
        </is>
      </c>
      <c r="W52" s="341" t="inlineStr">
        <is>
          <t>新建</t>
        </is>
      </c>
      <c r="X52" s="341" t="inlineStr">
        <is>
          <t>驱动电动机功率1kW~1250kW的清水离心泵（单级单吸、单级双吸、多级）和石油化工离心泵。</t>
        </is>
      </c>
      <c r="Y52" s="341" t="inlineStr">
        <is>
          <t>N/A</t>
        </is>
      </c>
      <c r="Z52" s="341" t="inlineStr">
        <is>
          <t>N/A</t>
        </is>
      </c>
      <c r="AA52" s="341" t="inlineStr">
        <is>
          <t>企业</t>
        </is>
      </c>
      <c r="AB52" s="341" t="inlineStr">
        <is>
          <t>在中国境内生产、进口或销售离心泵产品的生产企业和进口商。</t>
        </is>
      </c>
      <c r="AC52" s="341" t="inlineStr">
        <is>
          <t>生产；销售；进口</t>
        </is>
      </c>
      <c r="AD52" s="341" t="inlineStr">
        <is>
          <t>离心泵产品的生产、进口和销售活动。产品须达到标准规定的能效限定值方可进入市场。</t>
        </is>
      </c>
      <c r="AE52" s="341" t="inlineStr">
        <is>
          <t>3级</t>
        </is>
      </c>
      <c r="AF52" s="341" t="inlineStr">
        <is>
          <t>能效等级</t>
        </is>
      </c>
      <c r="AG52" s="341" t="inlineStr">
        <is>
          <t>离心泵能效等级分为3级（1级最高），3级为能效限定值即市场准入最低要求。评价指标为泵效率（%），按泵类型（单级单吸/单级双吸/多级）、比转速和流量分级量化。石油化工离心泵另设独立的效率限值表。</t>
        </is>
      </c>
      <c r="AH52" s="341" t="inlineStr">
        <is>
          <t>1）离心泵须达到标准规定的能效限定值（3级）方可生产、进口或销售；2）产品须标注能效等级标识；3）能效等级分为1级、2级、3级，3级为市场准入最低要求。</t>
        </is>
      </c>
      <c r="AI52" s="341" t="inlineStr">
        <is>
          <t>N/A</t>
        </is>
      </c>
      <c r="AJ52" s="341" t="inlineStr">
        <is>
          <t>N/A</t>
        </is>
      </c>
      <c r="AK52" s="341" t="inlineStr">
        <is>
          <t>政府机构开展的监督检查</t>
        </is>
      </c>
      <c r="AL52" s="341" t="inlineStr">
        <is>
          <t>市场监督管理部门对离心泵产品进行能效标识监督检查和产品质量监督抽查。</t>
        </is>
      </c>
      <c r="AM52" s="341" t="inlineStr">
        <is>
          <t>合规命令；罚款</t>
        </is>
      </c>
      <c r="AN52" s="341" t="inlineStr">
        <is>
          <t>对生产、进口、销售不符合强制性能效标准的离心泵产品的，由市场监督管理部门责令停止生产、进口、销售，没收违法所得，并处罚款。</t>
        </is>
      </c>
      <c r="AO52" s="341" t="inlineStr">
        <is>
          <t>其他激励或支持</t>
        </is>
      </c>
      <c r="AP52" s="341" t="inlineStr">
        <is>
          <t>国家鼓励生产和使用1级、2级高效离心泵；通过节能产品认证、政府绿色采购等措施引导高效泵产品市场推广。</t>
        </is>
      </c>
      <c r="AQ52" s="341" t="inlineStr">
        <is>
          <t>N/A</t>
        </is>
      </c>
      <c r="AR52" s="341" t="inlineStr">
        <is>
          <t>N/A</t>
        </is>
      </c>
      <c r="AS52" s="341" t="inlineStr">
        <is>
          <t>C28</t>
        </is>
      </c>
      <c r="AT52" s="341" t="inlineStr">
        <is>
          <t>CO2</t>
        </is>
      </c>
      <c r="AU52" s="341" t="inlineStr">
        <is>
          <t>正向</t>
        </is>
      </c>
      <c r="AV52" s="341" t="inlineStr">
        <is>
          <t>节能；产业发展</t>
        </is>
      </c>
      <c r="AW52" s="341" t="inlineStr">
        <is>
          <t>GB 19762-2025 离心泵能效限定值及能效等级</t>
        </is>
      </c>
      <c r="AX52" s="341" t="inlineStr">
        <is>
          <t>https://openstd.samr.gov.cn/bzgk/std/newGbInfo?hcno=71D054118B5AD7FDAF8F83BCEDA0DA81</t>
        </is>
      </c>
      <c r="AY52" s="341" t="inlineStr">
        <is>
          <t>N/A</t>
        </is>
      </c>
      <c r="AZ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t>
        </is>
      </c>
      <c r="L53" s="341" t="inlineStr">
        <is>
          <t>直接</t>
        </is>
      </c>
      <c r="M53" s="341" t="inlineStr">
        <is>
          <t>国家</t>
        </is>
      </c>
      <c r="N53" s="341" t="inlineStr">
        <is>
          <t>N/A</t>
        </is>
      </c>
      <c r="O53" s="341" t="inlineStr">
        <is>
          <t>04/04/2019</t>
        </is>
      </c>
      <c r="P53" s="341" t="inlineStr">
        <is>
          <t>01/11/2020</t>
        </is>
      </c>
      <c r="Q53" s="341" t="inlineStr">
        <is>
          <t>N/A</t>
        </is>
      </c>
      <c r="R53" s="341" t="inlineStr">
        <is>
          <t>N/A</t>
        </is>
      </c>
      <c r="S53" s="341" t="inlineStr">
        <is>
          <t>N/A</t>
        </is>
      </c>
      <c r="T53" s="341">
        <f>IF(P53="","生效",IF(P53="N/A","生效",IF(TODAY()&lt;DATE(VALUE(RIGHT(P53,4)),VALUE(MID(P53,4,2)),VALUE(LEFT(P53,2))),"计划实施",IF(Q53="","生效",IF(Q53="N/A","生效",IF(TODAY()&lt;DATE(VALUE(RIGHT(Q53,4)),VALUE(MID(Q53,4,2)),VALUE(LEFT(Q53,2))),"生效","已终止"))))))</f>
        <v/>
      </c>
      <c r="U53" s="341" t="inlineStr">
        <is>
          <t>国家市场监督管理总局；国家标准化管理委员会</t>
        </is>
      </c>
      <c r="V53" s="341" t="inlineStr">
        <is>
          <t>除尘器</t>
        </is>
      </c>
      <c r="W53" s="341" t="inlineStr">
        <is>
          <t>新建</t>
        </is>
      </c>
      <c r="X53" s="341" t="inlineStr">
        <is>
          <t>燃煤电厂、钢铁、水泥、化工等行业的电除尘器和袋式除尘器。</t>
        </is>
      </c>
      <c r="Y53" s="341" t="inlineStr">
        <is>
          <t>N/A</t>
        </is>
      </c>
      <c r="Z53" s="341" t="inlineStr">
        <is>
          <t>N/A</t>
        </is>
      </c>
      <c r="AA53" s="341" t="inlineStr">
        <is>
          <t>企业</t>
        </is>
      </c>
      <c r="AB53" s="341" t="inlineStr">
        <is>
          <t>在中国境内生产、进口或销售除尘器产品的生产企业和进口商。</t>
        </is>
      </c>
      <c r="AC53" s="341" t="inlineStr">
        <is>
          <t>生产；销售；进口</t>
        </is>
      </c>
      <c r="AD53" s="341" t="inlineStr">
        <is>
          <t>除尘器产品的生产、进口和销售活动。产品须达到标准规定的能效限定值方可进入市场。</t>
        </is>
      </c>
      <c r="AE53" s="341" t="inlineStr">
        <is>
          <t>3级</t>
        </is>
      </c>
      <c r="AF53" s="341" t="inlineStr">
        <is>
          <t>能效等级</t>
        </is>
      </c>
      <c r="AG53" s="341" t="inlineStr">
        <is>
          <t>除尘器能效等级分为3级（1级最高），3级为能效限定值即市场准入最低要求。评价指标为除尘器能效比（m³/(W·h)），综合考虑单位功耗的处理风量。</t>
        </is>
      </c>
      <c r="AH53" s="341" t="inlineStr">
        <is>
          <t>1）除尘器须达到标准规定的能效限定值（3级）方可生产、进口或销售；2）产品须标注能效等级标识；3）能效等级分为1级、2级、3级，3级为市场准入最低要求。</t>
        </is>
      </c>
      <c r="AI53" s="341" t="inlineStr">
        <is>
          <t>N/A</t>
        </is>
      </c>
      <c r="AJ53" s="341" t="inlineStr">
        <is>
          <t>N/A</t>
        </is>
      </c>
      <c r="AK53" s="341" t="inlineStr">
        <is>
          <t>政府机构开展的监督检查</t>
        </is>
      </c>
      <c r="AL53" s="341" t="inlineStr">
        <is>
          <t>市场监督管理部门对除尘器产品进行能效标识监督检查和产品质量监督抽查。</t>
        </is>
      </c>
      <c r="AM53" s="341" t="inlineStr">
        <is>
          <t>合规命令；罚款</t>
        </is>
      </c>
      <c r="AN53" s="341" t="inlineStr">
        <is>
          <t>对生产、进口、销售不符合强制性能效标准的除尘器产品的，由市场监督管理部门责令停止生产、进口、销售，没收违法所得，并处罚款。</t>
        </is>
      </c>
      <c r="AO53" s="341" t="inlineStr">
        <is>
          <t>其他激励或支持</t>
        </is>
      </c>
      <c r="AP53" s="341" t="inlineStr">
        <is>
          <t>国家鼓励生产和使用1级、2级高效除尘器；通过节能产品认证等措施引导高效环保设备市场推广。</t>
        </is>
      </c>
      <c r="AQ53" s="341" t="inlineStr">
        <is>
          <t>N/A</t>
        </is>
      </c>
      <c r="AR53" s="341" t="inlineStr">
        <is>
          <t>N/A</t>
        </is>
      </c>
      <c r="AS53" s="341" t="inlineStr">
        <is>
          <t>C28</t>
        </is>
      </c>
      <c r="AT53" s="341" t="inlineStr">
        <is>
          <t>CO2</t>
        </is>
      </c>
      <c r="AU53" s="341" t="inlineStr">
        <is>
          <t>正向</t>
        </is>
      </c>
      <c r="AV53" s="341" t="inlineStr">
        <is>
          <t>节能；产业发展</t>
        </is>
      </c>
      <c r="AW53" s="341" t="inlineStr">
        <is>
          <t>GB 37484-2019 除尘器能效限定值及能效等级</t>
        </is>
      </c>
      <c r="AX53" s="341" t="inlineStr">
        <is>
          <t>https://openstd.samr.gov.cn/bzgk/gb/newGbInfo?hcno=EF6C84C6A26DE2617D88B7E658186B48</t>
        </is>
      </c>
      <c r="AY53" s="341" t="inlineStr">
        <is>
          <t>N/A</t>
        </is>
      </c>
      <c r="AZ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t>
        </is>
      </c>
      <c r="L54" s="341" t="inlineStr">
        <is>
          <t>直接</t>
        </is>
      </c>
      <c r="M54" s="341" t="inlineStr">
        <is>
          <t>国家</t>
        </is>
      </c>
      <c r="N54" s="341" t="inlineStr">
        <is>
          <t>N/A</t>
        </is>
      </c>
      <c r="O54" s="341" t="inlineStr">
        <is>
          <t>10/12/2015</t>
        </is>
      </c>
      <c r="P54" s="341" t="inlineStr">
        <is>
          <t>01/01/2017</t>
        </is>
      </c>
      <c r="Q54" s="341" t="inlineStr">
        <is>
          <t>N/A</t>
        </is>
      </c>
      <c r="R54" s="341" t="inlineStr">
        <is>
          <t>N/A</t>
        </is>
      </c>
      <c r="S54" s="341" t="inlineStr">
        <is>
          <t>N/A</t>
        </is>
      </c>
      <c r="T54" s="341">
        <f>IF(P54="","生效",IF(P54="N/A","生效",IF(TODAY()&lt;DATE(VALUE(RIGHT(P54,4)),VALUE(MID(P54,4,2)),VALUE(LEFT(P54,2))),"计划实施",IF(Q54="","生效",IF(Q54="N/A","生效",IF(TODAY()&lt;DATE(VALUE(RIGHT(Q54,4)),VALUE(MID(Q54,4,2)),VALUE(LEFT(Q54,2))),"生效","已终止"))))))</f>
        <v/>
      </c>
      <c r="U54" s="341" t="inlineStr">
        <is>
          <t>国家市场监督管理总局；国家标准化管理委员会</t>
        </is>
      </c>
      <c r="V54" s="341" t="inlineStr">
        <is>
          <t>水电解制氢系统</t>
        </is>
      </c>
      <c r="W54" s="341" t="inlineStr">
        <is>
          <t>新建</t>
        </is>
      </c>
      <c r="X54" s="341" t="inlineStr">
        <is>
          <t>工业用碱性水电解制氢系统和质子交换膜（PEM）水电解制氢系统。</t>
        </is>
      </c>
      <c r="Y54" s="341" t="inlineStr">
        <is>
          <t>N/A</t>
        </is>
      </c>
      <c r="Z54" s="341" t="inlineStr">
        <is>
          <t>N/A</t>
        </is>
      </c>
      <c r="AA54" s="341" t="inlineStr">
        <is>
          <t>企业</t>
        </is>
      </c>
      <c r="AB54" s="341" t="inlineStr">
        <is>
          <t>在中国境内生产、进口或销售水电解制氢系统产品的生产企业和进口商。</t>
        </is>
      </c>
      <c r="AC54" s="341" t="inlineStr">
        <is>
          <t>生产；销售；进口</t>
        </is>
      </c>
      <c r="AD54" s="341" t="inlineStr">
        <is>
          <t>水电解制氢系统产品的生产、进口和销售活动。产品须达到标准规定的能效限定值方可进入市场。</t>
        </is>
      </c>
      <c r="AE54" s="341" t="inlineStr">
        <is>
          <t>3级</t>
        </is>
      </c>
      <c r="AF54" s="341" t="inlineStr">
        <is>
          <t>能效等级</t>
        </is>
      </c>
      <c r="AG54" s="341" t="inlineStr">
        <is>
          <t>水电解制氢系统能效等级分为3级（1级最高），3级为能效限定值即市场准入最低要求。评价指标为单位氢气产量的直流电耗（kW·h/m³H₂或kW·h/kgH₂），按电解技术路线（碱性/PEM）和系统规模分级量化。</t>
        </is>
      </c>
      <c r="AH54" s="341" t="inlineStr">
        <is>
          <t>1）水电解制氢系统须达到标准规定的能效限定值（3级）方可生产、进口或销售；2）产品须标注能效等级标识；3）能效等级分为1级、2级、3级，3级为市场准入最低要求。</t>
        </is>
      </c>
      <c r="AI54" s="341" t="inlineStr">
        <is>
          <t>N/A</t>
        </is>
      </c>
      <c r="AJ54" s="341" t="inlineStr">
        <is>
          <t>N/A</t>
        </is>
      </c>
      <c r="AK54" s="341" t="inlineStr">
        <is>
          <t>政府机构开展的监督检查</t>
        </is>
      </c>
      <c r="AL54" s="341" t="inlineStr">
        <is>
          <t>市场监督管理部门对水电解制氢系统产品进行能效标识监督检查和产品质量监督抽查。</t>
        </is>
      </c>
      <c r="AM54" s="341" t="inlineStr">
        <is>
          <t>合规命令；罚款</t>
        </is>
      </c>
      <c r="AN54" s="341" t="inlineStr">
        <is>
          <t>对生产、进口、销售不符合强制性能效标准的水电解制氢系统产品的，由市场监督管理部门责令停止生产、进口、销售，没收违法所得，并处罚款。</t>
        </is>
      </c>
      <c r="AO54" s="341" t="inlineStr">
        <is>
          <t>其他激励或支持</t>
        </is>
      </c>
      <c r="AP54" s="341" t="inlineStr">
        <is>
          <t>国家鼓励生产和使用1级、2级高效水电解制氢系统；通过节能产品认证等措施引导高效氢能装备市场推广。</t>
        </is>
      </c>
      <c r="AQ54" s="341" t="inlineStr">
        <is>
          <t>N/A</t>
        </is>
      </c>
      <c r="AR54" s="341" t="inlineStr">
        <is>
          <t>N/A</t>
        </is>
      </c>
      <c r="AS54" s="341" t="inlineStr">
        <is>
          <t>C28</t>
        </is>
      </c>
      <c r="AT54" s="341" t="inlineStr">
        <is>
          <t>CO2</t>
        </is>
      </c>
      <c r="AU54" s="341" t="inlineStr">
        <is>
          <t>正向</t>
        </is>
      </c>
      <c r="AV54" s="341" t="inlineStr">
        <is>
          <t>节能；产业发展</t>
        </is>
      </c>
      <c r="AW54" s="341" t="inlineStr">
        <is>
          <t>GB 32311-2015 水电解制氢系统能效限定值及能效等级</t>
        </is>
      </c>
      <c r="AX54" s="341" t="inlineStr">
        <is>
          <t>https://openstd.samr.gov.cn/bzgk/gb/newGbInfo?hcno=781E52F0B23E73EE28B56F6B6D70D1F0</t>
        </is>
      </c>
      <c r="AY54" s="341" t="inlineStr">
        <is>
          <t>N/A</t>
        </is>
      </c>
      <c r="AZ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t>
        </is>
      </c>
      <c r="L55" s="341" t="inlineStr">
        <is>
          <t>直接</t>
        </is>
      </c>
      <c r="M55" s="341" t="inlineStr">
        <is>
          <t>国家</t>
        </is>
      </c>
      <c r="N55" s="341" t="inlineStr">
        <is>
          <t>N/A</t>
        </is>
      </c>
      <c r="O55" s="341" t="inlineStr">
        <is>
          <t>18/09/2015</t>
        </is>
      </c>
      <c r="P55" s="341" t="inlineStr">
        <is>
          <t>01/10/2016</t>
        </is>
      </c>
      <c r="Q55" s="341" t="inlineStr">
        <is>
          <t>N/A</t>
        </is>
      </c>
      <c r="R55" s="341" t="inlineStr">
        <is>
          <t>30/06/2025</t>
        </is>
      </c>
      <c r="S55" s="341" t="inlineStr">
        <is>
          <t>2025年6月30日发布GB 32028-2025替代GB 32028-2015，扩展适用范围至固态光源投影机，更新测试方法，提高各级能效指标</t>
        </is>
      </c>
      <c r="T55" s="341">
        <f>IF(P55="","生效",IF(P55="N/A","生效",IF(TODAY()&lt;DATE(VALUE(RIGHT(P55,4)),VALUE(MID(P55,4,2)),VALUE(LEFT(P55,2))),"计划实施",IF(Q55="","生效",IF(Q55="N/A","生效",IF(TODAY()&lt;DATE(VALUE(RIGHT(Q55,4)),VALUE(MID(Q55,4,2)),VALUE(LEFT(Q55,2))),"生效","已终止"))))))</f>
        <v/>
      </c>
      <c r="U55" s="341" t="inlineStr">
        <is>
          <t>国家市场监督管理总局；国家标准化管理委员会</t>
        </is>
      </c>
      <c r="V55" s="341" t="inlineStr">
        <is>
          <t>投影机</t>
        </is>
      </c>
      <c r="W55" s="341" t="inlineStr">
        <is>
          <t>新建</t>
        </is>
      </c>
      <c r="X55" s="341" t="inlineStr">
        <is>
          <t>以投影为主要功能，以高压汞灯或金属卤化物灯为光源的LCD、DLP和LCoS投影机；固态光源（LED、激光）投影机。</t>
        </is>
      </c>
      <c r="Y55" s="341" t="inlineStr">
        <is>
          <t>N/A</t>
        </is>
      </c>
      <c r="Z55" s="341" t="inlineStr">
        <is>
          <t>N/A</t>
        </is>
      </c>
      <c r="AA55" s="341" t="inlineStr">
        <is>
          <t>企业</t>
        </is>
      </c>
      <c r="AB55" s="341" t="inlineStr">
        <is>
          <t>在中国境内生产、进口或销售投影机产品的生产企业和进口商。</t>
        </is>
      </c>
      <c r="AC55" s="341" t="inlineStr">
        <is>
          <t>生产；销售；进口</t>
        </is>
      </c>
      <c r="AD55" s="341" t="inlineStr">
        <is>
          <t>投影机产品的生产、进口和销售活动。产品须达到标准规定的能效限定值方可进入市场。</t>
        </is>
      </c>
      <c r="AE55" s="341" t="inlineStr">
        <is>
          <t>3级</t>
        </is>
      </c>
      <c r="AF55" s="341" t="inlineStr">
        <is>
          <t>能效等级</t>
        </is>
      </c>
      <c r="AG55" s="341" t="inlineStr">
        <is>
          <t>投影机能效等级分为3级（1级最高），3级为能效限定值即市场准入最低要求。评价指标为投影光效（lm/W），按光源类型（传统光源/固态光源）和光通量分级量化限定值。</t>
        </is>
      </c>
      <c r="AH55" s="341" t="inlineStr">
        <is>
          <t>1）投影机须达到标准规定的能效限定值（3级）方可生产、进口或销售；2）产品须标注能效等级标识；3）能效等级分为1级、2级、3级，3级为市场准入最低要求。</t>
        </is>
      </c>
      <c r="AI55" s="341" t="inlineStr">
        <is>
          <t>N/A</t>
        </is>
      </c>
      <c r="AJ55" s="341" t="inlineStr">
        <is>
          <t>N/A</t>
        </is>
      </c>
      <c r="AK55" s="341" t="inlineStr">
        <is>
          <t>政府机构开展的监督检查</t>
        </is>
      </c>
      <c r="AL55" s="341" t="inlineStr">
        <is>
          <t>市场监督管理部门对投影机产品进行能效标识监督检查和产品质量监督抽查。</t>
        </is>
      </c>
      <c r="AM55" s="341" t="inlineStr">
        <is>
          <t>合规命令；罚款</t>
        </is>
      </c>
      <c r="AN55" s="341" t="inlineStr">
        <is>
          <t>对生产、进口、销售不符合强制性能效标准的投影机产品的，由市场监督管理部门责令停止生产、进口、销售，没收违法所得，并处罚款。</t>
        </is>
      </c>
      <c r="AO55" s="341" t="inlineStr">
        <is>
          <t>其他激励或支持</t>
        </is>
      </c>
      <c r="AP55" s="341" t="inlineStr">
        <is>
          <t>国家鼓励生产和使用1级、2级高效投影机；通过节能产品认证、政府绿色采购等措施引导市场推广。</t>
        </is>
      </c>
      <c r="AQ55" s="341" t="inlineStr">
        <is>
          <t>N/A</t>
        </is>
      </c>
      <c r="AR55" s="341" t="inlineStr">
        <is>
          <t>N/A</t>
        </is>
      </c>
      <c r="AS55" s="341" t="inlineStr">
        <is>
          <t>C26</t>
        </is>
      </c>
      <c r="AT55" s="341" t="inlineStr">
        <is>
          <t>CO2</t>
        </is>
      </c>
      <c r="AU55" s="341" t="inlineStr">
        <is>
          <t>正向</t>
        </is>
      </c>
      <c r="AV55" s="341" t="inlineStr">
        <is>
          <t>节能；产业发展</t>
        </is>
      </c>
      <c r="AW55" s="341" t="inlineStr">
        <is>
          <t>GB 32028-2025 投影机能效限定值及能效等级</t>
        </is>
      </c>
      <c r="AX55" s="341" t="inlineStr">
        <is>
          <t>https://openstd.samr.gov.cn/bzgk/std/newGbInfo?hcno=3CC8713ADAEA3E8F937E6C5B9D4939E6</t>
        </is>
      </c>
      <c r="AY55" s="341" t="inlineStr">
        <is>
          <t>N/A</t>
        </is>
      </c>
      <c r="AZ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t>
        </is>
      </c>
      <c r="L56" s="341" t="inlineStr">
        <is>
          <t>直接</t>
        </is>
      </c>
      <c r="M56" s="341" t="inlineStr">
        <is>
          <t>国家</t>
        </is>
      </c>
      <c r="N56" s="341" t="inlineStr">
        <is>
          <t>N/A</t>
        </is>
      </c>
      <c r="O56" s="341" t="inlineStr">
        <is>
          <t>10/10/2013</t>
        </is>
      </c>
      <c r="P56" s="341" t="inlineStr">
        <is>
          <t>01/09/2014</t>
        </is>
      </c>
      <c r="Q56" s="341" t="inlineStr">
        <is>
          <t>N/A</t>
        </is>
      </c>
      <c r="R56" s="341" t="inlineStr">
        <is>
          <t>31/10/2025</t>
        </is>
      </c>
      <c r="S56" s="341" t="inlineStr">
        <is>
          <t>2025年10月31日发布GB 29539-2025替代GB 29539-2013和GB 32049-2015，首次合并吸油烟机与换气扇能效标准，统一评价体系，提高各级能效指标</t>
        </is>
      </c>
      <c r="T56" s="341">
        <f>IF(P56="","生效",IF(P56="N/A","生效",IF(TODAY()&lt;DATE(VALUE(RIGHT(P56,4)),VALUE(MID(P56,4,2)),VALUE(LEFT(P56,2))),"计划实施",IF(Q56="","生效",IF(Q56="N/A","生效",IF(TODAY()&lt;DATE(VALUE(RIGHT(Q56,4)),VALUE(MID(Q56,4,2)),VALUE(LEFT(Q56,2))),"生效","已终止"))))))</f>
        <v/>
      </c>
      <c r="U56" s="341" t="inlineStr">
        <is>
          <t>国家市场监督管理总局；国家标准化管理委员会</t>
        </is>
      </c>
      <c r="V56" s="341" t="inlineStr">
        <is>
          <t>吸油烟机与换气扇</t>
        </is>
      </c>
      <c r="W56" s="341" t="inlineStr">
        <is>
          <t>新建</t>
        </is>
      </c>
      <c r="X56" s="341" t="inlineStr">
        <is>
          <t>家用和类似用途吸油烟机（不含下排式吸油烟机）；家用和类似用途换气扇（含百叶窗式、管道式、隔墙式等）。</t>
        </is>
      </c>
      <c r="Y56" s="341" t="inlineStr">
        <is>
          <t>N/A</t>
        </is>
      </c>
      <c r="Z56" s="341" t="inlineStr">
        <is>
          <t>N/A</t>
        </is>
      </c>
      <c r="AA56" s="341" t="inlineStr">
        <is>
          <t>企业</t>
        </is>
      </c>
      <c r="AB56" s="341" t="inlineStr">
        <is>
          <t>在中国境内生产、进口或销售吸油烟机和换气扇产品的生产企业和进口商。</t>
        </is>
      </c>
      <c r="AC56" s="341" t="inlineStr">
        <is>
          <t>生产；销售；进口</t>
        </is>
      </c>
      <c r="AD56" s="341" t="inlineStr">
        <is>
          <t>吸油烟机和换气扇产品的生产、进口和销售活动。产品须达到标准规定的能效限定值方可进入市场。</t>
        </is>
      </c>
      <c r="AE56" s="341" t="inlineStr">
        <is>
          <t>3级</t>
        </is>
      </c>
      <c r="AF56" s="341" t="inlineStr">
        <is>
          <t>能效等级</t>
        </is>
      </c>
      <c r="AG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H56" s="341" t="inlineStr">
        <is>
          <t>1）吸油烟机和换气扇须达到标准规定的能效限定值（3级）方可生产、进口或销售；2）产品须标注能效等级标识；3）能效等级分为1级、2级、3级，3级为市场准入最低要求。</t>
        </is>
      </c>
      <c r="AI56" s="341" t="inlineStr">
        <is>
          <t>N/A</t>
        </is>
      </c>
      <c r="AJ56" s="341" t="inlineStr">
        <is>
          <t>N/A</t>
        </is>
      </c>
      <c r="AK56" s="341" t="inlineStr">
        <is>
          <t>政府机构开展的监督检查</t>
        </is>
      </c>
      <c r="AL56" s="341" t="inlineStr">
        <is>
          <t>市场监督管理部门对吸油烟机和换气扇产品进行能效标识监督检查和产品质量监督抽查。</t>
        </is>
      </c>
      <c r="AM56" s="341" t="inlineStr">
        <is>
          <t>合规命令；罚款</t>
        </is>
      </c>
      <c r="AN56" s="341" t="inlineStr">
        <is>
          <t>对生产、进口、销售不符合强制性能效标准的吸油烟机和换气扇产品的，由市场监督管理部门责令停止生产、进口、销售，没收违法所得，并处罚款。</t>
        </is>
      </c>
      <c r="AO56" s="341" t="inlineStr">
        <is>
          <t>其他激励或支持</t>
        </is>
      </c>
      <c r="AP56" s="341" t="inlineStr">
        <is>
          <t>国家鼓励生产和使用1级、2级高效吸油烟机和换气扇；通过节能产品认证等措施引导市场推广。</t>
        </is>
      </c>
      <c r="AQ56" s="341" t="inlineStr">
        <is>
          <t>N/A</t>
        </is>
      </c>
      <c r="AR56" s="341" t="inlineStr">
        <is>
          <t>N/A</t>
        </is>
      </c>
      <c r="AS56" s="341" t="inlineStr">
        <is>
          <t>C27</t>
        </is>
      </c>
      <c r="AT56" s="341" t="inlineStr">
        <is>
          <t>CO2</t>
        </is>
      </c>
      <c r="AU56" s="341" t="inlineStr">
        <is>
          <t>正向</t>
        </is>
      </c>
      <c r="AV56" s="341" t="inlineStr">
        <is>
          <t>节能；产业发展</t>
        </is>
      </c>
      <c r="AW56" s="341" t="inlineStr">
        <is>
          <t>GB 29539-2025 吸油烟机与换气扇能效限定值及能效等级</t>
        </is>
      </c>
      <c r="AX56" s="341" t="inlineStr">
        <is>
          <t>https://openstd.samr.gov.cn/bzgk/std/newGbInfo?hcno=AAC859296FADDD2959B66CDEE9E20526</t>
        </is>
      </c>
      <c r="AY56" s="341" t="inlineStr">
        <is>
          <t>N/A</t>
        </is>
      </c>
      <c r="AZ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t>
        </is>
      </c>
      <c r="L57" s="341" t="inlineStr">
        <is>
          <t>直接</t>
        </is>
      </c>
      <c r="M57" s="341" t="inlineStr">
        <is>
          <t>国家</t>
        </is>
      </c>
      <c r="N57" s="341" t="inlineStr">
        <is>
          <t>N/A</t>
        </is>
      </c>
      <c r="O57" s="341" t="inlineStr">
        <is>
          <t>24/07/2014</t>
        </is>
      </c>
      <c r="P57" s="341" t="inlineStr">
        <is>
          <t>01/06/2015</t>
        </is>
      </c>
      <c r="Q57" s="341" t="inlineStr">
        <is>
          <t>N/A</t>
        </is>
      </c>
      <c r="R57" s="341" t="inlineStr">
        <is>
          <t>N/A</t>
        </is>
      </c>
      <c r="S57" s="341" t="inlineStr">
        <is>
          <t>N/A</t>
        </is>
      </c>
      <c r="T57" s="341">
        <f>IF(P57="","生效",IF(P57="N/A","生效",IF(TODAY()&lt;DATE(VALUE(RIGHT(P57,4)),VALUE(MID(P57,4,2)),VALUE(LEFT(P57,2))),"计划实施",IF(Q57="","生效",IF(Q57="N/A","生效",IF(TODAY()&lt;DATE(VALUE(RIGHT(Q57,4)),VALUE(MID(Q57,4,2)),VALUE(LEFT(Q57,2))),"生效","已终止"))))))</f>
        <v/>
      </c>
      <c r="U57" s="341" t="inlineStr">
        <is>
          <t>国家市场监督管理总局；国家标准化管理委员会</t>
        </is>
      </c>
      <c r="V57" s="341" t="inlineStr">
        <is>
          <t>饮水机</t>
        </is>
      </c>
      <c r="W57" s="341" t="inlineStr">
        <is>
          <t>新建</t>
        </is>
      </c>
      <c r="X57" s="341" t="inlineStr">
        <is>
          <t>额定电压不超过250V的家用和类似用途饮水机，含温热型和冷热型。</t>
        </is>
      </c>
      <c r="Y57" s="341" t="inlineStr">
        <is>
          <t>N/A</t>
        </is>
      </c>
      <c r="Z57" s="341" t="inlineStr">
        <is>
          <t>N/A</t>
        </is>
      </c>
      <c r="AA57" s="341" t="inlineStr">
        <is>
          <t>企业</t>
        </is>
      </c>
      <c r="AB57" s="341" t="inlineStr">
        <is>
          <t>在中国境内生产、进口或销售饮水机产品的生产企业和进口商。</t>
        </is>
      </c>
      <c r="AC57" s="341" t="inlineStr">
        <is>
          <t>生产；销售；进口</t>
        </is>
      </c>
      <c r="AD57" s="341" t="inlineStr">
        <is>
          <t>饮水机产品的生产、进口和销售活动。产品须达到标准规定的能效限定值方可进入市场。</t>
        </is>
      </c>
      <c r="AE57" s="341" t="inlineStr">
        <is>
          <t>5级</t>
        </is>
      </c>
      <c r="AF57" s="341" t="inlineStr">
        <is>
          <t>能效等级</t>
        </is>
      </c>
      <c r="AG57" s="341" t="inlineStr">
        <is>
          <t>饮水机能效等级分为5级（1级最高），5级中的某一级为能效限定值即市场准入最低要求。评价指标包括制热水效率（%）和制冷水效率（%），按产品类型（温热型/冷热型）分级量化。</t>
        </is>
      </c>
      <c r="AH57" s="341" t="inlineStr">
        <is>
          <t>1）饮水机须达到标准规定的能效限定值方可生产、进口或销售；2）产品须标注能效等级标识；3）能效等级分为1~5级，能效限定值为市场准入最低要求。</t>
        </is>
      </c>
      <c r="AI57" s="341" t="inlineStr">
        <is>
          <t>N/A</t>
        </is>
      </c>
      <c r="AJ57" s="341" t="inlineStr">
        <is>
          <t>N/A</t>
        </is>
      </c>
      <c r="AK57" s="341" t="inlineStr">
        <is>
          <t>政府机构开展的监督检查</t>
        </is>
      </c>
      <c r="AL57" s="341" t="inlineStr">
        <is>
          <t>市场监督管理部门对饮水机产品进行能效标识监督检查和产品质量监督抽查。</t>
        </is>
      </c>
      <c r="AM57" s="341" t="inlineStr">
        <is>
          <t>合规命令；罚款</t>
        </is>
      </c>
      <c r="AN57" s="341" t="inlineStr">
        <is>
          <t>对生产、进口、销售不符合强制性能效标准的饮水机产品的，由市场监督管理部门责令停止生产、进口、销售，没收违法所得，并处罚款。</t>
        </is>
      </c>
      <c r="AO57" s="341" t="inlineStr">
        <is>
          <t>其他激励或支持</t>
        </is>
      </c>
      <c r="AP57" s="341" t="inlineStr">
        <is>
          <t>国家鼓励生产和使用1级、2级高效饮水机；通过节能产品认证等措施引导市场推广。</t>
        </is>
      </c>
      <c r="AQ57" s="341" t="inlineStr">
        <is>
          <t>N/A</t>
        </is>
      </c>
      <c r="AR57" s="341" t="inlineStr">
        <is>
          <t>N/A</t>
        </is>
      </c>
      <c r="AS57" s="341" t="inlineStr">
        <is>
          <t>C27</t>
        </is>
      </c>
      <c r="AT57" s="341" t="inlineStr">
        <is>
          <t>CO2</t>
        </is>
      </c>
      <c r="AU57" s="341" t="inlineStr">
        <is>
          <t>正向</t>
        </is>
      </c>
      <c r="AV57" s="341" t="inlineStr">
        <is>
          <t>节能；产业发展</t>
        </is>
      </c>
      <c r="AW57" s="341" t="inlineStr">
        <is>
          <t>GB 30978-2014 饮水机能效限定值及能效等级</t>
        </is>
      </c>
      <c r="AX57" s="341" t="inlineStr">
        <is>
          <t>https://openstd.samr.gov.cn/bzgk/gb/newGbInfo?hcno=314252B211BA126C738CCA0F0993191C</t>
        </is>
      </c>
      <c r="AY57" s="341" t="inlineStr">
        <is>
          <t>N/A</t>
        </is>
      </c>
      <c r="AZ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t>
        </is>
      </c>
      <c r="L58" s="341" t="inlineStr">
        <is>
          <t>直接</t>
        </is>
      </c>
      <c r="M58" s="341" t="inlineStr">
        <is>
          <t>国家</t>
        </is>
      </c>
      <c r="N58" s="341" t="inlineStr">
        <is>
          <t>N/A</t>
        </is>
      </c>
      <c r="O58" s="341" t="inlineStr">
        <is>
          <t>16/04/2008</t>
        </is>
      </c>
      <c r="P58" s="341" t="inlineStr">
        <is>
          <t>01/11/2008</t>
        </is>
      </c>
      <c r="Q58" s="341" t="inlineStr">
        <is>
          <t>N/A</t>
        </is>
      </c>
      <c r="R58" s="341" t="inlineStr">
        <is>
          <t>28/04/2014</t>
        </is>
      </c>
      <c r="S58" s="341" t="inlineStr">
        <is>
          <t>2014年4月28日发布GB 21521-2014替代GB 21521-2008，新增LED/激光混合光源和可变速产品定义和要求，提高各级能效指标</t>
        </is>
      </c>
      <c r="T58" s="341">
        <f>IF(P58="","生效",IF(P58="N/A","生效",IF(TODAY()&lt;DATE(VALUE(RIGHT(P58,4)),VALUE(MID(P58,4,2)),VALUE(LEFT(P58,2))),"计划实施",IF(Q58="","生效",IF(Q58="N/A","生效",IF(TODAY()&lt;DATE(VALUE(RIGHT(Q58,4)),VALUE(MID(Q58,4,2)),VALUE(LEFT(Q58,2))),"生效","已终止"))))))</f>
        <v/>
      </c>
      <c r="U58" s="341" t="inlineStr">
        <is>
          <t>国家市场监督管理总局；国家标准化管理委员会</t>
        </is>
      </c>
      <c r="V58" s="341" t="inlineStr">
        <is>
          <t>复印机、打印机和传真机</t>
        </is>
      </c>
      <c r="W58" s="341" t="inlineStr">
        <is>
          <t>新建</t>
        </is>
      </c>
      <c r="X58" s="341" t="inlineStr">
        <is>
          <t>以220V、50Hz交流电源供电，以复印、打印、传真为基本功能，标准幅面为A3及A4的静电复印机、激光打印机、喷墨打印机和传真机（含多功能一体机）。不适用于仅具有扫描功能的扫描仪。</t>
        </is>
      </c>
      <c r="Y58" s="341" t="inlineStr">
        <is>
          <t>N/A</t>
        </is>
      </c>
      <c r="Z58" s="341" t="inlineStr">
        <is>
          <t>N/A</t>
        </is>
      </c>
      <c r="AA58" s="341" t="inlineStr">
        <is>
          <t>企业</t>
        </is>
      </c>
      <c r="AB58" s="341" t="inlineStr">
        <is>
          <t>在中国境内生产、进口或销售复印机、打印机和传真机产品的生产企业和进口商。</t>
        </is>
      </c>
      <c r="AC58" s="341" t="inlineStr">
        <is>
          <t>生产；销售；进口</t>
        </is>
      </c>
      <c r="AD58" s="341" t="inlineStr">
        <is>
          <t>复印机、打印机和传真机产品的生产、进口和销售活动。产品须达到标准规定的能效限定值方可进入市场。</t>
        </is>
      </c>
      <c r="AE58" s="341" t="inlineStr">
        <is>
          <t>3级</t>
        </is>
      </c>
      <c r="AF58" s="341" t="inlineStr">
        <is>
          <t>能效等级</t>
        </is>
      </c>
      <c r="AG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H58" s="341" t="inlineStr">
        <is>
          <t>1）复印机、打印机和传真机须达到标准规定的能效限定值（3级）方可生产、进口或销售；2）产品须标注能效等级标识；3）能效等级分为1级、2级、3级，3级为市场准入最低要求。</t>
        </is>
      </c>
      <c r="AI58" s="341" t="inlineStr">
        <is>
          <t>N/A</t>
        </is>
      </c>
      <c r="AJ58" s="341" t="inlineStr">
        <is>
          <t>N/A</t>
        </is>
      </c>
      <c r="AK58" s="341" t="inlineStr">
        <is>
          <t>政府机构开展的监督检查</t>
        </is>
      </c>
      <c r="AL58" s="341" t="inlineStr">
        <is>
          <t>市场监督管理部门对复印机、打印机和传真机产品进行能效标识监督检查和产品质量监督抽查。</t>
        </is>
      </c>
      <c r="AM58" s="341" t="inlineStr">
        <is>
          <t>合规命令；罚款</t>
        </is>
      </c>
      <c r="AN58" s="341" t="inlineStr">
        <is>
          <t>对生产、进口、销售不符合强制性能效标准的复印机、打印机和传真机产品的，由市场监督管理部门责令停止生产、进口、销售，没收违法所得，并处罚款。</t>
        </is>
      </c>
      <c r="AO58" s="341" t="inlineStr">
        <is>
          <t>其他激励或支持</t>
        </is>
      </c>
      <c r="AP58" s="341" t="inlineStr">
        <is>
          <t>国家鼓励生产和使用1级、2级高效办公设备；通过节能产品认证、政府绿色采购等措施引导市场推广。</t>
        </is>
      </c>
      <c r="AQ58" s="341" t="inlineStr">
        <is>
          <t>N/A</t>
        </is>
      </c>
      <c r="AR58" s="341" t="inlineStr">
        <is>
          <t>N/A</t>
        </is>
      </c>
      <c r="AS58" s="341" t="inlineStr">
        <is>
          <t>C26</t>
        </is>
      </c>
      <c r="AT58" s="341" t="inlineStr">
        <is>
          <t>CO2</t>
        </is>
      </c>
      <c r="AU58" s="341" t="inlineStr">
        <is>
          <t>正向</t>
        </is>
      </c>
      <c r="AV58" s="341" t="inlineStr">
        <is>
          <t>节能；产业发展</t>
        </is>
      </c>
      <c r="AW58" s="341" t="inlineStr">
        <is>
          <t>GB 21521-2014 复印机、打印机和传真机能效限定值及能效等级</t>
        </is>
      </c>
      <c r="AX58" s="341" t="inlineStr">
        <is>
          <t>https://openstd.samr.gov.cn/bzgk/std/newGbInfo?hcno=3A6EE361E067ADB7CC7FACA0AB38F26B</t>
        </is>
      </c>
      <c r="AY58" s="341" t="inlineStr">
        <is>
          <t>N/A</t>
        </is>
      </c>
      <c r="AZ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t>
        </is>
      </c>
      <c r="L59" s="341" t="inlineStr">
        <is>
          <t>直接</t>
        </is>
      </c>
      <c r="M59" s="341" t="inlineStr">
        <is>
          <t>国家</t>
        </is>
      </c>
      <c r="N59" s="341" t="inlineStr">
        <is>
          <t>N/A</t>
        </is>
      </c>
      <c r="O59" s="341" t="inlineStr">
        <is>
          <t>24/10/2007</t>
        </is>
      </c>
      <c r="P59" s="341" t="inlineStr">
        <is>
          <t>01/05/2008</t>
        </is>
      </c>
      <c r="Q59" s="341" t="inlineStr">
        <is>
          <t>N/A</t>
        </is>
      </c>
      <c r="R59" s="341" t="inlineStr">
        <is>
          <t>24/01/2025</t>
        </is>
      </c>
      <c r="S59" s="341" t="inlineStr">
        <is>
          <t>2025年1月24日发布GB 20943-2025替代GB 20943-2013，适用范围大幅扩展至内置电源（含PC、服务器、工业电源），新增功率因数要求</t>
        </is>
      </c>
      <c r="T59" s="341">
        <f>IF(P59="","生效",IF(P59="N/A","生效",IF(TODAY()&lt;DATE(VALUE(RIGHT(P59,4)),VALUE(MID(P59,4,2)),VALUE(LEFT(P59,2))),"计划实施",IF(Q59="","生效",IF(Q59="N/A","生效",IF(TODAY()&lt;DATE(VALUE(RIGHT(Q59,4)),VALUE(MID(Q59,4,2)),VALUE(LEFT(Q59,2))),"生效","已终止"))))))</f>
        <v/>
      </c>
      <c r="U59" s="341" t="inlineStr">
        <is>
          <t>国家市场监督管理总局；国家标准化管理委员会</t>
        </is>
      </c>
      <c r="V59" s="341" t="inlineStr">
        <is>
          <t>电源</t>
        </is>
      </c>
      <c r="W59" s="341" t="inlineStr">
        <is>
          <t>新建</t>
        </is>
      </c>
      <c r="X59" s="341" t="inlineStr">
        <is>
          <t>额定输出功率不大于250W的外部电源（含AC-DC和DC-DC）；内置电源（含PC内置电源、服务器内置电源、工业电源等）。</t>
        </is>
      </c>
      <c r="Y59" s="341" t="inlineStr">
        <is>
          <t>N/A</t>
        </is>
      </c>
      <c r="Z59" s="341" t="inlineStr">
        <is>
          <t>N/A</t>
        </is>
      </c>
      <c r="AA59" s="341" t="inlineStr">
        <is>
          <t>企业</t>
        </is>
      </c>
      <c r="AB59" s="341" t="inlineStr">
        <is>
          <t>在中国境内生产、进口或销售电源产品的生产企业和进口商。</t>
        </is>
      </c>
      <c r="AC59" s="341" t="inlineStr">
        <is>
          <t>生产；销售；进口</t>
        </is>
      </c>
      <c r="AD59" s="341" t="inlineStr">
        <is>
          <t>电源产品的生产、进口和销售活动。产品须达到标准规定的能效限定值方可进入市场。</t>
        </is>
      </c>
      <c r="AE59" s="341" t="inlineStr">
        <is>
          <t>3级</t>
        </is>
      </c>
      <c r="AF59" s="341" t="inlineStr">
        <is>
          <t>能效等级</t>
        </is>
      </c>
      <c r="AG59" s="341" t="inlineStr">
        <is>
          <t>电源能效等级分为3级（1级最高），3级为能效限定值即市场准入最低要求。主要评价指标包括空载功耗（W）和平均效率（%），按输出功率、输出电压和电源类型分级量化。</t>
        </is>
      </c>
      <c r="AH59" s="341" t="inlineStr">
        <is>
          <t>1）电源产品须达到标准规定的能效限定值（3级）方可生产、进口或销售；2）产品须标注能效等级标识；3）能效等级分为1级、2级、3级，3级为市场准入最低要求。</t>
        </is>
      </c>
      <c r="AI59" s="341" t="inlineStr">
        <is>
          <t>N/A</t>
        </is>
      </c>
      <c r="AJ59" s="341" t="inlineStr">
        <is>
          <t>N/A</t>
        </is>
      </c>
      <c r="AK59" s="341" t="inlineStr">
        <is>
          <t>政府机构开展的监督检查</t>
        </is>
      </c>
      <c r="AL59" s="341" t="inlineStr">
        <is>
          <t>市场监督管理部门对电源产品进行能效标识监督检查和产品质量监督抽查。</t>
        </is>
      </c>
      <c r="AM59" s="341" t="inlineStr">
        <is>
          <t>合规命令；罚款</t>
        </is>
      </c>
      <c r="AN59" s="341" t="inlineStr">
        <is>
          <t>对生产、进口、销售不符合强制性能效标准的电源产品的，由市场监督管理部门责令停止生产、进口、销售，没收违法所得，并处罚款。</t>
        </is>
      </c>
      <c r="AO59" s="341" t="inlineStr">
        <is>
          <t>其他激励或支持</t>
        </is>
      </c>
      <c r="AP59" s="341" t="inlineStr">
        <is>
          <t>国家鼓励生产和使用1级、2级高效电源产品；通过节能产品认证、政府绿色采购等措施引导市场推广。</t>
        </is>
      </c>
      <c r="AQ59" s="341" t="inlineStr">
        <is>
          <t>N/A</t>
        </is>
      </c>
      <c r="AR59" s="341" t="inlineStr">
        <is>
          <t>N/A</t>
        </is>
      </c>
      <c r="AS59" s="341" t="inlineStr">
        <is>
          <t>C26; C27</t>
        </is>
      </c>
      <c r="AT59" s="341" t="inlineStr">
        <is>
          <t>CO2</t>
        </is>
      </c>
      <c r="AU59" s="341" t="inlineStr">
        <is>
          <t>正向</t>
        </is>
      </c>
      <c r="AV59" s="341" t="inlineStr">
        <is>
          <t>节能；产业发展</t>
        </is>
      </c>
      <c r="AW59" s="341" t="inlineStr">
        <is>
          <t>GB 20943-2025 交流-直流和交流-交流电源能效限定值及能效等级</t>
        </is>
      </c>
      <c r="AX59" s="341" t="inlineStr">
        <is>
          <t>https://openstd.samr.gov.cn/bzgk/std/newGbInfo?hcno=8105E9E58B8B8BDB5DF9D96119B1C60A</t>
        </is>
      </c>
      <c r="AY59" s="341" t="inlineStr">
        <is>
          <t>N/A</t>
        </is>
      </c>
      <c r="AZ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t>
        </is>
      </c>
      <c r="L60" s="341" t="inlineStr">
        <is>
          <t>直接</t>
        </is>
      </c>
      <c r="M60" s="341" t="inlineStr">
        <is>
          <t>国家</t>
        </is>
      </c>
      <c r="N60" s="341" t="inlineStr">
        <is>
          <t>N/A</t>
        </is>
      </c>
      <c r="O60" s="341" t="inlineStr">
        <is>
          <t>05/03/2012</t>
        </is>
      </c>
      <c r="P60" s="341" t="inlineStr">
        <is>
          <t>01/09/2012</t>
        </is>
      </c>
      <c r="Q60" s="341" t="inlineStr">
        <is>
          <t>N/A</t>
        </is>
      </c>
      <c r="R60" s="341" t="inlineStr">
        <is>
          <t>31/03/2026</t>
        </is>
      </c>
      <c r="S60" s="341" t="inlineStr">
        <is>
          <t>2026年3月31日发布GB 28381-2026替代GB 28381-2012，扩展适用范围至螺杆鼓风机，更新测试方法，提高各级能效指标</t>
        </is>
      </c>
      <c r="T60" s="341">
        <f>IF(P60="","生效",IF(P60="N/A","生效",IF(TODAY()&lt;DATE(VALUE(RIGHT(P60,4)),VALUE(MID(P60,4,2)),VALUE(LEFT(P60,2))),"计划实施",IF(Q60="","生效",IF(Q60="N/A","生效",IF(TODAY()&lt;DATE(VALUE(RIGHT(Q60,4)),VALUE(MID(Q60,4,2)),VALUE(LEFT(Q60,2))),"生效","已终止"))))))</f>
        <v/>
      </c>
      <c r="U60" s="341" t="inlineStr">
        <is>
          <t>国家市场监督管理总局；国家标准化管理委员会</t>
        </is>
      </c>
      <c r="V60" s="341" t="inlineStr">
        <is>
          <t>鼓风机</t>
        </is>
      </c>
      <c r="W60" s="341" t="inlineStr">
        <is>
          <t>新建</t>
        </is>
      </c>
      <c r="X60" s="341" t="inlineStr">
        <is>
          <t>驱动电动机功率1kW~500kW的离心鼓风机、轴流鼓风机、罗茨鼓风机和螺杆鼓风机。</t>
        </is>
      </c>
      <c r="Y60" s="341" t="inlineStr">
        <is>
          <t>N/A</t>
        </is>
      </c>
      <c r="Z60" s="341" t="inlineStr">
        <is>
          <t>N/A</t>
        </is>
      </c>
      <c r="AA60" s="341" t="inlineStr">
        <is>
          <t>企业</t>
        </is>
      </c>
      <c r="AB60" s="341" t="inlineStr">
        <is>
          <t>在中国境内生产、进口或销售鼓风机产品的生产企业和进口商。</t>
        </is>
      </c>
      <c r="AC60" s="341" t="inlineStr">
        <is>
          <t>生产；销售；进口</t>
        </is>
      </c>
      <c r="AD60" s="341" t="inlineStr">
        <is>
          <t>鼓风机产品的生产、进口和销售活动。产品须达到标准规定的能效限定值方可进入市场。</t>
        </is>
      </c>
      <c r="AE60" s="341" t="inlineStr">
        <is>
          <t>3级</t>
        </is>
      </c>
      <c r="AF60" s="341" t="inlineStr">
        <is>
          <t>能效等级</t>
        </is>
      </c>
      <c r="AG60" s="341" t="inlineStr">
        <is>
          <t>鼓风机能效等级分为3级（1级最高），3级为能效限定值即市场准入最低要求。评价指标为鼓风机效率（%）或机组比功率（kW/(m³/min)），按鼓风机类型（离心/轴流/罗茨/螺杆）和规格分级量化限定值。</t>
        </is>
      </c>
      <c r="AH60" s="341" t="inlineStr">
        <is>
          <t>1）鼓风机须达到标准规定的能效限定值（3级）方可生产、进口或销售；2）产品须标注能效等级标识；3）能效等级分为1级、2级、3级，3级为市场准入最低要求。</t>
        </is>
      </c>
      <c r="AI60" s="341" t="inlineStr">
        <is>
          <t>N/A</t>
        </is>
      </c>
      <c r="AJ60" s="341" t="inlineStr">
        <is>
          <t>N/A</t>
        </is>
      </c>
      <c r="AK60" s="341" t="inlineStr">
        <is>
          <t>政府机构开展的监督检查</t>
        </is>
      </c>
      <c r="AL60" s="341" t="inlineStr">
        <is>
          <t>市场监督管理部门对鼓风机产品进行能效标识监督检查和产品质量监督抽查。</t>
        </is>
      </c>
      <c r="AM60" s="341" t="inlineStr">
        <is>
          <t>合规命令；罚款</t>
        </is>
      </c>
      <c r="AN60" s="341" t="inlineStr">
        <is>
          <t>对生产、进口、销售不符合强制性能效标准的鼓风机产品的，由市场监督管理部门责令停止生产、进口、销售，没收违法所得，并处罚款。</t>
        </is>
      </c>
      <c r="AO60" s="341" t="inlineStr">
        <is>
          <t>其他激励或支持</t>
        </is>
      </c>
      <c r="AP60" s="341" t="inlineStr">
        <is>
          <t>国家鼓励生产和使用1级、2级高效鼓风机；通过节能产品认证等措施引导高效风机市场推广。</t>
        </is>
      </c>
      <c r="AQ60" s="341" t="inlineStr">
        <is>
          <t>N/A</t>
        </is>
      </c>
      <c r="AR60" s="341" t="inlineStr">
        <is>
          <t>N/A</t>
        </is>
      </c>
      <c r="AS60" s="341" t="inlineStr">
        <is>
          <t>C28</t>
        </is>
      </c>
      <c r="AT60" s="341" t="inlineStr">
        <is>
          <t>CO2</t>
        </is>
      </c>
      <c r="AU60" s="341" t="inlineStr">
        <is>
          <t>正向</t>
        </is>
      </c>
      <c r="AV60" s="341" t="inlineStr">
        <is>
          <t>节能；产业发展</t>
        </is>
      </c>
      <c r="AW60" s="341" t="inlineStr">
        <is>
          <t>GB 28381-2026 鼓风机能效限定值及能效等级</t>
        </is>
      </c>
      <c r="AX60" s="341" t="inlineStr">
        <is>
          <t>https://openstd.samr.gov.cn/bzgk/std/newGbInfo?hcno=C4BCA78A5B5819D9BDD5885F4D6F7086</t>
        </is>
      </c>
      <c r="AY60" s="341" t="inlineStr">
        <is>
          <t>N/A</t>
        </is>
      </c>
      <c r="AZ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能源效率；电气化</t>
        </is>
      </c>
      <c r="L61" s="341" t="inlineStr">
        <is>
          <t>直接</t>
        </is>
      </c>
      <c r="M61" s="341" t="inlineStr">
        <is>
          <t>国家</t>
        </is>
      </c>
      <c r="N61" s="341" t="inlineStr">
        <is>
          <t>N/A</t>
        </is>
      </c>
      <c r="O61" s="341" t="inlineStr">
        <is>
          <t>05/10/2025</t>
        </is>
      </c>
      <c r="P61" s="341" t="inlineStr">
        <is>
          <t>01/11/2026</t>
        </is>
      </c>
      <c r="Q61" s="341" t="inlineStr">
        <is>
          <t>N/A</t>
        </is>
      </c>
      <c r="R61" s="341" t="inlineStr">
        <is>
          <t>N/A</t>
        </is>
      </c>
      <c r="S61" s="341" t="inlineStr">
        <is>
          <t>N/A</t>
        </is>
      </c>
      <c r="T61" s="341">
        <f>IF(P61="","生效",IF(P61="N/A","生效",IF(TODAY()&lt;DATE(VALUE(RIGHT(P61,4)),VALUE(MID(P61,4,2)),VALUE(LEFT(P61,2))),"计划实施",IF(Q61="","生效",IF(Q61="N/A","生效",IF(TODAY()&lt;DATE(VALUE(RIGHT(Q61,4)),VALUE(MID(Q61,4,2)),VALUE(LEFT(Q61,2))),"生效","已终止"))))))</f>
        <v/>
      </c>
      <c r="U61" s="341" t="inlineStr">
        <is>
          <t>国家市场监督管理总局；国家标准化管理委员会</t>
        </is>
      </c>
      <c r="V61" s="341" t="inlineStr">
        <is>
          <t>电动汽车供电设备</t>
        </is>
      </c>
      <c r="W61" s="341" t="inlineStr">
        <is>
          <t>新建</t>
        </is>
      </c>
      <c r="X61" s="341" t="inlineStr">
        <is>
          <t>额定电压不超过1000V AC或1500V DC的交流充电桩、直流充电机和无线充电设备。</t>
        </is>
      </c>
      <c r="Y61" s="341" t="inlineStr">
        <is>
          <t>N/A</t>
        </is>
      </c>
      <c r="Z61" s="341" t="inlineStr">
        <is>
          <t>N/A</t>
        </is>
      </c>
      <c r="AA61" s="341" t="inlineStr">
        <is>
          <t>企业</t>
        </is>
      </c>
      <c r="AB61" s="341" t="inlineStr">
        <is>
          <t>在中国境内生产、进口或销售电动汽车供电设备产品的生产企业和进口商。</t>
        </is>
      </c>
      <c r="AC61" s="341" t="inlineStr">
        <is>
          <t>生产；销售；进口</t>
        </is>
      </c>
      <c r="AD61" s="341" t="inlineStr">
        <is>
          <t>电动汽车供电设备产品的生产、进口和销售活动。产品须达到标准规定的能效限定值方可进入市场。</t>
        </is>
      </c>
      <c r="AE61" s="341" t="inlineStr">
        <is>
          <t>3级</t>
        </is>
      </c>
      <c r="AF61" s="341" t="inlineStr">
        <is>
          <t>能效等级</t>
        </is>
      </c>
      <c r="AG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H61" s="341" t="inlineStr">
        <is>
          <t>1）电动汽车供电设备须达到标准规定的能效限定值（3级）方可生产、进口或销售；2）产品须标注能效等级标识；3）能效等级分为1级、2级、3级，3级为市场准入最低要求。</t>
        </is>
      </c>
      <c r="AI61" s="341" t="inlineStr">
        <is>
          <t>N/A</t>
        </is>
      </c>
      <c r="AJ61" s="341" t="inlineStr">
        <is>
          <t>N/A</t>
        </is>
      </c>
      <c r="AK61" s="341" t="inlineStr">
        <is>
          <t>政府机构开展的监督检查</t>
        </is>
      </c>
      <c r="AL61" s="341" t="inlineStr">
        <is>
          <t>市场监督管理部门对电动汽车供电设备产品进行能效标识监督检查和产品质量监督抽查。</t>
        </is>
      </c>
      <c r="AM61" s="341" t="inlineStr">
        <is>
          <t>合规命令；罚款</t>
        </is>
      </c>
      <c r="AN61" s="341" t="inlineStr">
        <is>
          <t>对生产、进口、销售不符合强制性能效标准的电动汽车供电设备产品的，由市场监督管理部门责令停止生产、进口、销售，没收违法所得，并处罚款。</t>
        </is>
      </c>
      <c r="AO61" s="341" t="inlineStr">
        <is>
          <t>其他激励或支持</t>
        </is>
      </c>
      <c r="AP61" s="341" t="inlineStr">
        <is>
          <t>国家鼓励生产和使用1级、2级高效电动汽车供电设备；通过节能产品认证、绿色充电基础设施等措施引导高效充电设备市场推广。</t>
        </is>
      </c>
      <c r="AQ61" s="341" t="inlineStr">
        <is>
          <t>N/A</t>
        </is>
      </c>
      <c r="AR61" s="341" t="inlineStr">
        <is>
          <t>N/A</t>
        </is>
      </c>
      <c r="AS61" s="341" t="inlineStr">
        <is>
          <t>C27; D35</t>
        </is>
      </c>
      <c r="AT61" s="341" t="inlineStr">
        <is>
          <t>CO2</t>
        </is>
      </c>
      <c r="AU61" s="341" t="inlineStr">
        <is>
          <t>正向</t>
        </is>
      </c>
      <c r="AV61" s="341" t="inlineStr">
        <is>
          <t>节能；产业发展</t>
        </is>
      </c>
      <c r="AW61" s="341" t="inlineStr">
        <is>
          <t>GB 46519-2025 电动汽车供电设备能效限定值及能效等级</t>
        </is>
      </c>
      <c r="AX61" s="341" t="inlineStr">
        <is>
          <t>https://openstd.samr.gov.cn/bzgk/std/newGbInfo?hcno=F594A2F350B2BC74B566C4FCCE7EB8C1</t>
        </is>
      </c>
      <c r="AY61" s="341" t="inlineStr">
        <is>
          <t>N/A</t>
        </is>
      </c>
      <c r="AZ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能源效率；产业发展</t>
        </is>
      </c>
      <c r="L62" s="341" t="inlineStr">
        <is>
          <t>直接</t>
        </is>
      </c>
      <c r="M62" s="341" t="inlineStr">
        <is>
          <t>国家</t>
        </is>
      </c>
      <c r="N62" s="341" t="inlineStr">
        <is>
          <t>N/A</t>
        </is>
      </c>
      <c r="O62" s="341" t="inlineStr">
        <is>
          <t>27/06/2026</t>
        </is>
      </c>
      <c r="P62" s="341" t="inlineStr">
        <is>
          <t>01/01/2027</t>
        </is>
      </c>
      <c r="Q62" s="341" t="inlineStr">
        <is>
          <t>N/A</t>
        </is>
      </c>
      <c r="R62" s="341" t="inlineStr">
        <is>
          <t>N/A</t>
        </is>
      </c>
      <c r="S62" s="341" t="inlineStr">
        <is>
          <t>N/A</t>
        </is>
      </c>
      <c r="T62" s="341">
        <f>IF(P62="","生效",IF(P62="N/A","生效",IF(TODAY()&lt;DATE(VALUE(RIGHT(P62,4)),VALUE(MID(P62,4,2)),VALUE(LEFT(P62,2))),"计划实施",IF(Q62="","生效",IF(Q62="N/A","生效",IF(TODAY()&lt;DATE(VALUE(RIGHT(Q62,4)),VALUE(MID(Q62,4,2)),VALUE(LEFT(Q62,2))),"生效","已终止"))))))</f>
        <v/>
      </c>
      <c r="U62" s="341" t="inlineStr">
        <is>
          <t>国家市场监督管理总局；国家标准化管理委员会</t>
        </is>
      </c>
      <c r="V62" s="341" t="inlineStr">
        <is>
          <t>晶体硅光伏组件和光伏并网逆变器</t>
        </is>
      </c>
      <c r="W62" s="341" t="inlineStr">
        <is>
          <t>新建</t>
        </is>
      </c>
      <c r="X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Y62" s="341" t="inlineStr">
        <is>
          <t>N/A</t>
        </is>
      </c>
      <c r="Z62" s="341" t="inlineStr">
        <is>
          <t>N/A</t>
        </is>
      </c>
      <c r="AA62" s="341" t="inlineStr">
        <is>
          <t>企业</t>
        </is>
      </c>
      <c r="AB62" s="341" t="inlineStr">
        <is>
          <t>在中国境内生产、进口或销售晶体硅光伏组件和光伏并网逆变器的生产企业和进口商。</t>
        </is>
      </c>
      <c r="AC62" s="341" t="inlineStr">
        <is>
          <t>生产；销售；进口</t>
        </is>
      </c>
      <c r="AD62" s="341" t="inlineStr">
        <is>
          <t>晶体硅光伏组件和光伏并网逆变器的生产、进口和销售活动。产品须达到标准规定的能效限定值方可进入市场。使用不达标组件的光伏项目将无法备案、无法通过电网验收。</t>
        </is>
      </c>
      <c r="AE62" s="341" t="inlineStr">
        <is>
          <t>3级</t>
        </is>
      </c>
      <c r="AF62" s="341" t="inlineStr">
        <is>
          <t>能效等级</t>
        </is>
      </c>
      <c r="AG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H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I62" s="341" t="inlineStr">
        <is>
          <t>N/A</t>
        </is>
      </c>
      <c r="AJ62" s="341" t="inlineStr">
        <is>
          <t>N/A</t>
        </is>
      </c>
      <c r="AK62" s="341" t="inlineStr">
        <is>
          <t>政府机构开展的监督检查</t>
        </is>
      </c>
      <c r="AL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M62" s="341" t="inlineStr">
        <is>
          <t>合规命令；罚款</t>
        </is>
      </c>
      <c r="AN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O62" s="341" t="inlineStr">
        <is>
          <t>其他激励或支持</t>
        </is>
      </c>
      <c r="AP62" s="341" t="inlineStr">
        <is>
          <t>国家鼓励生产和使用1级、2级高效光伏组件和逆变器；通过节能产品认证、政府绿色采购等措施引导高效光伏产品市场推广；鼓励企业对标1级能效开展技术升级。</t>
        </is>
      </c>
      <c r="AQ62" s="341" t="inlineStr">
        <is>
          <t>N/A</t>
        </is>
      </c>
      <c r="AR62" s="341" t="inlineStr">
        <is>
          <t>N/A</t>
        </is>
      </c>
      <c r="AS62" s="341" t="inlineStr">
        <is>
          <t>C27</t>
        </is>
      </c>
      <c r="AT62" s="341" t="inlineStr">
        <is>
          <t>CO2</t>
        </is>
      </c>
      <c r="AU62" s="341" t="inlineStr">
        <is>
          <t>正向</t>
        </is>
      </c>
      <c r="AV62" s="341" t="inlineStr">
        <is>
          <t>节能；技术创新；产业发展</t>
        </is>
      </c>
      <c r="AW62" s="341" t="inlineStr">
        <is>
          <t>GB 47834-2026 晶体硅光伏组件和逆变器能效限定值及能效等级</t>
        </is>
      </c>
      <c r="AX62" s="341" t="inlineStr">
        <is>
          <t>https://openstd.samr.gov.cn/bzgk/std/newGbInfo?hcno=225627E1DC4E7B5E174A7380130B4D30</t>
        </is>
      </c>
      <c r="AY62" s="341" t="inlineStr">
        <is>
          <t>N/A</t>
        </is>
      </c>
      <c r="AZ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t>
        </is>
      </c>
      <c r="L63" s="341" t="inlineStr">
        <is>
          <t>直接</t>
        </is>
      </c>
      <c r="M63" s="341" t="inlineStr">
        <is>
          <t>国家</t>
        </is>
      </c>
      <c r="N63" s="341" t="inlineStr">
        <is>
          <t>N/A</t>
        </is>
      </c>
      <c r="O63" s="341" t="inlineStr">
        <is>
          <t>18/12/2013</t>
        </is>
      </c>
      <c r="P63" s="341" t="inlineStr">
        <is>
          <t>01/09/2014</t>
        </is>
      </c>
      <c r="Q63" s="341" t="inlineStr">
        <is>
          <t>N/A</t>
        </is>
      </c>
      <c r="R63" s="341" t="inlineStr">
        <is>
          <t>27/02/2026</t>
        </is>
      </c>
      <c r="S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T63" s="341">
        <f>IF(P63="","生效",IF(P63="N/A","生效",IF(TODAY()&lt;DATE(VALUE(RIGHT(P63,4)),VALUE(MID(P63,4,2)),VALUE(LEFT(P63,2))),"计划实施",IF(Q63="","生效",IF(Q63="N/A","生效",IF(TODAY()&lt;DATE(VALUE(RIGHT(Q63,4)),VALUE(MID(Q63,4,2)),VALUE(LEFT(Q63,2))),"生效","已终止"))))))</f>
        <v/>
      </c>
      <c r="U63" s="341" t="inlineStr">
        <is>
          <t>国家市场监督管理总局；国家标准化管理委员会</t>
        </is>
      </c>
      <c r="V63" s="341" t="inlineStr">
        <is>
          <t>室内照明用LED产品</t>
        </is>
      </c>
      <c r="W63" s="341" t="inlineStr">
        <is>
          <t>新建</t>
        </is>
      </c>
      <c r="X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Y63" s="341" t="inlineStr">
        <is>
          <t>N/A</t>
        </is>
      </c>
      <c r="Z63" s="341" t="inlineStr">
        <is>
          <t>N/A</t>
        </is>
      </c>
      <c r="AA63" s="341" t="inlineStr">
        <is>
          <t>企业</t>
        </is>
      </c>
      <c r="AB63" s="341" t="inlineStr">
        <is>
          <t>在中国境内生产、进口或销售室内照明用LED产品的生产企业和进口商。</t>
        </is>
      </c>
      <c r="AC63" s="341" t="inlineStr">
        <is>
          <t>生产；销售；进口</t>
        </is>
      </c>
      <c r="AD63" s="341" t="inlineStr">
        <is>
          <t>室内照明用LED产品的生产、进口和销售活动。产品须达到标准规定的能效限定值方可进入市场。</t>
        </is>
      </c>
      <c r="AE63" s="341" t="inlineStr">
        <is>
          <t>3级</t>
        </is>
      </c>
      <c r="AF63" s="341" t="inlineStr">
        <is>
          <t>能效等级</t>
        </is>
      </c>
      <c r="AG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H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I63" s="341" t="inlineStr">
        <is>
          <t>N/A</t>
        </is>
      </c>
      <c r="AJ63" s="341" t="inlineStr">
        <is>
          <t>N/A</t>
        </is>
      </c>
      <c r="AK63" s="341" t="inlineStr">
        <is>
          <t>政府机构开展的监督检查</t>
        </is>
      </c>
      <c r="AL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M63" s="341" t="inlineStr">
        <is>
          <t>合规命令；罚款</t>
        </is>
      </c>
      <c r="AN63" s="341" t="inlineStr">
        <is>
          <t>对生产、进口、销售不符合强制性能效标准的室内照明用LED产品的，由市场监督管理部门责令停止生产、进口、销售，没收违法所得，并处罚款；情节严重的，吊销营业执照。</t>
        </is>
      </c>
      <c r="AO63" s="341" t="inlineStr">
        <is>
          <t>其他激励或支持</t>
        </is>
      </c>
      <c r="AP63" s="341" t="inlineStr">
        <is>
          <t>国家鼓励生产和使用1级、2级高效室内照明用LED产品；通过节能产品认证、政府绿色采购等措施引导高效LED照明产品市场推广；鼓励企业对标1级能效开展技术升级。</t>
        </is>
      </c>
      <c r="AQ63" s="341" t="inlineStr">
        <is>
          <t>N/A</t>
        </is>
      </c>
      <c r="AR63" s="341" t="inlineStr">
        <is>
          <t>N/A</t>
        </is>
      </c>
      <c r="AS63" s="341" t="inlineStr">
        <is>
          <t>C27</t>
        </is>
      </c>
      <c r="AT63" s="341" t="inlineStr">
        <is>
          <t>CO2</t>
        </is>
      </c>
      <c r="AU63" s="341" t="inlineStr">
        <is>
          <t>正向</t>
        </is>
      </c>
      <c r="AV63" s="341" t="inlineStr">
        <is>
          <t>节能；产业发展</t>
        </is>
      </c>
      <c r="AW63" s="341" t="inlineStr">
        <is>
          <t>GB 30255-2026 室内照明用LED产品能效限定值及能效等级</t>
        </is>
      </c>
      <c r="AX63" s="341" t="inlineStr">
        <is>
          <t>https://openstd.samr.gov.cn/bzgk/std/newGbInfo?hcno=C037214954746E0BFCE4CBE3CD779A7C</t>
        </is>
      </c>
      <c r="AY63" s="341" t="inlineStr">
        <is>
          <t>N/A</t>
        </is>
      </c>
      <c r="AZ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t>
        </is>
      </c>
      <c r="L64" s="341" t="inlineStr">
        <is>
          <t>直接</t>
        </is>
      </c>
      <c r="M64" s="341" t="inlineStr">
        <is>
          <t>国家</t>
        </is>
      </c>
      <c r="N64" s="341" t="inlineStr">
        <is>
          <t>N/A</t>
        </is>
      </c>
      <c r="O64" s="341" t="inlineStr">
        <is>
          <t>29/04/2024</t>
        </is>
      </c>
      <c r="P64" s="341" t="inlineStr">
        <is>
          <t>01/02/2025</t>
        </is>
      </c>
      <c r="Q64" s="341" t="inlineStr">
        <is>
          <t>N/A</t>
        </is>
      </c>
      <c r="R64" s="341" t="inlineStr">
        <is>
          <t>N/A</t>
        </is>
      </c>
      <c r="S64" s="341" t="inlineStr">
        <is>
          <t>N/A</t>
        </is>
      </c>
      <c r="T64" s="341">
        <f>IF(P64="","生效",IF(P64="N/A","生效",IF(TODAY()&lt;DATE(VALUE(RIGHT(P64,4)),VALUE(MID(P64,4,2)),VALUE(LEFT(P64,2))),"计划实施",IF(Q64="","生效",IF(Q64="N/A","生效",IF(TODAY()&lt;DATE(VALUE(RIGHT(Q64,4)),VALUE(MID(Q64,4,2)),VALUE(LEFT(Q64,2))),"生效","已终止"))))))</f>
        <v/>
      </c>
      <c r="U64" s="341" t="inlineStr">
        <is>
          <t>国家市场监督管理总局；国家标准化管理委员会</t>
        </is>
      </c>
      <c r="V64" s="341" t="inlineStr">
        <is>
          <t>冷库（箱）和压缩冷凝机组</t>
        </is>
      </c>
      <c r="W64" s="341" t="inlineStr">
        <is>
          <t>新建</t>
        </is>
      </c>
      <c r="X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Y64" s="341" t="inlineStr">
        <is>
          <t>N/A</t>
        </is>
      </c>
      <c r="Z64" s="341" t="inlineStr">
        <is>
          <t>N/A</t>
        </is>
      </c>
      <c r="AA64" s="341" t="inlineStr">
        <is>
          <t>企业</t>
        </is>
      </c>
      <c r="AB64" s="341" t="inlineStr">
        <is>
          <t>在中国境内生产、进口或销售冷库（箱）和压缩冷凝机组的生产企业和进口商。</t>
        </is>
      </c>
      <c r="AC64" s="341" t="inlineStr">
        <is>
          <t>生产；销售；进口</t>
        </is>
      </c>
      <c r="AD64" s="341" t="inlineStr">
        <is>
          <t>冷库（箱）和压缩冷凝机组的生产、进口和销售活动。产品须达到标准规定的能效限定值方可进入市场。</t>
        </is>
      </c>
      <c r="AE64" s="341" t="inlineStr">
        <is>
          <t>3级</t>
        </is>
      </c>
      <c r="AF64" s="341" t="inlineStr">
        <is>
          <t>能效等级</t>
        </is>
      </c>
      <c r="AG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H64" s="341" t="inlineStr">
        <is>
          <t>1）冷库（箱）和压缩冷凝机组须达到标准规定的能效限定值（3级）方可生产、进口或销售；2）产品须标注能效等级标识；3）能效等级分为1级（最高）、2级、3级，3级为市场准入最低要求。</t>
        </is>
      </c>
      <c r="AI64" s="341" t="inlineStr">
        <is>
          <t>N/A</t>
        </is>
      </c>
      <c r="AJ64" s="341" t="inlineStr">
        <is>
          <t>N/A</t>
        </is>
      </c>
      <c r="AK64" s="341" t="inlineStr">
        <is>
          <t>政府机构开展的监督检查</t>
        </is>
      </c>
      <c r="AL64" s="341" t="inlineStr">
        <is>
          <t>市场监督管理部门对冷库（箱）和压缩冷凝机组产品进行能效标识监督检查和产品质量监督抽查。</t>
        </is>
      </c>
      <c r="AM64" s="341" t="inlineStr">
        <is>
          <t>合规命令；罚款</t>
        </is>
      </c>
      <c r="AN64" s="341" t="inlineStr">
        <is>
          <t>对生产、进口、销售不符合强制性能效标准的冷库（箱）和压缩冷凝机组产品的，由市场监督管理部门责令停止生产、进口、销售，没收违法所得，并处罚款；情节严重的，吊销营业执照。</t>
        </is>
      </c>
      <c r="AO64" s="341" t="inlineStr">
        <is>
          <t>其他激励或支持</t>
        </is>
      </c>
      <c r="AP64" s="341" t="inlineStr">
        <is>
          <t>国家鼓励生产和使用1级、2级高效冷库和压缩冷凝机组；通过节能产品认证和冷链物流绿色发展推广高效制冷设备。</t>
        </is>
      </c>
      <c r="AQ64" s="341" t="inlineStr">
        <is>
          <t>N/A</t>
        </is>
      </c>
      <c r="AR64" s="341" t="inlineStr">
        <is>
          <t>N/A</t>
        </is>
      </c>
      <c r="AS64" s="341" t="inlineStr">
        <is>
          <t>C27; C28</t>
        </is>
      </c>
      <c r="AT64" s="341" t="inlineStr">
        <is>
          <t>CO2</t>
        </is>
      </c>
      <c r="AU64" s="341" t="inlineStr">
        <is>
          <t>正向</t>
        </is>
      </c>
      <c r="AV64" s="341" t="inlineStr">
        <is>
          <t>节能；产业发展</t>
        </is>
      </c>
      <c r="AW64" s="341" t="inlineStr">
        <is>
          <t>GB 44015-2024 冷库（箱）和压缩冷凝机组能效限定值及能效等级</t>
        </is>
      </c>
      <c r="AX64" s="341" t="inlineStr">
        <is>
          <t>https://openstd.samr.gov.cn/bzgk/std/newGbInfo?hcno=B3B732610072125E247A58FF6C2750FB</t>
        </is>
      </c>
      <c r="AY64" s="341" t="inlineStr">
        <is>
          <t>N/A</t>
        </is>
      </c>
      <c r="AZ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t>
        </is>
      </c>
      <c r="L65" s="341" t="inlineStr">
        <is>
          <t>直接</t>
        </is>
      </c>
      <c r="M65" s="341" t="inlineStr">
        <is>
          <t>国家</t>
        </is>
      </c>
      <c r="N65" s="341" t="inlineStr">
        <is>
          <t>N/A</t>
        </is>
      </c>
      <c r="O65" s="341" t="inlineStr">
        <is>
          <t>01/06/2011</t>
        </is>
      </c>
      <c r="P65" s="341" t="inlineStr">
        <is>
          <t>01/01/2012</t>
        </is>
      </c>
      <c r="Q65" s="341" t="inlineStr">
        <is>
          <t>N/A</t>
        </is>
      </c>
      <c r="R65" s="341" t="inlineStr">
        <is>
          <t>29/09/2024</t>
        </is>
      </c>
      <c r="S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T65" s="341">
        <f>IF(P65="","生效",IF(P65="N/A","生效",IF(TODAY()&lt;DATE(VALUE(RIGHT(P65,4)),VALUE(MID(P65,4,2)),VALUE(LEFT(P65,2))),"计划实施",IF(Q65="","生效",IF(Q65="N/A","生效",IF(TODAY()&lt;DATE(VALUE(RIGHT(Q65,4)),VALUE(MID(Q65,4,2)),VALUE(LEFT(Q65,2))),"生效","已终止"))))))</f>
        <v/>
      </c>
      <c r="U65" s="341" t="inlineStr">
        <is>
          <t>国家市场监督管理总局；国家标准化管理委员会</t>
        </is>
      </c>
      <c r="V65" s="341" t="inlineStr">
        <is>
          <t>商用制冷器具</t>
        </is>
      </c>
      <c r="W65" s="341" t="inlineStr">
        <is>
          <t>新建</t>
        </is>
      </c>
      <c r="X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Y65" s="341" t="inlineStr">
        <is>
          <t>N/A</t>
        </is>
      </c>
      <c r="Z65" s="341" t="inlineStr">
        <is>
          <t>N/A</t>
        </is>
      </c>
      <c r="AA65" s="341" t="inlineStr">
        <is>
          <t>企业</t>
        </is>
      </c>
      <c r="AB65" s="341" t="inlineStr">
        <is>
          <t>在中国境内生产、进口或销售商用制冷器具的生产企业和进口商。</t>
        </is>
      </c>
      <c r="AC65" s="341" t="inlineStr">
        <is>
          <t>生产；销售；进口</t>
        </is>
      </c>
      <c r="AD65" s="341" t="inlineStr">
        <is>
          <t>商用制冷器具的生产、进口和销售活动。产品须达到标准规定的能效限定值方可进入市场。</t>
        </is>
      </c>
      <c r="AE65" s="341" t="inlineStr">
        <is>
          <t>3级</t>
        </is>
      </c>
      <c r="AF65" s="341" t="inlineStr">
        <is>
          <t>能效等级</t>
        </is>
      </c>
      <c r="AG65" s="341" t="inlineStr">
        <is>
          <t>能效等级分为3级（1级最高），3级为能效限定值即市场准入最低要求。以年耗电量或日耗电量为评价指标，按产品类型、容积和温度等级分级设定限值。实体门冷藏柜预计淘汰率超35%，冷冻柜超25%。</t>
        </is>
      </c>
      <c r="AH65" s="341" t="inlineStr">
        <is>
          <t>1）商用制冷器具须达到标准规定的能效限定值（3级）方可生产、进口或销售；2）产品须标注能效等级标识；3）能效等级分为1级（最高）、2级、3级，3级为市场准入最低要求。</t>
        </is>
      </c>
      <c r="AI65" s="341" t="inlineStr">
        <is>
          <t>N/A</t>
        </is>
      </c>
      <c r="AJ65" s="341" t="inlineStr">
        <is>
          <t>N/A</t>
        </is>
      </c>
      <c r="AK65" s="341" t="inlineStr">
        <is>
          <t>政府机构开展的监督检查</t>
        </is>
      </c>
      <c r="AL65" s="341" t="inlineStr">
        <is>
          <t>市场监督管理部门对商用制冷器具产品进行能效标识监督检查和产品质量监督抽查。</t>
        </is>
      </c>
      <c r="AM65" s="341" t="inlineStr">
        <is>
          <t>合规命令；罚款</t>
        </is>
      </c>
      <c r="AN65" s="341" t="inlineStr">
        <is>
          <t>对生产、进口、销售不符合强制性能效标准的商用制冷器具产品的，由市场监督管理部门责令停止生产、进口、销售，没收违法所得，并处罚款；情节严重的，吊销营业执照。</t>
        </is>
      </c>
      <c r="AO65" s="341" t="inlineStr">
        <is>
          <t>其他激励或支持</t>
        </is>
      </c>
      <c r="AP65" s="341" t="inlineStr">
        <is>
          <t>国家鼓励生产和使用1级、2级高效商用制冷器具；通过节能产品认证和绿色商场、绿色餐饮推广引导高效商用制冷设备市场应用。</t>
        </is>
      </c>
      <c r="AQ65" s="341" t="inlineStr">
        <is>
          <t>N/A</t>
        </is>
      </c>
      <c r="AR65" s="341" t="inlineStr">
        <is>
          <t>N/A</t>
        </is>
      </c>
      <c r="AS65" s="341" t="inlineStr">
        <is>
          <t>C27; C28</t>
        </is>
      </c>
      <c r="AT65" s="341" t="inlineStr">
        <is>
          <t>CO2</t>
        </is>
      </c>
      <c r="AU65" s="341" t="inlineStr">
        <is>
          <t>正向</t>
        </is>
      </c>
      <c r="AV65" s="341" t="inlineStr">
        <is>
          <t>节能；污染防治；产业发展</t>
        </is>
      </c>
      <c r="AW65" s="341" t="inlineStr">
        <is>
          <t>GB 26920-2024 商用制冷器具能效限定值及能效等级</t>
        </is>
      </c>
      <c r="AX65" s="341" t="inlineStr">
        <is>
          <t>https://openstd.samr.gov.cn/bzgk/std/newGbInfo?hcno=D31D3F0141DC29FC6A4FFA51B09CAF0C</t>
        </is>
      </c>
      <c r="AY65" s="341" t="inlineStr">
        <is>
          <t>GB 26920.3-2019（旧版）：https://openstd.samr.gov.cn/bzgk/std/newGbInfo?hcno=F47A3F40107AD767BF38BB5A0033437F</t>
        </is>
      </c>
      <c r="AZ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能源效率；减缓气候变化；产业发展</t>
        </is>
      </c>
      <c r="L66" s="341" t="inlineStr">
        <is>
          <t>直接</t>
        </is>
      </c>
      <c r="M66" s="341" t="inlineStr">
        <is>
          <t>国家</t>
        </is>
      </c>
      <c r="N66" s="341" t="inlineStr">
        <is>
          <t>N/A</t>
        </is>
      </c>
      <c r="O66" s="341" t="inlineStr">
        <is>
          <t>15/11/2021</t>
        </is>
      </c>
      <c r="P66" s="341" t="inlineStr">
        <is>
          <t>01/01/2022</t>
        </is>
      </c>
      <c r="Q66" s="341" t="inlineStr">
        <is>
          <t>N/A</t>
        </is>
      </c>
      <c r="R66" s="341" t="inlineStr">
        <is>
          <t>04/07/2023</t>
        </is>
      </c>
      <c r="S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T66" s="341">
        <f>IF(P66="","生效",IF(P66="N/A","生效",IF(TODAY()&lt;DATE(VALUE(RIGHT(P66,4)),VALUE(MID(P66,4,2)),VALUE(LEFT(P66,2))),"计划实施",IF(Q66="","生效",IF(Q66="N/A","生效",IF(TODAY()&lt;DATE(VALUE(RIGHT(Q66,4)),VALUE(MID(Q66,4,2)),VALUE(LEFT(Q66,2))),"生效","已终止"))))))</f>
        <v/>
      </c>
      <c r="U66" s="341" t="inlineStr">
        <is>
          <t>国家发展改革委、工业和信息化部、生态环境部、市场监管总局、国家能源局</t>
        </is>
      </c>
      <c r="V66" s="341" t="inlineStr">
        <is>
          <t>工业生产线/生产设施</t>
        </is>
      </c>
      <c r="W66" s="341" t="inlineStr">
        <is>
          <t>新建；既有</t>
        </is>
      </c>
      <c r="X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Y66" s="341" t="inlineStr">
        <is>
          <t>N/A</t>
        </is>
      </c>
      <c r="Z66" s="341" t="inlineStr">
        <is>
          <t>N/A</t>
        </is>
      </c>
      <c r="AA66" s="341" t="inlineStr">
        <is>
          <t>企业</t>
        </is>
      </c>
      <c r="AB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C66" s="341" t="inlineStr">
        <is>
          <t>生产</t>
        </is>
      </c>
      <c r="AD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E66" s="341" t="inlineStr">
        <is>
          <t>N/A</t>
        </is>
      </c>
      <c r="AF66" s="341" t="inlineStr">
        <is>
          <t>N/A</t>
        </is>
      </c>
      <c r="AG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H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I66" s="341" t="inlineStr">
        <is>
          <t>N/A</t>
        </is>
      </c>
      <c r="AJ66" s="341" t="inlineStr">
        <is>
          <t>N/A</t>
        </is>
      </c>
      <c r="AK66" s="341" t="inlineStr">
        <is>
          <t>政府机构开展的监督检查；企业能耗数据报告</t>
        </is>
      </c>
      <c r="AL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M66" s="341" t="inlineStr">
        <is>
          <t>合规命令；罚款；差别化电价；淘汰关停</t>
        </is>
      </c>
      <c r="AN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O66" s="341" t="inlineStr">
        <is>
          <t>其他激励或支持</t>
        </is>
      </c>
      <c r="AP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Q66" s="341" t="inlineStr">
        <is>
          <t>N/A</t>
        </is>
      </c>
      <c r="AR66" s="341" t="inlineStr">
        <is>
          <t>N/A</t>
        </is>
      </c>
      <c r="AS66" s="341" t="inlineStr">
        <is>
          <t>C13; C17; C19; C20; C22; C23; C24</t>
        </is>
      </c>
      <c r="AT66" s="341" t="inlineStr">
        <is>
          <t>CO2</t>
        </is>
      </c>
      <c r="AU66" s="341" t="inlineStr">
        <is>
          <t>正向</t>
        </is>
      </c>
      <c r="AV66" s="341" t="inlineStr">
        <is>
          <t>节能；技术创新；污染防治；产业发展；资源节约</t>
        </is>
      </c>
      <c r="AW66" s="341" t="inlineStr">
        <is>
          <t>国家发展改革委等部门关于发布《工业重点领域能效标杆水平和基准水平（2023年版）》的通知（发改产业〔2023〕723号）</t>
        </is>
      </c>
      <c r="AX66" s="341" t="inlineStr">
        <is>
          <t>https://www.ndrc.gov.cn/xwdt/tzgg/202307/t20230704_1358115_ext.html</t>
        </is>
      </c>
      <c r="AY66" s="341" t="inlineStr">
        <is>
          <t>https://www.ndrc.gov.cn/xxgk/zcfb/tz/202111/t20211115_1304012_ext.html</t>
        </is>
      </c>
      <c r="AZ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t>
        </is>
      </c>
      <c r="L67" s="341" t="inlineStr">
        <is>
          <t>直接</t>
        </is>
      </c>
      <c r="M67" s="341" t="inlineStr">
        <is>
          <t>国家</t>
        </is>
      </c>
      <c r="N67" s="341" t="inlineStr">
        <is>
          <t>N/A</t>
        </is>
      </c>
      <c r="O67" s="341" t="inlineStr">
        <is>
          <t>01/08/2025</t>
        </is>
      </c>
      <c r="P67" s="341" t="inlineStr">
        <is>
          <t>01/08/2026</t>
        </is>
      </c>
      <c r="Q67" s="341" t="inlineStr">
        <is>
          <t>N/A</t>
        </is>
      </c>
      <c r="R67" s="341" t="inlineStr">
        <is>
          <t>N/A</t>
        </is>
      </c>
      <c r="S67" s="341" t="inlineStr">
        <is>
          <t>N/A</t>
        </is>
      </c>
      <c r="T67" s="341">
        <f>IF(P67="","生效",IF(P67="N/A","生效",IF(TODAY()&lt;DATE(VALUE(RIGHT(P67,4)),VALUE(MID(P67,4,2)),VALUE(LEFT(P67,2))),"计划实施",IF(Q67="","生效",IF(Q67="N/A","生效",IF(TODAY()&lt;DATE(VALUE(RIGHT(Q67,4)),VALUE(MID(Q67,4,2)),VALUE(LEFT(Q67,2))),"生效","已终止"))))))</f>
        <v/>
      </c>
      <c r="U67" s="341" t="inlineStr">
        <is>
          <t>国家市场监督管理总局；国家标准化管理委员会</t>
        </is>
      </c>
      <c r="V67" s="341" t="inlineStr">
        <is>
          <t>甲醛生产装置</t>
        </is>
      </c>
      <c r="W67" s="341" t="inlineStr">
        <is>
          <t>新建；既有</t>
        </is>
      </c>
      <c r="X67" s="341" t="inlineStr">
        <is>
          <t>以甲醇为原料，采用银法或铁钼法工艺生产甲醛的装置。</t>
        </is>
      </c>
      <c r="Y67" s="341" t="inlineStr">
        <is>
          <t>N/A</t>
        </is>
      </c>
      <c r="Z67" s="341" t="inlineStr">
        <is>
          <t>N/A</t>
        </is>
      </c>
      <c r="AA67" s="341" t="inlineStr">
        <is>
          <t>企业</t>
        </is>
      </c>
      <c r="AB67" s="341" t="inlineStr">
        <is>
          <t>在中国境内运营甲醛生产装置的企业。</t>
        </is>
      </c>
      <c r="AC67" s="341" t="inlineStr">
        <is>
          <t>生产</t>
        </is>
      </c>
      <c r="AD67" s="341" t="inlineStr">
        <is>
          <t>甲醛生产装置的运行活动。现有企业须达到3级限定值，新建及改扩建企业须达到2级准入值。</t>
        </is>
      </c>
      <c r="AE67" s="341" t="inlineStr">
        <is>
          <t>3级</t>
        </is>
      </c>
      <c r="AF67" s="341" t="inlineStr">
        <is>
          <t>能耗限额等级</t>
        </is>
      </c>
      <c r="AG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H67" s="341" t="inlineStr">
        <is>
          <t>1）现有甲醛生产企业须达到3级限定值方可继续运营，未达标者须限期改造或淘汰；2）新建及改扩建甲醛项目须达到2级准入值方可投产；3）1级先进值用于引导行业节能标杆。</t>
        </is>
      </c>
      <c r="AI67" s="341" t="inlineStr">
        <is>
          <t>N/A</t>
        </is>
      </c>
      <c r="AJ67" s="341" t="inlineStr">
        <is>
          <t>N/A</t>
        </is>
      </c>
      <c r="AK67" s="341" t="inlineStr">
        <is>
          <t>政府机构开展的监督检查；企业能耗数据报告</t>
        </is>
      </c>
      <c r="AL67" s="341" t="inlineStr">
        <is>
          <t>市场监督管理部门对甲醛生产企业进行能耗限额标准执行情况监督检查；企业须按规定报送年度能源消耗数据，接受节能监察。</t>
        </is>
      </c>
      <c r="AM67" s="341" t="inlineStr">
        <is>
          <t>合规命令；罚款；差别化电价；淘汰关停</t>
        </is>
      </c>
      <c r="AN67" s="341" t="inlineStr">
        <is>
          <t>对不符合强制性能耗限额标准的甲醛生产企业，由市场监督管理部门或节能主管部门责令限期整改，逾期未完成整改或整改后仍不达标的，纳入差别化电价范围并依法予以淘汰关停。</t>
        </is>
      </c>
      <c r="AO67" s="341" t="inlineStr">
        <is>
          <t>其他激励或支持</t>
        </is>
      </c>
      <c r="AP67" s="341" t="inlineStr">
        <is>
          <t>国家鼓励甲醛生产企业对标1级先进值开展节能降碳改造，通过节能审查、绿色工厂认定和重点行业节能降碳改造攻坚行动引导和支持先进产能提升。</t>
        </is>
      </c>
      <c r="AQ67" s="341" t="inlineStr">
        <is>
          <t>N/A</t>
        </is>
      </c>
      <c r="AR67" s="341" t="inlineStr">
        <is>
          <t>N/A</t>
        </is>
      </c>
      <c r="AS67" s="341" t="inlineStr">
        <is>
          <t>C20</t>
        </is>
      </c>
      <c r="AT67" s="341" t="inlineStr">
        <is>
          <t>CO2</t>
        </is>
      </c>
      <c r="AU67" s="341" t="inlineStr">
        <is>
          <t>正向</t>
        </is>
      </c>
      <c r="AV67" s="341" t="inlineStr">
        <is>
          <t>节能</t>
        </is>
      </c>
      <c r="AW67" s="341" t="inlineStr">
        <is>
          <t>GB 46029-2025 甲醛单位产品能源消耗限额</t>
        </is>
      </c>
      <c r="AX67" s="341" t="inlineStr">
        <is>
          <t>https://openstd.samr.gov.cn/bzgk/std/newGbInfo?hcno=48412ECEBF7578E4EDFA26F06CC3DF37</t>
        </is>
      </c>
      <c r="AY67" s="341" t="inlineStr">
        <is>
          <t>N/A</t>
        </is>
      </c>
      <c r="AZ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t>
        </is>
      </c>
      <c r="L68" s="341" t="inlineStr">
        <is>
          <t>直接</t>
        </is>
      </c>
      <c r="M68" s="341" t="inlineStr">
        <is>
          <t>国家</t>
        </is>
      </c>
      <c r="N68" s="341" t="inlineStr">
        <is>
          <t>N/A</t>
        </is>
      </c>
      <c r="O68" s="341" t="inlineStr">
        <is>
          <t>03/12/2007</t>
        </is>
      </c>
      <c r="P68" s="341" t="inlineStr">
        <is>
          <t>01/06/2008</t>
        </is>
      </c>
      <c r="Q68" s="341" t="inlineStr">
        <is>
          <t>N/A</t>
        </is>
      </c>
      <c r="R68" s="341" t="inlineStr">
        <is>
          <t>29/09/2024</t>
        </is>
      </c>
      <c r="S68" s="341" t="inlineStr">
        <is>
          <t>2024年9月29日发布GB 21258-2024替代GB 21258-2017和GB 35574-2017，更新各级能耗限额指标，将循环流化床机组纳入覆盖范围，基本实现煤电全覆盖。</t>
        </is>
      </c>
      <c r="T68" s="341">
        <f>IF(P68="","生效",IF(P68="N/A","生效",IF(TODAY()&lt;DATE(VALUE(RIGHT(P68,4)),VALUE(MID(P68,4,2)),VALUE(LEFT(P68,2))),"计划实施",IF(Q68="","生效",IF(Q68="N/A","生效",IF(TODAY()&lt;DATE(VALUE(RIGHT(Q68,4)),VALUE(MID(Q68,4,2)),VALUE(LEFT(Q68,2))),"生效","已终止"))))))</f>
        <v/>
      </c>
      <c r="U68" s="341" t="inlineStr">
        <is>
          <t>国家市场监督管理总局；国家标准化管理委员会</t>
        </is>
      </c>
      <c r="V68" s="341" t="inlineStr">
        <is>
          <t>燃煤发电机组</t>
        </is>
      </c>
      <c r="W68" s="341" t="inlineStr">
        <is>
          <t>新建；既有</t>
        </is>
      </c>
      <c r="X68" s="341" t="inlineStr">
        <is>
          <t>常规燃煤发电机组，包括纯凝机组和热电联产机组，按容量和蒸汽参数（超超临界、超临界、亚临界、超高压等）分类。</t>
        </is>
      </c>
      <c r="Y68" s="341" t="inlineStr">
        <is>
          <t>N/A</t>
        </is>
      </c>
      <c r="Z68" s="341" t="inlineStr">
        <is>
          <t>N/A</t>
        </is>
      </c>
      <c r="AA68" s="341" t="inlineStr">
        <is>
          <t>企业</t>
        </is>
      </c>
      <c r="AB68" s="341" t="inlineStr">
        <is>
          <t>在中国境内运营燃煤发电机组的企业。</t>
        </is>
      </c>
      <c r="AC68" s="341" t="inlineStr">
        <is>
          <t>生产</t>
        </is>
      </c>
      <c r="AD68" s="341" t="inlineStr">
        <is>
          <t>燃煤发电机组的运行活动。现有机组须达到3级限定值，新建机组须达到2级准入值。</t>
        </is>
      </c>
      <c r="AE68" s="341" t="inlineStr">
        <is>
          <t>3级</t>
        </is>
      </c>
      <c r="AF68" s="341" t="inlineStr">
        <is>
          <t>能耗限额等级</t>
        </is>
      </c>
      <c r="AG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H68" s="341" t="inlineStr">
        <is>
          <t>1）现有燃煤发电机组须达到3级限定值方可继续运行，未达标者须实施节能改造或关停；2）新建燃煤发电项目须达到2级准入值方可核准投产；3）1级先进值用于引导行业节能标杆。</t>
        </is>
      </c>
      <c r="AI68" s="341" t="inlineStr">
        <is>
          <t>N/A</t>
        </is>
      </c>
      <c r="AJ68" s="341" t="inlineStr">
        <is>
          <t>N/A</t>
        </is>
      </c>
      <c r="AK68" s="341" t="inlineStr">
        <is>
          <t>政府机构开展的监督检查；企业能耗数据报告</t>
        </is>
      </c>
      <c r="AL68" s="341" t="inlineStr">
        <is>
          <t>市场监督管理部门和能源主管部门对燃煤发电企业进行能耗限额标准执行情况监督检查；企业须按规定报送年度能源消耗数据，接受节能监察和电力监管。</t>
        </is>
      </c>
      <c r="AM68" s="341" t="inlineStr">
        <is>
          <t>合规命令；罚款；差别化电价；淘汰关停</t>
        </is>
      </c>
      <c r="AN68" s="341" t="inlineStr">
        <is>
          <t>对不符合强制性能耗限额标准的燃煤发电企业，由相关部门责令限期整改，逾期未完成整改或整改后仍不达标的，纳入差别化电价范围并依法采取关停措施。</t>
        </is>
      </c>
      <c r="AO68" s="341" t="inlineStr">
        <is>
          <t>其他激励或支持</t>
        </is>
      </c>
      <c r="AP68" s="341" t="inlineStr">
        <is>
          <t>国家鼓励燃煤发电企业对标1级先进值开展节能降碳改造，通过煤电低碳化改造行动、节能审查和绿色电力认证引导和支持先进产能提升。</t>
        </is>
      </c>
      <c r="AQ68" s="341" t="inlineStr">
        <is>
          <t>N/A</t>
        </is>
      </c>
      <c r="AR68" s="341" t="inlineStr">
        <is>
          <t>N/A</t>
        </is>
      </c>
      <c r="AS68" s="341" t="inlineStr">
        <is>
          <t>D35</t>
        </is>
      </c>
      <c r="AT68" s="341" t="inlineStr">
        <is>
          <t>CO2</t>
        </is>
      </c>
      <c r="AU68" s="341" t="inlineStr">
        <is>
          <t>正向</t>
        </is>
      </c>
      <c r="AV68" s="341" t="inlineStr">
        <is>
          <t>节能；污染防治</t>
        </is>
      </c>
      <c r="AW68" s="341" t="inlineStr">
        <is>
          <t>GB 21258-2024 燃煤发电机组单位产品能源消耗限额</t>
        </is>
      </c>
      <c r="AX68" s="341" t="inlineStr">
        <is>
          <t>https://openstd.samr.gov.cn/bzgk/std/newGbInfo?hcno=5ECDC8DD7CCBDCBA21C3103D8473A77F</t>
        </is>
      </c>
      <c r="AY68" s="341" t="inlineStr">
        <is>
          <t>N/A</t>
        </is>
      </c>
      <c r="AZ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t>
        </is>
      </c>
      <c r="L69" s="341" t="inlineStr">
        <is>
          <t>直接</t>
        </is>
      </c>
      <c r="M69" s="341" t="inlineStr">
        <is>
          <t>国家</t>
        </is>
      </c>
      <c r="N69" s="341" t="inlineStr">
        <is>
          <t>N/A</t>
        </is>
      </c>
      <c r="O69" s="341" t="inlineStr">
        <is>
          <t>31/12/2012</t>
        </is>
      </c>
      <c r="P69" s="341" t="inlineStr">
        <is>
          <t>01/10/2013</t>
        </is>
      </c>
      <c r="Q69" s="341" t="inlineStr">
        <is>
          <t>N/A</t>
        </is>
      </c>
      <c r="R69" s="341" t="inlineStr">
        <is>
          <t>01/08/2025</t>
        </is>
      </c>
      <c r="S69" s="341" t="inlineStr">
        <is>
          <t>2025年8月1日发布GB 29445-2025，整合替代GB 29444-2012和GB 29445-2012，将井工开采和露天开采两部标准合并为一，更新各级能耗限额指标。</t>
        </is>
      </c>
      <c r="T69" s="341">
        <f>IF(P69="","生效",IF(P69="N/A","生效",IF(TODAY()&lt;DATE(VALUE(RIGHT(P69,4)),VALUE(MID(P69,4,2)),VALUE(LEFT(P69,2))),"计划实施",IF(Q69="","生效",IF(Q69="N/A","生效",IF(TODAY()&lt;DATE(VALUE(RIGHT(Q69,4)),VALUE(MID(Q69,4,2)),VALUE(LEFT(Q69,2))),"生效","已终止"))))))</f>
        <v/>
      </c>
      <c r="U69" s="341" t="inlineStr">
        <is>
          <t>国家市场监督管理总局；国家标准化管理委员会</t>
        </is>
      </c>
      <c r="V69" s="341" t="inlineStr">
        <is>
          <t>煤炭开采生产系统</t>
        </is>
      </c>
      <c r="W69" s="341" t="inlineStr">
        <is>
          <t>新建；既有</t>
        </is>
      </c>
      <c r="X69" s="341" t="inlineStr">
        <is>
          <t>煤炭开采企业的井工开采或露天开采生产系统，包括采掘、运输、提升、通风、排水、照明等主要生产环节及辅助生产系统。</t>
        </is>
      </c>
      <c r="Y69" s="341" t="inlineStr">
        <is>
          <t>N/A</t>
        </is>
      </c>
      <c r="Z69" s="341" t="inlineStr">
        <is>
          <t>N/A</t>
        </is>
      </c>
      <c r="AA69" s="341" t="inlineStr">
        <is>
          <t>企业</t>
        </is>
      </c>
      <c r="AB69" s="341" t="inlineStr">
        <is>
          <t>在中国境内运营煤炭开采企业的运营商。</t>
        </is>
      </c>
      <c r="AC69" s="341" t="inlineStr">
        <is>
          <t>生产</t>
        </is>
      </c>
      <c r="AD69" s="341" t="inlineStr">
        <is>
          <t>煤炭开采生产系统的运行活动。现有企业须达到3级限定值，新建企业须达到2级准入值。</t>
        </is>
      </c>
      <c r="AE69" s="341" t="inlineStr">
        <is>
          <t>3级</t>
        </is>
      </c>
      <c r="AF69" s="341" t="inlineStr">
        <is>
          <t>能耗限额等级</t>
        </is>
      </c>
      <c r="AG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H69" s="341" t="inlineStr">
        <is>
          <t>1）现有煤炭开采企业须达到3级限定值方可继续运营，未达标者须限期改造或淘汰；2）新建煤炭开采项目须达到2级准入值方可投产；3）1级先进值用于引导行业节能标杆。</t>
        </is>
      </c>
      <c r="AI69" s="341" t="inlineStr">
        <is>
          <t>N/A</t>
        </is>
      </c>
      <c r="AJ69" s="341" t="inlineStr">
        <is>
          <t>N/A</t>
        </is>
      </c>
      <c r="AK69" s="341" t="inlineStr">
        <is>
          <t>政府机构开展的监督检查；企业能耗数据报告</t>
        </is>
      </c>
      <c r="AL69" s="341" t="inlineStr">
        <is>
          <t>市场监督管理部门和能源主管部门对煤炭开采企业进行能耗限额标准执行情况监督检查；企业须按规定报送年度能源消耗数据，接受节能监察。</t>
        </is>
      </c>
      <c r="AM69" s="341" t="inlineStr">
        <is>
          <t>合规命令；罚款；差别化电价；淘汰关停</t>
        </is>
      </c>
      <c r="AN69" s="341" t="inlineStr">
        <is>
          <t>对不符合强制性能耗限额标准的煤炭开采企业，由相关部门责令限期整改，逾期未完成整改或整改后仍不达标的，纳入差别化电价范围并依法予以淘汰关停。</t>
        </is>
      </c>
      <c r="AO69" s="341" t="inlineStr">
        <is>
          <t>其他激励或支持</t>
        </is>
      </c>
      <c r="AP69" s="341" t="inlineStr">
        <is>
          <t>国家鼓励煤炭开采企业对标1级先进值开展节能降碳改造，通过节能审查和绿色矿山建设引导和支持先进产能提升。</t>
        </is>
      </c>
      <c r="AQ69" s="341" t="inlineStr">
        <is>
          <t>N/A</t>
        </is>
      </c>
      <c r="AR69" s="341" t="inlineStr">
        <is>
          <t>N/A</t>
        </is>
      </c>
      <c r="AS69" s="341" t="inlineStr">
        <is>
          <t>B05</t>
        </is>
      </c>
      <c r="AT69" s="341" t="inlineStr">
        <is>
          <t>CO2</t>
        </is>
      </c>
      <c r="AU69" s="341" t="inlineStr">
        <is>
          <t>正向</t>
        </is>
      </c>
      <c r="AV69" s="341" t="inlineStr">
        <is>
          <t>节能</t>
        </is>
      </c>
      <c r="AW69" s="341" t="inlineStr">
        <is>
          <t>GB 29445-2025 煤炭开采单位产品能源消耗限额</t>
        </is>
      </c>
      <c r="AX69" s="341" t="inlineStr">
        <is>
          <t>https://openstd.samr.gov.cn/bzgk/std/newGbInfo?hcno=7043EB594BD5ABD2DFA696645B96B0CF</t>
        </is>
      </c>
      <c r="AY69" s="341" t="inlineStr">
        <is>
          <t>GB 29444-2012 (superseded, coal mines): https://openstd.samr.gov.cn/bzgk/std/newGbInfo?hcno=F2264FE27AD4688868A72C4DD87F77B0; GB 29445-2012 (superseded, open-pit mining): https://openstd.samr.gov.cn/bzgk/std/newGbInfo?hcno=7C2A5E9D8333A6111451DDFEBECF6A64</t>
        </is>
      </c>
      <c r="AZ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t>
        </is>
      </c>
      <c r="L70" s="341" t="inlineStr">
        <is>
          <t>直接</t>
        </is>
      </c>
      <c r="M70" s="341" t="inlineStr">
        <is>
          <t>国家</t>
        </is>
      </c>
      <c r="N70" s="341" t="inlineStr">
        <is>
          <t>N/A</t>
        </is>
      </c>
      <c r="O70" s="341" t="inlineStr">
        <is>
          <t>03/12/2007</t>
        </is>
      </c>
      <c r="P70" s="341" t="inlineStr">
        <is>
          <t>01/06/2008</t>
        </is>
      </c>
      <c r="Q70" s="341" t="inlineStr">
        <is>
          <t>N/A</t>
        </is>
      </c>
      <c r="R70" s="341" t="inlineStr">
        <is>
          <t>30/06/2025</t>
        </is>
      </c>
      <c r="S70" s="341" t="inlineStr">
        <is>
          <t>2025年6月30日发布GB 21256-2025替代GB 21256-2013，更新各级能耗限额指标，新增电弧炉短流程工序限额要求，增加客观因素修正系数体系。</t>
        </is>
      </c>
      <c r="T70" s="341">
        <f>IF(P70="","生效",IF(P70="N/A","生效",IF(TODAY()&lt;DATE(VALUE(RIGHT(P70,4)),VALUE(MID(P70,4,2)),VALUE(LEFT(P70,2))),"计划实施",IF(Q70="","生效",IF(Q70="N/A","生效",IF(TODAY()&lt;DATE(VALUE(RIGHT(Q70,4)),VALUE(MID(Q70,4,2)),VALUE(LEFT(Q70,2))),"生效","已终止"))))))</f>
        <v/>
      </c>
      <c r="U70" s="341" t="inlineStr">
        <is>
          <t>国家市场监督管理总局；国家标准化管理委员会</t>
        </is>
      </c>
      <c r="V70" s="341" t="inlineStr">
        <is>
          <t>粗钢生产主要工序</t>
        </is>
      </c>
      <c r="W70" s="341" t="inlineStr">
        <is>
          <t>新建；既有</t>
        </is>
      </c>
      <c r="X70" s="341" t="inlineStr">
        <is>
          <t>钢铁企业的烧结、球团、高炉炼铁、转炉炼钢和电弧炉炼钢工序的生产装置。</t>
        </is>
      </c>
      <c r="Y70" s="341" t="inlineStr">
        <is>
          <t>N/A</t>
        </is>
      </c>
      <c r="Z70" s="341" t="inlineStr">
        <is>
          <t>N/A</t>
        </is>
      </c>
      <c r="AA70" s="341" t="inlineStr">
        <is>
          <t>企业</t>
        </is>
      </c>
      <c r="AB70" s="341" t="inlineStr">
        <is>
          <t>在中国境内运营钢铁生产工序的企业。</t>
        </is>
      </c>
      <c r="AC70" s="341" t="inlineStr">
        <is>
          <t>生产</t>
        </is>
      </c>
      <c r="AD70" s="341" t="inlineStr">
        <is>
          <t>粗钢生产主要工序（烧结、球团、高炉、转炉、电弧炉）的运行活动。现有工序须达到3级限定值，新建及改扩建工序须达到2级准入值。</t>
        </is>
      </c>
      <c r="AE70" s="341" t="inlineStr">
        <is>
          <t>3级</t>
        </is>
      </c>
      <c r="AF70" s="341" t="inlineStr">
        <is>
          <t>能耗限额等级</t>
        </is>
      </c>
      <c r="AG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H70" s="341" t="inlineStr">
        <is>
          <t>1）现有钢铁企业各主要工序须达到3级限定值方可继续运营，未达标者须限期改造或淘汰；2）新建及改扩建钢铁项目各工序须达到2级准入值方可投产；3）1级先进值用于引导行业节能标杆。</t>
        </is>
      </c>
      <c r="AI70" s="341" t="inlineStr">
        <is>
          <t>N/A</t>
        </is>
      </c>
      <c r="AJ70" s="341" t="inlineStr">
        <is>
          <t>N/A</t>
        </is>
      </c>
      <c r="AK70" s="341" t="inlineStr">
        <is>
          <t>政府机构开展的监督检查；企业能耗数据报告</t>
        </is>
      </c>
      <c r="AL70" s="341" t="inlineStr">
        <is>
          <t>市场监督管理部门和工业和信息化主管部门对钢铁企业进行能耗限额标准执行情况监督检查；企业须按规定报送年度能源消耗数据，接受节能监察和行业监管。</t>
        </is>
      </c>
      <c r="AM70" s="341" t="inlineStr">
        <is>
          <t>合规命令；罚款；差别化电价；淘汰关停</t>
        </is>
      </c>
      <c r="AN70" s="341" t="inlineStr">
        <is>
          <t>对不符合强制性能耗限额标准的钢铁企业，由相关部门责令限期整改，逾期未完成整改或整改后仍不达标的，纳入差别化电价范围并依法采取淘汰关停措施。</t>
        </is>
      </c>
      <c r="AO70" s="341" t="inlineStr">
        <is>
          <t>其他激励或支持</t>
        </is>
      </c>
      <c r="AP70" s="341" t="inlineStr">
        <is>
          <t>国家鼓励钢铁企业对标1级先进值开展节能降碳改造，通过节能审查、钢铁行业节能降碳改造攻坚行动和产能置换政策引导和支持先进产能提升、落后产能退出。</t>
        </is>
      </c>
      <c r="AQ70" s="341" t="inlineStr">
        <is>
          <t>N/A</t>
        </is>
      </c>
      <c r="AR70" s="341" t="inlineStr">
        <is>
          <t>N/A</t>
        </is>
      </c>
      <c r="AS70" s="341" t="inlineStr">
        <is>
          <t>C24</t>
        </is>
      </c>
      <c r="AT70" s="341" t="inlineStr">
        <is>
          <t>CO2</t>
        </is>
      </c>
      <c r="AU70" s="341" t="inlineStr">
        <is>
          <t>正向</t>
        </is>
      </c>
      <c r="AV70" s="341" t="inlineStr">
        <is>
          <t>节能；污染防治</t>
        </is>
      </c>
      <c r="AW70" s="341" t="inlineStr">
        <is>
          <t>GB 21256-2025 粗钢生产主要工序单位产品能源消耗限额</t>
        </is>
      </c>
      <c r="AX70" s="341" t="inlineStr">
        <is>
          <t>https://openstd.samr.gov.cn/bzgk/std/newGbInfo?hcno=3BB9B7A579C230D931EF7F45E2DA5C05</t>
        </is>
      </c>
      <c r="AY70" s="341" t="inlineStr">
        <is>
          <t>GB 21256-2013 (superseded): https://openstd.samr.gov.cn/bzgk/std/newGbInfo?hcno=93D6F65AC0C5739DDA47EB0FF9B62D73</t>
        </is>
      </c>
      <c r="AZ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t>
        </is>
      </c>
      <c r="L71" s="341" t="inlineStr">
        <is>
          <t>直接</t>
        </is>
      </c>
      <c r="M71" s="341" t="inlineStr">
        <is>
          <t>国家</t>
        </is>
      </c>
      <c r="N71" s="341" t="inlineStr">
        <is>
          <t>N/A</t>
        </is>
      </c>
      <c r="O71" s="341" t="inlineStr">
        <is>
          <t>19/11/2018</t>
        </is>
      </c>
      <c r="P71" s="341" t="inlineStr">
        <is>
          <t>01/12/2019</t>
        </is>
      </c>
      <c r="Q71" s="341" t="inlineStr">
        <is>
          <t>N/A</t>
        </is>
      </c>
      <c r="R71" s="341" t="inlineStr">
        <is>
          <t>30/05/2025</t>
        </is>
      </c>
      <c r="S71" s="341" t="inlineStr">
        <is>
          <t>2025年5月30日发布GB 36889-2025替代GB 36889-2018，大幅扩展覆盖纤维品种（新增粘胶纤维、锦纶6、氨纶、维纶、腈纶、丙纶、超高分子量聚乙烯纤维等），更新各级能耗限额指标。</t>
        </is>
      </c>
      <c r="T71" s="341">
        <f>IF(P71="","生效",IF(P71="N/A","生效",IF(TODAY()&lt;DATE(VALUE(RIGHT(P71,4)),VALUE(MID(P71,4,2)),VALUE(LEFT(P71,2))),"计划实施",IF(Q71="","生效",IF(Q71="N/A","生效",IF(TODAY()&lt;DATE(VALUE(RIGHT(Q71,4)),VALUE(MID(Q71,4,2)),VALUE(LEFT(Q71,2))),"生效","已终止"))))))</f>
        <v/>
      </c>
      <c r="U71" s="341" t="inlineStr">
        <is>
          <t>国家市场监督管理总局；国家标准化管理委员会</t>
        </is>
      </c>
      <c r="V71" s="341" t="inlineStr">
        <is>
          <t>化学纤维生产装置</t>
        </is>
      </c>
      <c r="W71" s="341" t="inlineStr">
        <is>
          <t>新建；既有</t>
        </is>
      </c>
      <c r="X71" s="341" t="inlineStr">
        <is>
          <t>各类化学纤维（含涤纶、锦纶、腈纶、氨纶、粘胶纤维等）的生产装置，包括聚合、纺丝、后处理等工序。</t>
        </is>
      </c>
      <c r="Y71" s="341" t="inlineStr">
        <is>
          <t>N/A</t>
        </is>
      </c>
      <c r="Z71" s="341" t="inlineStr">
        <is>
          <t>N/A</t>
        </is>
      </c>
      <c r="AA71" s="341" t="inlineStr">
        <is>
          <t>企业</t>
        </is>
      </c>
      <c r="AB71" s="341" t="inlineStr">
        <is>
          <t>在中国境内运营化学纤维生产装置的企业。</t>
        </is>
      </c>
      <c r="AC71" s="341" t="inlineStr">
        <is>
          <t>生产</t>
        </is>
      </c>
      <c r="AD71" s="341" t="inlineStr">
        <is>
          <t>化学纤维生产装置的运行活动。现有企业须达到3级限定值，新建及改扩建企业须达到2级准入值。</t>
        </is>
      </c>
      <c r="AE71" s="341" t="inlineStr">
        <is>
          <t>3级</t>
        </is>
      </c>
      <c r="AF71" s="341" t="inlineStr">
        <is>
          <t>能耗限额等级</t>
        </is>
      </c>
      <c r="AG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H71" s="341" t="inlineStr">
        <is>
          <t>1）现有化学纤维生产企业须达到3级限定值方可继续运营，未达标者须限期改造或淘汰；2）新建及改扩建化学纤维项目须达到2级准入值方可投产；3）1级先进值用于引导行业节能标杆。</t>
        </is>
      </c>
      <c r="AI71" s="341" t="inlineStr">
        <is>
          <t>N/A</t>
        </is>
      </c>
      <c r="AJ71" s="341" t="inlineStr">
        <is>
          <t>N/A</t>
        </is>
      </c>
      <c r="AK71" s="341" t="inlineStr">
        <is>
          <t>政府机构开展的监督检查；企业能耗数据报告</t>
        </is>
      </c>
      <c r="AL71" s="341" t="inlineStr">
        <is>
          <t>市场监督管理部门对化学纤维生产企业进行能耗限额标准执行情况监督检查；企业须按规定报送年度能源消耗数据，接受节能监察。</t>
        </is>
      </c>
      <c r="AM71" s="341" t="inlineStr">
        <is>
          <t>合规命令；罚款；差别化电价；淘汰关停</t>
        </is>
      </c>
      <c r="AN71" s="341" t="inlineStr">
        <is>
          <t>对不符合强制性能耗限额标准的化学纤维生产企业，由相关部门责令限期整改，逾期未完成整改或整改后仍不达标的，纳入差别化电价范围并依法予以淘汰关停。</t>
        </is>
      </c>
      <c r="AO71" s="341" t="inlineStr">
        <is>
          <t>其他激励或支持</t>
        </is>
      </c>
      <c r="AP71" s="341" t="inlineStr">
        <is>
          <t>国家鼓励化学纤维生产企业对标1级先进值开展节能降碳改造，通过节能审查和绿色工厂认定引导和支持先进产能提升。</t>
        </is>
      </c>
      <c r="AQ71" s="341" t="inlineStr">
        <is>
          <t>N/A</t>
        </is>
      </c>
      <c r="AR71" s="341" t="inlineStr">
        <is>
          <t>N/A</t>
        </is>
      </c>
      <c r="AS71" s="341" t="inlineStr">
        <is>
          <t>C20</t>
        </is>
      </c>
      <c r="AT71" s="341" t="inlineStr">
        <is>
          <t>CO2</t>
        </is>
      </c>
      <c r="AU71" s="341" t="inlineStr">
        <is>
          <t>正向</t>
        </is>
      </c>
      <c r="AV71" s="341" t="inlineStr">
        <is>
          <t>节能</t>
        </is>
      </c>
      <c r="AW71" s="341" t="inlineStr">
        <is>
          <t>GB 36889-2025 化学纤维单位产品能源消耗限额</t>
        </is>
      </c>
      <c r="AX71" s="341" t="inlineStr">
        <is>
          <t>https://openstd.samr.gov.cn/bzgk/std/newGbInfo?hcno=405998A5A2F978987A9B9DA1CFFF4AE3</t>
        </is>
      </c>
      <c r="AY71" s="341" t="inlineStr">
        <is>
          <t>GB 36889-2018 (superseded): https://openstd.samr.gov.cn/bzgk/std/newGbInfo?hcno=6261C9DF1A3A6283D026FE58AE0CEF73</t>
        </is>
      </c>
      <c r="AZ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t>
        </is>
      </c>
      <c r="L72" s="341" t="inlineStr">
        <is>
          <t>直接</t>
        </is>
      </c>
      <c r="M72" s="341" t="inlineStr">
        <is>
          <t>国家</t>
        </is>
      </c>
      <c r="N72" s="341" t="inlineStr">
        <is>
          <t>N/A</t>
        </is>
      </c>
      <c r="O72" s="341" t="inlineStr">
        <is>
          <t>09/01/2008</t>
        </is>
      </c>
      <c r="P72" s="341" t="inlineStr">
        <is>
          <t>01/06/2008</t>
        </is>
      </c>
      <c r="Q72" s="341" t="inlineStr">
        <is>
          <t>N/A</t>
        </is>
      </c>
      <c r="R72" s="341" t="inlineStr">
        <is>
          <t>25/04/2025</t>
        </is>
      </c>
      <c r="S72" s="341" t="inlineStr">
        <is>
          <t>2025年4月25日发布GB 21342-2025替代GB 21342-2013，更新各级能耗限额指标，新增客观因素修正方法，通过数学模型计算各工序吨焦能耗。</t>
        </is>
      </c>
      <c r="T72" s="341">
        <f>IF(P72="","生效",IF(P72="N/A","生效",IF(TODAY()&lt;DATE(VALUE(RIGHT(P72,4)),VALUE(MID(P72,4,2)),VALUE(LEFT(P72,2))),"计划实施",IF(Q72="","生效",IF(Q72="N/A","生效",IF(TODAY()&lt;DATE(VALUE(RIGHT(Q72,4)),VALUE(MID(Q72,4,2)),VALUE(LEFT(Q72,2))),"生效","已终止"))))))</f>
        <v/>
      </c>
      <c r="U72" s="341" t="inlineStr">
        <is>
          <t>国家市场监督管理总局；国家标准化管理委员会</t>
        </is>
      </c>
      <c r="V72" s="341" t="inlineStr">
        <is>
          <t>焦炭生产装置</t>
        </is>
      </c>
      <c r="W72" s="341" t="inlineStr">
        <is>
          <t>新建；既有</t>
        </is>
      </c>
      <c r="X72" s="341" t="inlineStr">
        <is>
          <t>常规焦炉（顶装焦炉和捣固焦炉）生产焦炭的装置，包括备煤、炼焦、熄焦和煤气净化等工序。</t>
        </is>
      </c>
      <c r="Y72" s="341" t="inlineStr">
        <is>
          <t>N/A</t>
        </is>
      </c>
      <c r="Z72" s="341" t="inlineStr">
        <is>
          <t>N/A</t>
        </is>
      </c>
      <c r="AA72" s="341" t="inlineStr">
        <is>
          <t>企业</t>
        </is>
      </c>
      <c r="AB72" s="341" t="inlineStr">
        <is>
          <t>在中国境内运营焦炭生产装置的企业。</t>
        </is>
      </c>
      <c r="AC72" s="341" t="inlineStr">
        <is>
          <t>生产</t>
        </is>
      </c>
      <c r="AD72" s="341" t="inlineStr">
        <is>
          <t>焦炭生产装置的运行活动。现有企业须达到3级限定值，新建及改扩建企业须达到2级准入值。</t>
        </is>
      </c>
      <c r="AE72" s="341" t="inlineStr">
        <is>
          <t>3级</t>
        </is>
      </c>
      <c r="AF72" s="341" t="inlineStr">
        <is>
          <t>能耗限额等级</t>
        </is>
      </c>
      <c r="AG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H72" s="341" t="inlineStr">
        <is>
          <t>1）现有焦炭生产企业须达到3级限定值方可继续运营，未达标者须限期改造或淘汰；2）新建及改扩建焦炭项目须达到2级准入值方可投产；3）1级先进值用于引导行业节能标杆。</t>
        </is>
      </c>
      <c r="AI72" s="341" t="inlineStr">
        <is>
          <t>N/A</t>
        </is>
      </c>
      <c r="AJ72" s="341" t="inlineStr">
        <is>
          <t>N/A</t>
        </is>
      </c>
      <c r="AK72" s="341" t="inlineStr">
        <is>
          <t>政府机构开展的监督检查；企业能耗数据报告</t>
        </is>
      </c>
      <c r="AL72" s="341" t="inlineStr">
        <is>
          <t>市场监督管理部门和工业和信息化主管部门对焦炭生产企业进行能耗限额标准执行情况监督检查；企业须按规定报送年度能源消耗数据，接受节能监察和行业监管。</t>
        </is>
      </c>
      <c r="AM72" s="341" t="inlineStr">
        <is>
          <t>合规命令；罚款；差别化电价；淘汰关停</t>
        </is>
      </c>
      <c r="AN72" s="341" t="inlineStr">
        <is>
          <t>对不符合强制性能耗限额标准的焦炭生产企业，由相关部门责令限期整改，逾期未完成整改或整改后仍不达标的，纳入差别化电价范围并依法予以淘汰关停。</t>
        </is>
      </c>
      <c r="AO72" s="341" t="inlineStr">
        <is>
          <t>其他激励或支持</t>
        </is>
      </c>
      <c r="AP72" s="341" t="inlineStr">
        <is>
          <t>国家鼓励焦炭生产企业对标1级先进值开展节能降碳改造，通过节能审查和重点行业节能降碳改造攻坚行动引导和支持先进产能提升。</t>
        </is>
      </c>
      <c r="AQ72" s="341" t="inlineStr">
        <is>
          <t>N/A</t>
        </is>
      </c>
      <c r="AR72" s="341" t="inlineStr">
        <is>
          <t>N/A</t>
        </is>
      </c>
      <c r="AS72" s="341" t="inlineStr">
        <is>
          <t>C19</t>
        </is>
      </c>
      <c r="AT72" s="341" t="inlineStr">
        <is>
          <t>CO2</t>
        </is>
      </c>
      <c r="AU72" s="341" t="inlineStr">
        <is>
          <t>正向</t>
        </is>
      </c>
      <c r="AV72" s="341" t="inlineStr">
        <is>
          <t>节能</t>
        </is>
      </c>
      <c r="AW72" s="341" t="inlineStr">
        <is>
          <t>GB 21342-2025 焦炭单位产品能源消耗限额</t>
        </is>
      </c>
      <c r="AX72" s="341" t="inlineStr">
        <is>
          <t>https://openstd.samr.gov.cn/bzgk/std/newGbInfo?hcno=5DB2AFADA4980285095D82F5A23D947A</t>
        </is>
      </c>
      <c r="AY72" s="341" t="inlineStr">
        <is>
          <t>GB 21342-2013 (superseded): https://openstd.samr.gov.cn/bzgk/std/newGbInfo?hcno=B2F901BD9AC538D6E8133C123E77E315</t>
        </is>
      </c>
      <c r="AZ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t>
        </is>
      </c>
      <c r="L73" s="341" t="inlineStr">
        <is>
          <t>直接</t>
        </is>
      </c>
      <c r="M73" s="341" t="inlineStr">
        <is>
          <t>国家</t>
        </is>
      </c>
      <c r="N73" s="341" t="inlineStr">
        <is>
          <t>N/A</t>
        </is>
      </c>
      <c r="O73" s="341" t="inlineStr">
        <is>
          <t>28/03/2025</t>
        </is>
      </c>
      <c r="P73" s="341" t="inlineStr">
        <is>
          <t>01/04/2026</t>
        </is>
      </c>
      <c r="Q73" s="341" t="inlineStr">
        <is>
          <t>N/A</t>
        </is>
      </c>
      <c r="R73" s="341" t="inlineStr">
        <is>
          <t>N/A</t>
        </is>
      </c>
      <c r="S73" s="341" t="inlineStr">
        <is>
          <t>N/A</t>
        </is>
      </c>
      <c r="T73" s="341">
        <f>IF(P73="","生效",IF(P73="N/A","生效",IF(TODAY()&lt;DATE(VALUE(RIGHT(P73,4)),VALUE(MID(P73,4,2)),VALUE(LEFT(P73,2))),"计划实施",IF(Q73="","生效",IF(Q73="N/A","生效",IF(TODAY()&lt;DATE(VALUE(RIGHT(Q73,4)),VALUE(MID(Q73,4,2)),VALUE(LEFT(Q73,2))),"生效","已终止"))))))</f>
        <v/>
      </c>
      <c r="U73" s="341" t="inlineStr">
        <is>
          <t>国家市场监督管理总局；国家标准化管理委员会</t>
        </is>
      </c>
      <c r="V73" s="341" t="inlineStr">
        <is>
          <t>石墨和萤石采选加工生产系统</t>
        </is>
      </c>
      <c r="W73" s="341" t="inlineStr">
        <is>
          <t>新建；既有</t>
        </is>
      </c>
      <c r="X73" s="341" t="inlineStr">
        <is>
          <t>石墨采选加工（鳞片石墨和微晶石墨）生产系统，以及萤石采选加工（萤石块矿、萤石粉矿和萤石精矿）生产系统，包括破碎、磨矿、筛分/分级、浮选、浓缩压滤、烘干等主要生产系统及辅助和附属生产系统。</t>
        </is>
      </c>
      <c r="Y73" s="341" t="inlineStr">
        <is>
          <t>N/A</t>
        </is>
      </c>
      <c r="Z73" s="341" t="inlineStr">
        <is>
          <t>N/A</t>
        </is>
      </c>
      <c r="AA73" s="341" t="inlineStr">
        <is>
          <t>企业</t>
        </is>
      </c>
      <c r="AB73" s="341" t="inlineStr">
        <is>
          <t>在中国境内运营石墨或萤石采选加工生产系统的企业。</t>
        </is>
      </c>
      <c r="AC73" s="341" t="inlineStr">
        <is>
          <t>生产</t>
        </is>
      </c>
      <c r="AD73" s="341" t="inlineStr">
        <is>
          <t>石墨和萤石采选加工生产系统的运行活动。现有企业须达到3级限定值，新建及改扩建企业须达到2级准入值。</t>
        </is>
      </c>
      <c r="AE73" s="341" t="inlineStr">
        <is>
          <t>3级</t>
        </is>
      </c>
      <c r="AF73" s="341" t="inlineStr">
        <is>
          <t>能耗限额等级</t>
        </is>
      </c>
      <c r="AG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H73" s="341" t="inlineStr">
        <is>
          <t>1）现有石墨和萤石采选加工企业须达到3级限定值方可继续运营，未达标者须限期改造或淘汰；2）新建及改扩建石墨和萤石项目须达到2级准入值方可投产；3）1级先进值用于引导行业节能标杆。</t>
        </is>
      </c>
      <c r="AI73" s="341" t="inlineStr">
        <is>
          <t>N/A</t>
        </is>
      </c>
      <c r="AJ73" s="341" t="inlineStr">
        <is>
          <t>N/A</t>
        </is>
      </c>
      <c r="AK73" s="341" t="inlineStr">
        <is>
          <t>政府机构开展的监督检查；企业能耗数据报告</t>
        </is>
      </c>
      <c r="AL73" s="341" t="inlineStr">
        <is>
          <t>市场监督管理部门对石墨和萤石生产企业进行能耗限额标准执行情况监督检查；企业须按规定报送年度能源消耗数据，接受节能监察。</t>
        </is>
      </c>
      <c r="AM73" s="341" t="inlineStr">
        <is>
          <t>合规命令；罚款；差别化电价；淘汰关停</t>
        </is>
      </c>
      <c r="AN73" s="341" t="inlineStr">
        <is>
          <t>对不符合强制性能耗限额标准的石墨和萤石生产企业，由相关部门责令限期整改，逾期未完成整改或整改后仍不达标的，纳入差别化电价范围并依法予以淘汰关停。</t>
        </is>
      </c>
      <c r="AO73" s="341" t="inlineStr">
        <is>
          <t>其他激励或支持</t>
        </is>
      </c>
      <c r="AP73" s="341" t="inlineStr">
        <is>
          <t>国家鼓励石墨和萤石生产企业对标1级先进值开展节能降碳改造，通过节能审查和绿色矿山建设引导和支持先进产能提升。实施后预计全行业能耗强度下降15%以上。</t>
        </is>
      </c>
      <c r="AQ73" s="341" t="inlineStr">
        <is>
          <t>N/A</t>
        </is>
      </c>
      <c r="AR73" s="341" t="inlineStr">
        <is>
          <t>N/A</t>
        </is>
      </c>
      <c r="AS73" s="341" t="inlineStr">
        <is>
          <t>B08</t>
        </is>
      </c>
      <c r="AT73" s="341" t="inlineStr">
        <is>
          <t>CO2</t>
        </is>
      </c>
      <c r="AU73" s="341" t="inlineStr">
        <is>
          <t>正向</t>
        </is>
      </c>
      <c r="AV73" s="341" t="inlineStr">
        <is>
          <t>节能</t>
        </is>
      </c>
      <c r="AW73" s="341" t="inlineStr">
        <is>
          <t>GB 45549-2025 石墨和萤石单位产品能源消耗限额</t>
        </is>
      </c>
      <c r="AX73" s="341" t="inlineStr">
        <is>
          <t>https://openstd.samr.gov.cn/bzgk/std/newGbInfo?hcno=065164EA34C008A87E8890885F5A1DCA</t>
        </is>
      </c>
      <c r="AY73" s="341" t="inlineStr">
        <is>
          <t>N/A</t>
        </is>
      </c>
      <c r="AZ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t>
        </is>
      </c>
      <c r="L74" s="341" t="inlineStr">
        <is>
          <t>直接</t>
        </is>
      </c>
      <c r="M74" s="341" t="inlineStr">
        <is>
          <t>国家</t>
        </is>
      </c>
      <c r="N74" s="341" t="inlineStr">
        <is>
          <t>N/A</t>
        </is>
      </c>
      <c r="O74" s="341" t="inlineStr">
        <is>
          <t>31/12/2013</t>
        </is>
      </c>
      <c r="P74" s="341" t="inlineStr">
        <is>
          <t>01/12/2014</t>
        </is>
      </c>
      <c r="Q74" s="341" t="inlineStr">
        <is>
          <t>N/A</t>
        </is>
      </c>
      <c r="R74" s="341" t="inlineStr">
        <is>
          <t>28/02/2025</t>
        </is>
      </c>
      <c r="S74" s="341" t="inlineStr">
        <is>
          <t>2025年2月28日发布GB 30185-2025替代GB 30185-2013，新增不燃铝复合板和装饰用铝单板两个品类，更新各级能耗限额指标，删除节能管理与措施章节，技术要求纳入正文。</t>
        </is>
      </c>
      <c r="T74" s="341">
        <f>IF(P74="","生效",IF(P74="N/A","生效",IF(TODAY()&lt;DATE(VALUE(RIGHT(P74,4)),VALUE(MID(P74,4,2)),VALUE(LEFT(P74,2))),"计划实施",IF(Q74="","生效",IF(Q74="N/A","生效",IF(TODAY()&lt;DATE(VALUE(RIGHT(Q74,4)),VALUE(MID(Q74,4,2)),VALUE(LEFT(Q74,2))),"生效","已终止"))))))</f>
        <v/>
      </c>
      <c r="U74" s="341" t="inlineStr">
        <is>
          <t>国家市场监督管理总局；国家标准化管理委员会</t>
        </is>
      </c>
      <c r="V74" s="341" t="inlineStr">
        <is>
          <t>铝（塑）复合板生产装置</t>
        </is>
      </c>
      <c r="W74" s="341" t="inlineStr">
        <is>
          <t>新建；既有</t>
        </is>
      </c>
      <c r="X74" s="341" t="inlineStr">
        <is>
          <t>铝塑复合板、不燃铝复合板和装饰用铝单板的生产装置，包括涂装、复合、剪切等主要工序及辅助生产系统。</t>
        </is>
      </c>
      <c r="Y74" s="341" t="inlineStr">
        <is>
          <t>N/A</t>
        </is>
      </c>
      <c r="Z74" s="341" t="inlineStr">
        <is>
          <t>N/A</t>
        </is>
      </c>
      <c r="AA74" s="341" t="inlineStr">
        <is>
          <t>企业</t>
        </is>
      </c>
      <c r="AB74" s="341" t="inlineStr">
        <is>
          <t>在中国境内运营铝（塑）复合板生产装置的企业。</t>
        </is>
      </c>
      <c r="AC74" s="341" t="inlineStr">
        <is>
          <t>生产</t>
        </is>
      </c>
      <c r="AD74" s="341" t="inlineStr">
        <is>
          <t>铝（塑）复合板生产装置的运行活动。现有企业须达到3级限定值，新建及改扩建企业须达到2级准入值。</t>
        </is>
      </c>
      <c r="AE74" s="341" t="inlineStr">
        <is>
          <t>3级</t>
        </is>
      </c>
      <c r="AF74" s="341" t="inlineStr">
        <is>
          <t>能耗限额等级</t>
        </is>
      </c>
      <c r="AG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H74" s="341" t="inlineStr">
        <is>
          <t>1）现有铝（塑）复合板生产企业须达到3级限定值方可继续运营，未达标者须限期改造或淘汰；2）新建及改扩建铝（塑）复合板项目须达到2级准入值方可投产；3）1级先进值用于引导行业节能标杆。</t>
        </is>
      </c>
      <c r="AI74" s="341" t="inlineStr">
        <is>
          <t>N/A</t>
        </is>
      </c>
      <c r="AJ74" s="341" t="inlineStr">
        <is>
          <t>N/A</t>
        </is>
      </c>
      <c r="AK74" s="341" t="inlineStr">
        <is>
          <t>政府机构开展的监督检查；企业能耗数据报告</t>
        </is>
      </c>
      <c r="AL74" s="341" t="inlineStr">
        <is>
          <t>市场监督管理部门对铝（塑）复合板生产企业进行能耗限额标准执行情况监督检查；企业须按规定报送年度能源消耗数据，接受节能监察。</t>
        </is>
      </c>
      <c r="AM74" s="341" t="inlineStr">
        <is>
          <t>合规命令；罚款；差别化电价；淘汰关停</t>
        </is>
      </c>
      <c r="AN74" s="341" t="inlineStr">
        <is>
          <t>对不符合强制性能耗限额标准的铝（塑）复合板生产企业，由相关部门责令限期整改，逾期未完成整改或整改后仍不达标的，纳入差别化电价范围并依法予以淘汰关停。</t>
        </is>
      </c>
      <c r="AO74" s="341" t="inlineStr">
        <is>
          <t>其他激励或支持</t>
        </is>
      </c>
      <c r="AP74" s="341" t="inlineStr">
        <is>
          <t>国家鼓励铝（塑）复合板生产企业对标1级先进值开展节能降碳改造，通过节能审查和绿色建材认证引导和支持先进产能提升。</t>
        </is>
      </c>
      <c r="AQ74" s="341" t="inlineStr">
        <is>
          <t>N/A</t>
        </is>
      </c>
      <c r="AR74" s="341" t="inlineStr">
        <is>
          <t>N/A</t>
        </is>
      </c>
      <c r="AS74" s="341" t="inlineStr">
        <is>
          <t>C25</t>
        </is>
      </c>
      <c r="AT74" s="341" t="inlineStr">
        <is>
          <t>CO2</t>
        </is>
      </c>
      <c r="AU74" s="341" t="inlineStr">
        <is>
          <t>正向</t>
        </is>
      </c>
      <c r="AV74" s="341" t="inlineStr">
        <is>
          <t>节能</t>
        </is>
      </c>
      <c r="AW74" s="341" t="inlineStr">
        <is>
          <t>GB 30185-2025 铝（塑）复合板单位产品能源消耗限额</t>
        </is>
      </c>
      <c r="AX74" s="341" t="inlineStr">
        <is>
          <t>https://openstd.samr.gov.cn/bzgk/std/newGbInfo?hcno=6748E505890163484CE72741CF7D8D3A</t>
        </is>
      </c>
      <c r="AY74" s="341" t="inlineStr">
        <is>
          <t>GB 30185-2013 (superseded): https://openstd.samr.gov.cn/bzgk/std/newGbInfo?hcno=560D51C1E285DC30D8E67E5B5CFB6C0F</t>
        </is>
      </c>
      <c r="AZ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t>
        </is>
      </c>
      <c r="L75" s="341" t="inlineStr">
        <is>
          <t>直接</t>
        </is>
      </c>
      <c r="M75" s="341" t="inlineStr">
        <is>
          <t>国家</t>
        </is>
      </c>
      <c r="N75" s="341" t="inlineStr">
        <is>
          <t>N/A</t>
        </is>
      </c>
      <c r="O75" s="341" t="inlineStr">
        <is>
          <t>11/09/2015</t>
        </is>
      </c>
      <c r="P75" s="341" t="inlineStr">
        <is>
          <t>01/10/2016</t>
        </is>
      </c>
      <c r="Q75" s="341" t="inlineStr">
        <is>
          <t>N/A</t>
        </is>
      </c>
      <c r="R75" s="341" t="inlineStr">
        <is>
          <t>24/01/2025</t>
        </is>
      </c>
      <c r="S75" s="341" t="inlineStr">
        <is>
          <t>2025年1月24日发布GB 32047-2025替代GB 32047-2015，各级能耗指标较2015版下降约13%-23%，基于2021-2023年五大啤酒集团165家企业调研数据修订。</t>
        </is>
      </c>
      <c r="T75" s="341">
        <f>IF(P75="","生效",IF(P75="N/A","生效",IF(TODAY()&lt;DATE(VALUE(RIGHT(P75,4)),VALUE(MID(P75,4,2)),VALUE(LEFT(P75,2))),"计划实施",IF(Q75="","生效",IF(Q75="N/A","生效",IF(TODAY()&lt;DATE(VALUE(RIGHT(Q75,4)),VALUE(MID(Q75,4,2)),VALUE(LEFT(Q75,2))),"生效","已终止"))))))</f>
        <v/>
      </c>
      <c r="U75" s="341" t="inlineStr">
        <is>
          <t>国家市场监督管理总局；国家标准化管理委员会</t>
        </is>
      </c>
      <c r="V75" s="341" t="inlineStr">
        <is>
          <t>啤酒生产装置</t>
        </is>
      </c>
      <c r="W75" s="341" t="inlineStr">
        <is>
          <t>新建；既有</t>
        </is>
      </c>
      <c r="X75" s="341" t="inlineStr">
        <is>
          <t>啤酒生产企业的糖化、发酵、过滤、包装等全过程生产装置及辅助系统（不包括工坊啤酒）。</t>
        </is>
      </c>
      <c r="Y75" s="341" t="inlineStr">
        <is>
          <t>N/A</t>
        </is>
      </c>
      <c r="Z75" s="341" t="inlineStr">
        <is>
          <t>N/A</t>
        </is>
      </c>
      <c r="AA75" s="341" t="inlineStr">
        <is>
          <t>企业</t>
        </is>
      </c>
      <c r="AB75" s="341" t="inlineStr">
        <is>
          <t>在中国境内运营啤酒生产装置的企业（不包括工坊啤酒）。</t>
        </is>
      </c>
      <c r="AC75" s="341" t="inlineStr">
        <is>
          <t>生产</t>
        </is>
      </c>
      <c r="AD75" s="341" t="inlineStr">
        <is>
          <t>啤酒生产装置的运行活动。现有企业须达到3级限定值，新建及改扩建企业须达到2级准入值。</t>
        </is>
      </c>
      <c r="AE75" s="341" t="inlineStr">
        <is>
          <t>3级</t>
        </is>
      </c>
      <c r="AF75" s="341" t="inlineStr">
        <is>
          <t>能耗限额等级</t>
        </is>
      </c>
      <c r="AG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H75" s="341" t="inlineStr">
        <is>
          <t>1）现有啤酒生产企业须达到3级限定值方可继续运营，未达标者须限期改造或淘汰；2）新建及改扩建啤酒项目须达到2级准入值方可投产；3）1级先进值用于引导行业节能标杆。</t>
        </is>
      </c>
      <c r="AI75" s="341" t="inlineStr">
        <is>
          <t>N/A</t>
        </is>
      </c>
      <c r="AJ75" s="341" t="inlineStr">
        <is>
          <t>N/A</t>
        </is>
      </c>
      <c r="AK75" s="341" t="inlineStr">
        <is>
          <t>政府机构开展的监督检查；企业能耗数据报告</t>
        </is>
      </c>
      <c r="AL75" s="341" t="inlineStr">
        <is>
          <t>市场监督管理部门对啤酒生产企业进行能耗限额标准执行情况监督检查；企业须按规定报送年度能源消耗数据，接受节能监察。</t>
        </is>
      </c>
      <c r="AM75" s="341" t="inlineStr">
        <is>
          <t>合规命令；罚款；差别化电价；淘汰关停</t>
        </is>
      </c>
      <c r="AN75" s="341" t="inlineStr">
        <is>
          <t>对不符合强制性能耗限额标准的啤酒生产企业，由相关部门责令限期整改，逾期未完成整改或整改后仍不达标的，纳入差别化电价范围并依法予以淘汰关停。</t>
        </is>
      </c>
      <c r="AO75" s="341" t="inlineStr">
        <is>
          <t>其他激励或支持</t>
        </is>
      </c>
      <c r="AP75" s="341" t="inlineStr">
        <is>
          <t>国家鼓励啤酒生产企业对标1级先进值开展节能降碳改造，通过节能审查和绿色工厂认定引导和支持先进产能提升；预计拉动6亿元技术改造投资。</t>
        </is>
      </c>
      <c r="AQ75" s="341" t="inlineStr">
        <is>
          <t>N/A</t>
        </is>
      </c>
      <c r="AR75" s="341" t="inlineStr">
        <is>
          <t>N/A</t>
        </is>
      </c>
      <c r="AS75" s="341" t="inlineStr">
        <is>
          <t>C11</t>
        </is>
      </c>
      <c r="AT75" s="341" t="inlineStr">
        <is>
          <t>CO2</t>
        </is>
      </c>
      <c r="AU75" s="341" t="inlineStr">
        <is>
          <t>正向</t>
        </is>
      </c>
      <c r="AV75" s="341" t="inlineStr">
        <is>
          <t>节能</t>
        </is>
      </c>
      <c r="AW75" s="341" t="inlineStr">
        <is>
          <t>GB 32047-2025 啤酒单位产品能源消耗限额</t>
        </is>
      </c>
      <c r="AX75" s="341" t="inlineStr">
        <is>
          <t>https://openstd.samr.gov.cn/bzgk/std/newGbInfo?hcno=FD4197AA490DD8F5038521420BB8EAB6</t>
        </is>
      </c>
      <c r="AY75" s="341" t="inlineStr">
        <is>
          <t>GB 32047-2015 (superseded): https://openstd.samr.gov.cn/bzgk/std/newGbInfo?hcno=C1DFB96F1DEE094771AD9648B5A06D9C</t>
        </is>
      </c>
      <c r="AZ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t>
        </is>
      </c>
      <c r="L76" s="341" t="inlineStr">
        <is>
          <t>直接</t>
        </is>
      </c>
      <c r="M76" s="341" t="inlineStr">
        <is>
          <t>国家</t>
        </is>
      </c>
      <c r="N76" s="341" t="inlineStr">
        <is>
          <t>N/A</t>
        </is>
      </c>
      <c r="O76" s="341" t="inlineStr">
        <is>
          <t>24/01/2025</t>
        </is>
      </c>
      <c r="P76" s="341" t="inlineStr">
        <is>
          <t>01/08/2025</t>
        </is>
      </c>
      <c r="Q76" s="341" t="inlineStr">
        <is>
          <t>N/A</t>
        </is>
      </c>
      <c r="R76" s="341" t="inlineStr">
        <is>
          <t>N/A</t>
        </is>
      </c>
      <c r="S76" s="341" t="inlineStr">
        <is>
          <t>N/A</t>
        </is>
      </c>
      <c r="T76" s="341">
        <f>IF(P76="","生效",IF(P76="N/A","生效",IF(TODAY()&lt;DATE(VALUE(RIGHT(P76,4)),VALUE(MID(P76,4,2)),VALUE(LEFT(P76,2))),"计划实施",IF(Q76="","生效",IF(Q76="N/A","生效",IF(TODAY()&lt;DATE(VALUE(RIGHT(Q76,4)),VALUE(MID(Q76,4,2)),VALUE(LEFT(Q76,2))),"生效","已终止"))))))</f>
        <v/>
      </c>
      <c r="U76" s="341" t="inlineStr">
        <is>
          <t>国家市场监督管理总局；国家标准化管理委员会</t>
        </is>
      </c>
      <c r="V76" s="341" t="inlineStr">
        <is>
          <t>燃气-蒸汽联合循环发电机组</t>
        </is>
      </c>
      <c r="W76" s="341" t="inlineStr">
        <is>
          <t>新建；既有</t>
        </is>
      </c>
      <c r="X76" s="341" t="inlineStr">
        <is>
          <t>100 MW及以上容量等级的燃气-蒸汽联合循环发电机组，按燃机透平第1级静叶入口温度分为H级（&gt;1500℃）、F级（1250℃-1500℃）、E级（1100℃-1250℃）。不适用于分布式燃气发电项目。</t>
        </is>
      </c>
      <c r="Y76" s="341" t="inlineStr">
        <is>
          <t>N/A</t>
        </is>
      </c>
      <c r="Z76" s="341" t="inlineStr">
        <is>
          <t>N/A</t>
        </is>
      </c>
      <c r="AA76" s="341" t="inlineStr">
        <is>
          <t>企业</t>
        </is>
      </c>
      <c r="AB76" s="341" t="inlineStr">
        <is>
          <t>在中国境内运营燃气-蒸汽联合循环发电机组的企业。</t>
        </is>
      </c>
      <c r="AC76" s="341" t="inlineStr">
        <is>
          <t>生产</t>
        </is>
      </c>
      <c r="AD76" s="341" t="inlineStr">
        <is>
          <t>燃气-蒸汽联合循环发电机组的运行活动。现有机组须达到3级限定值，新建及改扩建机组须达到2级准入值。</t>
        </is>
      </c>
      <c r="AE76" s="341" t="inlineStr">
        <is>
          <t>3级</t>
        </is>
      </c>
      <c r="AF76" s="341" t="inlineStr">
        <is>
          <t>能耗限额等级</t>
        </is>
      </c>
      <c r="AG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H76" s="341" t="inlineStr">
        <is>
          <t>1）现有燃气-蒸汽联合循环发电机组须达到3级限定值方可继续运行，未达标者须实施节能改造；2）新建及改扩建机组须达到2级准入值方可核准投产；3）1级先进值用于引导行业节能标杆。</t>
        </is>
      </c>
      <c r="AI76" s="341" t="inlineStr">
        <is>
          <t>N/A</t>
        </is>
      </c>
      <c r="AJ76" s="341" t="inlineStr">
        <is>
          <t>N/A</t>
        </is>
      </c>
      <c r="AK76" s="341" t="inlineStr">
        <is>
          <t>政府机构开展的监督检查；企业能耗数据报告</t>
        </is>
      </c>
      <c r="AL76" s="341" t="inlineStr">
        <is>
          <t>市场监督管理部门和能源主管部门对燃气发电企业进行能耗限额标准执行情况监督检查；企业须按规定报送年度能源消耗数据，接受节能监察和电力监管。</t>
        </is>
      </c>
      <c r="AM76" s="341" t="inlineStr">
        <is>
          <t>合规命令；罚款；差别化电价；淘汰关停</t>
        </is>
      </c>
      <c r="AN76" s="341" t="inlineStr">
        <is>
          <t>对不符合强制性能耗限额标准的燃气发电企业，由相关部门责令限期整改，逾期未完成整改或整改后仍不达标的，纳入差别化气价/电价范围并依法采取关停措施。</t>
        </is>
      </c>
      <c r="AO76" s="341" t="inlineStr">
        <is>
          <t>其他激励或支持</t>
        </is>
      </c>
      <c r="AP76" s="341" t="inlineStr">
        <is>
          <t>国家鼓励燃气发电企业对标1级先进值开展节能降碳改造，通过节能审查和绿色电力认证引导和支持先进产能提升。预计'十五五'期间累计节约300万吨标准煤。</t>
        </is>
      </c>
      <c r="AQ76" s="341" t="inlineStr">
        <is>
          <t>N/A</t>
        </is>
      </c>
      <c r="AR76" s="341" t="inlineStr">
        <is>
          <t>N/A</t>
        </is>
      </c>
      <c r="AS76" s="341" t="inlineStr">
        <is>
          <t>D35</t>
        </is>
      </c>
      <c r="AT76" s="341" t="inlineStr">
        <is>
          <t>CO2</t>
        </is>
      </c>
      <c r="AU76" s="341" t="inlineStr">
        <is>
          <t>正向</t>
        </is>
      </c>
      <c r="AV76" s="341" t="inlineStr">
        <is>
          <t>节能；污染防治</t>
        </is>
      </c>
      <c r="AW76" s="341" t="inlineStr">
        <is>
          <t>GB 45247-2025 燃气-蒸汽联合循环发电机组单位产品能源消耗限额</t>
        </is>
      </c>
      <c r="AX76" s="341" t="inlineStr">
        <is>
          <t>https://openstd.samr.gov.cn/bzgk/std/newGbInfo?hcno=3627D46BC09E598FDFBD4C3870A45CA4</t>
        </is>
      </c>
      <c r="AY76" s="341" t="inlineStr">
        <is>
          <t>N/A</t>
        </is>
      </c>
      <c r="AZ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t>
        </is>
      </c>
      <c r="L77" s="341" t="inlineStr">
        <is>
          <t>直接</t>
        </is>
      </c>
      <c r="M77" s="341" t="inlineStr">
        <is>
          <t>国家</t>
        </is>
      </c>
      <c r="N77" s="341" t="inlineStr">
        <is>
          <t>N/A</t>
        </is>
      </c>
      <c r="O77" s="341" t="inlineStr">
        <is>
          <t>24/01/2025</t>
        </is>
      </c>
      <c r="P77" s="341" t="inlineStr">
        <is>
          <t>01/02/2026</t>
        </is>
      </c>
      <c r="Q77" s="341" t="inlineStr">
        <is>
          <t>N/A</t>
        </is>
      </c>
      <c r="R77" s="341" t="inlineStr">
        <is>
          <t>N/A</t>
        </is>
      </c>
      <c r="S77" s="341" t="inlineStr">
        <is>
          <t>N/A</t>
        </is>
      </c>
      <c r="T77" s="341">
        <f>IF(P77="","生效",IF(P77="N/A","生效",IF(TODAY()&lt;DATE(VALUE(RIGHT(P77,4)),VALUE(MID(P77,4,2)),VALUE(LEFT(P77,2))),"计划实施",IF(Q77="","生效",IF(Q77="N/A","生效",IF(TODAY()&lt;DATE(VALUE(RIGHT(Q77,4)),VALUE(MID(Q77,4,2)),VALUE(LEFT(Q77,2))),"生效","已终止"))))))</f>
        <v/>
      </c>
      <c r="U77" s="341" t="inlineStr">
        <is>
          <t>国家市场监督管理总局；国家标准化管理委员会</t>
        </is>
      </c>
      <c r="V77" s="341" t="inlineStr">
        <is>
          <t>人造板生产装置</t>
        </is>
      </c>
      <c r="W77" s="341" t="inlineStr">
        <is>
          <t>新建；既有</t>
        </is>
      </c>
      <c r="X77" s="341" t="inlineStr">
        <is>
          <t>以木质材料为原料的中密度纤维板、高密度纤维板、普通胶合板和普通型刨花板的生产装置，包括热压、干燥、制胶等主要生产系统及辅助系统。</t>
        </is>
      </c>
      <c r="Y77" s="341" t="inlineStr">
        <is>
          <t>N/A</t>
        </is>
      </c>
      <c r="Z77" s="341" t="inlineStr">
        <is>
          <t>N/A</t>
        </is>
      </c>
      <c r="AA77" s="341" t="inlineStr">
        <is>
          <t>企业</t>
        </is>
      </c>
      <c r="AB77" s="341" t="inlineStr">
        <is>
          <t>在中国境内运营人造板生产装置的企业。</t>
        </is>
      </c>
      <c r="AC77" s="341" t="inlineStr">
        <is>
          <t>生产</t>
        </is>
      </c>
      <c r="AD77" s="341" t="inlineStr">
        <is>
          <t>人造板生产装置的运行活动。现有企业须达到3级限定值，新建及改扩建企业须达到2级准入值。</t>
        </is>
      </c>
      <c r="AE77" s="341" t="inlineStr">
        <is>
          <t>3级</t>
        </is>
      </c>
      <c r="AF77" s="341" t="inlineStr">
        <is>
          <t>能耗限额等级</t>
        </is>
      </c>
      <c r="AG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H77" s="341" t="inlineStr">
        <is>
          <t>1）现有人造板生产企业须达到3级限定值方可继续运营，未达标者须限期改造或淘汰；2）新建及改扩建人造板项目须达到2级准入值方可投产；3）1级先进值用于引导行业节能标杆。</t>
        </is>
      </c>
      <c r="AI77" s="341" t="inlineStr">
        <is>
          <t>N/A</t>
        </is>
      </c>
      <c r="AJ77" s="341" t="inlineStr">
        <is>
          <t>N/A</t>
        </is>
      </c>
      <c r="AK77" s="341" t="inlineStr">
        <is>
          <t>政府机构开展的监督检查；企业能耗数据报告</t>
        </is>
      </c>
      <c r="AL77" s="341" t="inlineStr">
        <is>
          <t>市场监督管理部门对人造板生产企业进行能耗限额标准执行情况监督检查；企业须按规定报送年度能源消耗数据，接受节能监察。</t>
        </is>
      </c>
      <c r="AM77" s="341" t="inlineStr">
        <is>
          <t>合规命令；罚款；差别化电价；淘汰关停</t>
        </is>
      </c>
      <c r="AN77" s="341" t="inlineStr">
        <is>
          <t>对不符合强制性能耗限额标准的人造板生产企业，由相关部门责令限期整改，逾期未完成整改或整改后仍不达标的，纳入差别化电价范围并依法予以淘汰关停。</t>
        </is>
      </c>
      <c r="AO77" s="341" t="inlineStr">
        <is>
          <t>其他激励或支持</t>
        </is>
      </c>
      <c r="AP77" s="341" t="inlineStr">
        <is>
          <t>国家鼓励人造板生产企业对标1级先进值开展节能降碳改造，通过节能审查和绿色工厂认定引导和支持先进产能提升。</t>
        </is>
      </c>
      <c r="AQ77" s="341" t="inlineStr">
        <is>
          <t>N/A</t>
        </is>
      </c>
      <c r="AR77" s="341" t="inlineStr">
        <is>
          <t>N/A</t>
        </is>
      </c>
      <c r="AS77" s="341" t="inlineStr">
        <is>
          <t>C16</t>
        </is>
      </c>
      <c r="AT77" s="341" t="inlineStr">
        <is>
          <t>CO2</t>
        </is>
      </c>
      <c r="AU77" s="341" t="inlineStr">
        <is>
          <t>正向</t>
        </is>
      </c>
      <c r="AV77" s="341" t="inlineStr">
        <is>
          <t>节能</t>
        </is>
      </c>
      <c r="AW77" s="341" t="inlineStr">
        <is>
          <t>GB 45246-2025 人造板类主要产品单位产品能源消耗限额</t>
        </is>
      </c>
      <c r="AX77" s="341" t="inlineStr">
        <is>
          <t>https://openstd.samr.gov.cn/bzgk/std/newGbInfo?hcno=414C651F4237CDBA21C70AB30480A56E</t>
        </is>
      </c>
      <c r="AY77" s="341" t="inlineStr">
        <is>
          <t>N/A</t>
        </is>
      </c>
      <c r="AZ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t>
        </is>
      </c>
      <c r="L78" s="341" t="inlineStr">
        <is>
          <t>直接</t>
        </is>
      </c>
      <c r="M78" s="341" t="inlineStr">
        <is>
          <t>国家</t>
        </is>
      </c>
      <c r="N78" s="341" t="inlineStr">
        <is>
          <t>N/A</t>
        </is>
      </c>
      <c r="O78" s="341" t="inlineStr">
        <is>
          <t>27/09/2012</t>
        </is>
      </c>
      <c r="P78" s="341" t="inlineStr">
        <is>
          <t>01/10/2013</t>
        </is>
      </c>
      <c r="Q78" s="341" t="inlineStr">
        <is>
          <t>N/A</t>
        </is>
      </c>
      <c r="R78" s="341" t="inlineStr">
        <is>
          <t>28/05/2024</t>
        </is>
      </c>
      <c r="S78" s="341" t="inlineStr">
        <is>
          <t>2024年5月28日发布GB 29141-2024，整合替代GB 29141-2012、GB 29437-2012和GB 29441-2012，将工业硫酸、稀硝酸和冰醋酸三类产品能耗限额合并为一项标准，更新各级能耗限额指标。</t>
        </is>
      </c>
      <c r="T78" s="341">
        <f>IF(P78="","生效",IF(P78="N/A","生效",IF(TODAY()&lt;DATE(VALUE(RIGHT(P78,4)),VALUE(MID(P78,4,2)),VALUE(LEFT(P78,2))),"计划实施",IF(Q78="","生效",IF(Q78="N/A","生效",IF(TODAY()&lt;DATE(VALUE(RIGHT(Q78,4)),VALUE(MID(Q78,4,2)),VALUE(LEFT(Q78,2))),"生效","已终止"))))))</f>
        <v/>
      </c>
      <c r="U78" s="341" t="inlineStr">
        <is>
          <t>国家市场监督管理总局；国家标准化管理委员会</t>
        </is>
      </c>
      <c r="V78" s="341" t="inlineStr">
        <is>
          <t>硫酸、稀硝酸和冰醋酸生产装置</t>
        </is>
      </c>
      <c r="W78" s="341" t="inlineStr">
        <is>
          <t>新建；既有</t>
        </is>
      </c>
      <c r="X78" s="341" t="inlineStr">
        <is>
          <t>工业硫酸（硫磺法、硫铁矿法、铜冶炼烟气法等）、稀硝酸和冰醋酸的生产装置，包括原料处理、反应、吸收/精馏等主要工艺系统及辅助生产系统。</t>
        </is>
      </c>
      <c r="Y78" s="341" t="inlineStr">
        <is>
          <t>N/A</t>
        </is>
      </c>
      <c r="Z78" s="341" t="inlineStr">
        <is>
          <t>N/A</t>
        </is>
      </c>
      <c r="AA78" s="341" t="inlineStr">
        <is>
          <t>企业</t>
        </is>
      </c>
      <c r="AB78" s="341" t="inlineStr">
        <is>
          <t>在中国境内运营工业硫酸、稀硝酸或冰醋酸生产装置的企业。</t>
        </is>
      </c>
      <c r="AC78" s="341" t="inlineStr">
        <is>
          <t>生产</t>
        </is>
      </c>
      <c r="AD78" s="341" t="inlineStr">
        <is>
          <t>硫酸、稀硝酸和冰醋酸生产装置的运行活动。现有企业须达到3级限定值，新建及改扩建企业须达到2级准入值。</t>
        </is>
      </c>
      <c r="AE78" s="341" t="inlineStr">
        <is>
          <t>3级</t>
        </is>
      </c>
      <c r="AF78" s="341" t="inlineStr">
        <is>
          <t>能耗限额等级</t>
        </is>
      </c>
      <c r="AG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H78" s="341" t="inlineStr">
        <is>
          <t>1）现有硫酸、稀硝酸和冰醋酸生产企业须达到3级限定值方可继续运营，未达标者须限期改造或淘汰；2）新建及改扩建项目须达到2级准入值方可投产；3）1级先进值用于引导行业节能标杆。</t>
        </is>
      </c>
      <c r="AI78" s="341" t="inlineStr">
        <is>
          <t>N/A</t>
        </is>
      </c>
      <c r="AJ78" s="341" t="inlineStr">
        <is>
          <t>N/A</t>
        </is>
      </c>
      <c r="AK78" s="341" t="inlineStr">
        <is>
          <t>政府机构开展的监督检查；企业能耗数据报告</t>
        </is>
      </c>
      <c r="AL78" s="341" t="inlineStr">
        <is>
          <t>市场监督管理部门对硫酸、稀硝酸和冰醋酸生产企业进行能耗限额标准执行情况监督检查；企业须按规定报送年度能源消耗数据，接受节能监察。</t>
        </is>
      </c>
      <c r="AM78" s="341" t="inlineStr">
        <is>
          <t>合规命令；罚款；差别化电价；淘汰关停</t>
        </is>
      </c>
      <c r="AN78" s="341" t="inlineStr">
        <is>
          <t>对不符合强制性能耗限额标准的硫酸、稀硝酸或冰醋酸生产企业，由相关部门责令限期整改，逾期未完成整改或整改后仍不达标的，纳入差别化电价范围并依法予以淘汰关停。</t>
        </is>
      </c>
      <c r="AO78" s="341" t="inlineStr">
        <is>
          <t>其他激励或支持</t>
        </is>
      </c>
      <c r="AP78" s="341" t="inlineStr">
        <is>
          <t>国家鼓励硫酸、稀硝酸和冰醋酸生产企业对标1级先进值开展节能降碳改造，通过节能审查和绿色工厂认定引导和支持先进产能提升。</t>
        </is>
      </c>
      <c r="AQ78" s="341" t="inlineStr">
        <is>
          <t>N/A</t>
        </is>
      </c>
      <c r="AR78" s="341" t="inlineStr">
        <is>
          <t>N/A</t>
        </is>
      </c>
      <c r="AS78" s="341" t="inlineStr">
        <is>
          <t>C20</t>
        </is>
      </c>
      <c r="AT78" s="341" t="inlineStr">
        <is>
          <t>CO2</t>
        </is>
      </c>
      <c r="AU78" s="341" t="inlineStr">
        <is>
          <t>正向</t>
        </is>
      </c>
      <c r="AV78" s="341" t="inlineStr">
        <is>
          <t>节能</t>
        </is>
      </c>
      <c r="AW78" s="341" t="inlineStr">
        <is>
          <t>GB 29141-2024 工业硫酸、稀硝酸和冰醋酸单位产品能源消耗限额</t>
        </is>
      </c>
      <c r="AX78" s="341" t="inlineStr">
        <is>
          <t>https://openstd.samr.gov.cn/bzgk/std/newGbInfo?hcno=8836ECA91BD3B22A28570D35D8B21D41</t>
        </is>
      </c>
      <c r="AY78" s="341" t="inlineStr">
        <is>
          <t>GB 29141-2012（旧版）：https://openstd.samr.gov.cn/bzgk/std/nd?no=2162</t>
        </is>
      </c>
      <c r="AZ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t>
        </is>
      </c>
      <c r="L79" s="341" t="inlineStr">
        <is>
          <t>直接</t>
        </is>
      </c>
      <c r="M79" s="341" t="inlineStr">
        <is>
          <t>国家</t>
        </is>
      </c>
      <c r="N79" s="341" t="inlineStr">
        <is>
          <t>N/A</t>
        </is>
      </c>
      <c r="O79" s="341" t="inlineStr">
        <is>
          <t>03/12/2007</t>
        </is>
      </c>
      <c r="P79" s="341" t="inlineStr">
        <is>
          <t>01/06/2008</t>
        </is>
      </c>
      <c r="Q79" s="341" t="inlineStr">
        <is>
          <t>N/A</t>
        </is>
      </c>
      <c r="R79" s="341" t="inlineStr">
        <is>
          <t>29/04/2024</t>
        </is>
      </c>
      <c r="S79" s="341" t="inlineStr">
        <is>
          <t>2024年4月29日发布GB 21257-2024替代GB 21257-2014和GB 30527-2014，删除隔膜法烧碱装置能耗限额，新增甲烷氯化物产品能耗限额，更改烧碱和聚氯乙烯树脂统计范围，更新各级能耗限额指标。</t>
        </is>
      </c>
      <c r="T79" s="341">
        <f>IF(P79="","生效",IF(P79="N/A","生效",IF(TODAY()&lt;DATE(VALUE(RIGHT(P79,4)),VALUE(MID(P79,4,2)),VALUE(LEFT(P79,2))),"计划实施",IF(Q79="","生效",IF(Q79="N/A","生效",IF(TODAY()&lt;DATE(VALUE(RIGHT(Q79,4)),VALUE(MID(Q79,4,2)),VALUE(LEFT(Q79,2))),"生效","已终止"))))))</f>
        <v/>
      </c>
      <c r="U79" s="341" t="inlineStr">
        <is>
          <t>国家市场监督管理总局；国家标准化管理委员会</t>
        </is>
      </c>
      <c r="V79" s="341" t="inlineStr">
        <is>
          <t>烧碱、聚氯乙烯树脂和甲烷氯化物生产装置</t>
        </is>
      </c>
      <c r="W79" s="341" t="inlineStr">
        <is>
          <t>新建；既有</t>
        </is>
      </c>
      <c r="X79" s="341" t="inlineStr">
        <is>
          <t>离子膜电解法烧碱生产装置、聚氯乙烯树脂（PVC）生产装置和甲烷氯化物生产装置，包括电解、聚合、氯化、精馏等主要工序及辅助生产系统。</t>
        </is>
      </c>
      <c r="Y79" s="341" t="inlineStr">
        <is>
          <t>N/A</t>
        </is>
      </c>
      <c r="Z79" s="341" t="inlineStr">
        <is>
          <t>N/A</t>
        </is>
      </c>
      <c r="AA79" s="341" t="inlineStr">
        <is>
          <t>企业</t>
        </is>
      </c>
      <c r="AB79" s="341" t="inlineStr">
        <is>
          <t>在中国境内运营烧碱、聚氯乙烯树脂或甲烷氯化物生产装置的企业。</t>
        </is>
      </c>
      <c r="AC79" s="341" t="inlineStr">
        <is>
          <t>生产</t>
        </is>
      </c>
      <c r="AD79" s="341" t="inlineStr">
        <is>
          <t>烧碱、聚氯乙烯树脂和甲烷氯化物生产装置的运行活动。现有企业须达到3级限定值，新建及改扩建企业须达到2级准入值。</t>
        </is>
      </c>
      <c r="AE79" s="341" t="inlineStr">
        <is>
          <t>3级</t>
        </is>
      </c>
      <c r="AF79" s="341" t="inlineStr">
        <is>
          <t>能耗限额等级</t>
        </is>
      </c>
      <c r="AG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H79" s="341" t="inlineStr">
        <is>
          <t>1）现有烧碱、聚氯乙烯树脂和甲烷氯化物生产企业须达到3级限定值方可继续运营，未达标者须限期改造或淘汰；2）新建及改扩建项目须达到2级准入值方可投产；3）1级先进值用于引导行业节能标杆。</t>
        </is>
      </c>
      <c r="AI79" s="341" t="inlineStr">
        <is>
          <t>N/A</t>
        </is>
      </c>
      <c r="AJ79" s="341" t="inlineStr">
        <is>
          <t>N/A</t>
        </is>
      </c>
      <c r="AK79" s="341" t="inlineStr">
        <is>
          <t>政府机构开展的监督检查；企业能耗数据报告</t>
        </is>
      </c>
      <c r="AL79" s="341" t="inlineStr">
        <is>
          <t>市场监督管理部门对烧碱、聚氯乙烯树脂和甲烷氯化物生产企业进行能耗限额标准执行情况监督检查；企业须按规定报送年度能源消耗数据，接受节能监察。</t>
        </is>
      </c>
      <c r="AM79" s="341" t="inlineStr">
        <is>
          <t>合规命令；罚款；差别化电价；淘汰关停</t>
        </is>
      </c>
      <c r="AN79" s="341" t="inlineStr">
        <is>
          <t>对不符合强制性能耗限额标准的烧碱、聚氯乙烯树脂或甲烷氯化物生产企业，由相关部门责令限期整改，逾期未完成整改或整改后仍不达标的，纳入差别化电价范围并依法予以淘汰关停。</t>
        </is>
      </c>
      <c r="AO79" s="341" t="inlineStr">
        <is>
          <t>其他激励或支持</t>
        </is>
      </c>
      <c r="AP79" s="341" t="inlineStr">
        <is>
          <t>国家鼓励烧碱、聚氯乙烯树脂和甲烷氯化物生产企业对标1级先进值开展节能降碳改造，通过节能审查和绿色工厂认定引导和支持先进产能提升。</t>
        </is>
      </c>
      <c r="AQ79" s="341" t="inlineStr">
        <is>
          <t>N/A</t>
        </is>
      </c>
      <c r="AR79" s="341" t="inlineStr">
        <is>
          <t>N/A</t>
        </is>
      </c>
      <c r="AS79" s="341" t="inlineStr">
        <is>
          <t>C20</t>
        </is>
      </c>
      <c r="AT79" s="341" t="inlineStr">
        <is>
          <t>CO2</t>
        </is>
      </c>
      <c r="AU79" s="341" t="inlineStr">
        <is>
          <t>正向</t>
        </is>
      </c>
      <c r="AV79" s="341" t="inlineStr">
        <is>
          <t>节能</t>
        </is>
      </c>
      <c r="AW79" s="341" t="inlineStr">
        <is>
          <t>GB 21257-2024 烧碱、聚氯乙烯树脂和甲烷氯化物单位产品能源消耗限额</t>
        </is>
      </c>
      <c r="AX79" s="341" t="inlineStr">
        <is>
          <t>https://openstd.samr.gov.cn/bzgk/std/newGbInfo?hcno=E49F11C43C31BD89386C871B3D75F054</t>
        </is>
      </c>
      <c r="AY79" s="341" t="inlineStr">
        <is>
          <t>GB 21257-2014（旧版）：https://openstd.samr.gov.cn/bzgk/std/nd?no=2142</t>
        </is>
      </c>
      <c r="AZ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t>
        </is>
      </c>
      <c r="L80" s="341" t="inlineStr">
        <is>
          <t>直接</t>
        </is>
      </c>
      <c r="M80" s="341" t="inlineStr">
        <is>
          <t>国家</t>
        </is>
      </c>
      <c r="N80" s="341" t="inlineStr">
        <is>
          <t>N/A</t>
        </is>
      </c>
      <c r="O80" s="341" t="inlineStr">
        <is>
          <t>11/09/2015</t>
        </is>
      </c>
      <c r="P80" s="341" t="inlineStr">
        <is>
          <t>01/10/2016</t>
        </is>
      </c>
      <c r="Q80" s="341" t="inlineStr">
        <is>
          <t>N/A</t>
        </is>
      </c>
      <c r="R80" s="341" t="inlineStr">
        <is>
          <t>29/04/2024</t>
        </is>
      </c>
      <c r="S80" s="341" t="inlineStr">
        <is>
          <t>2024年4月29日发布GB 32051-2024替代GB 32051-2015，新增氧化铁颜料能耗限额要求，更新钛白粉各级能耗限额指标。</t>
        </is>
      </c>
      <c r="T80" s="341">
        <f>IF(P80="","生效",IF(P80="N/A","生效",IF(TODAY()&lt;DATE(VALUE(RIGHT(P80,4)),VALUE(MID(P80,4,2)),VALUE(LEFT(P80,2))),"计划实施",IF(Q80="","生效",IF(Q80="N/A","生效",IF(TODAY()&lt;DATE(VALUE(RIGHT(Q80,4)),VALUE(MID(Q80,4,2)),VALUE(LEFT(Q80,2))),"生效","已终止"))))))</f>
        <v/>
      </c>
      <c r="U80" s="341" t="inlineStr">
        <is>
          <t>国家市场监督管理总局；国家标准化管理委员会</t>
        </is>
      </c>
      <c r="V80" s="341" t="inlineStr">
        <is>
          <t>钛白粉和氧化铁颜料生产装置</t>
        </is>
      </c>
      <c r="W80" s="341" t="inlineStr">
        <is>
          <t>新建；既有</t>
        </is>
      </c>
      <c r="X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Y80" s="341" t="inlineStr">
        <is>
          <t>N/A</t>
        </is>
      </c>
      <c r="Z80" s="341" t="inlineStr">
        <is>
          <t>N/A</t>
        </is>
      </c>
      <c r="AA80" s="341" t="inlineStr">
        <is>
          <t>企业</t>
        </is>
      </c>
      <c r="AB80" s="341" t="inlineStr">
        <is>
          <t>在中国境内运营钛白粉或氧化铁颜料生产装置的企业。</t>
        </is>
      </c>
      <c r="AC80" s="341" t="inlineStr">
        <is>
          <t>生产</t>
        </is>
      </c>
      <c r="AD80" s="341" t="inlineStr">
        <is>
          <t>钛白粉和氧化铁颜料生产装置的运行活动。现有企业须达到3级限定值，新建及改扩建企业须达到2级准入值。</t>
        </is>
      </c>
      <c r="AE80" s="341" t="inlineStr">
        <is>
          <t>3级</t>
        </is>
      </c>
      <c r="AF80" s="341" t="inlineStr">
        <is>
          <t>能耗限额等级</t>
        </is>
      </c>
      <c r="AG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H80" s="341" t="inlineStr">
        <is>
          <t>1）现有钛白粉和氧化铁颜料生产企业须达到3级限定值方可继续运营，未达标者须限期改造或淘汰；2）新建及改扩建项目须达到2级准入值方可投产；3）1级先进值用于引导行业节能标杆。</t>
        </is>
      </c>
      <c r="AI80" s="341" t="inlineStr">
        <is>
          <t>N/A</t>
        </is>
      </c>
      <c r="AJ80" s="341" t="inlineStr">
        <is>
          <t>N/A</t>
        </is>
      </c>
      <c r="AK80" s="341" t="inlineStr">
        <is>
          <t>政府机构开展的监督检查；企业能耗数据报告</t>
        </is>
      </c>
      <c r="AL80" s="341" t="inlineStr">
        <is>
          <t>市场监督管理部门对钛白粉和氧化铁颜料生产企业进行能耗限额标准执行情况监督检查；企业须按规定报送年度能源消耗数据，接受节能监察。</t>
        </is>
      </c>
      <c r="AM80" s="341" t="inlineStr">
        <is>
          <t>合规命令；罚款；差别化电价；淘汰关停</t>
        </is>
      </c>
      <c r="AN80" s="341" t="inlineStr">
        <is>
          <t>对不符合强制性能耗限额标准的钛白粉或氧化铁颜料生产企业，由相关部门责令限期整改，逾期未完成整改或整改后仍不达标的，纳入差别化电价范围并依法予以淘汰关停。</t>
        </is>
      </c>
      <c r="AO80" s="341" t="inlineStr">
        <is>
          <t>其他激励或支持</t>
        </is>
      </c>
      <c r="AP80" s="341" t="inlineStr">
        <is>
          <t>国家鼓励钛白粉和氧化铁颜料生产企业对标1级先进值开展节能降碳改造，通过节能审查和绿色工厂认定引导和支持先进产能提升。</t>
        </is>
      </c>
      <c r="AQ80" s="341" t="inlineStr">
        <is>
          <t>N/A</t>
        </is>
      </c>
      <c r="AR80" s="341" t="inlineStr">
        <is>
          <t>N/A</t>
        </is>
      </c>
      <c r="AS80" s="341" t="inlineStr">
        <is>
          <t>C20</t>
        </is>
      </c>
      <c r="AT80" s="341" t="inlineStr">
        <is>
          <t>CO2</t>
        </is>
      </c>
      <c r="AU80" s="341" t="inlineStr">
        <is>
          <t>正向</t>
        </is>
      </c>
      <c r="AV80" s="341" t="inlineStr">
        <is>
          <t>节能</t>
        </is>
      </c>
      <c r="AW80" s="341" t="inlineStr">
        <is>
          <t>GB 32051-2024 钛白粉和氧化铁颜料单位产品能源消耗限额</t>
        </is>
      </c>
      <c r="AX80" s="341" t="inlineStr">
        <is>
          <t>https://openstd.samr.gov.cn/bzgk/std/newGbInfo?hcno=DAC18F2C6C2B3B9C47F34CC093434B82</t>
        </is>
      </c>
      <c r="AY80" s="341" t="inlineStr">
        <is>
          <t>GB 32051-2015（旧版）：https://openstd.samr.gov.cn/bzgk/std/nd?no=2142</t>
        </is>
      </c>
      <c r="AZ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t>
        </is>
      </c>
      <c r="L81" s="341" t="inlineStr">
        <is>
          <t>直接</t>
        </is>
      </c>
      <c r="M81" s="341" t="inlineStr">
        <is>
          <t>国家</t>
        </is>
      </c>
      <c r="N81" s="341" t="inlineStr">
        <is>
          <t>N/A</t>
        </is>
      </c>
      <c r="O81" s="341" t="inlineStr">
        <is>
          <t>31/12/2013</t>
        </is>
      </c>
      <c r="P81" s="341" t="inlineStr">
        <is>
          <t>01/12/2014</t>
        </is>
      </c>
      <c r="Q81" s="341" t="inlineStr">
        <is>
          <t>N/A</t>
        </is>
      </c>
      <c r="R81" s="341" t="inlineStr">
        <is>
          <t>29/04/2024</t>
        </is>
      </c>
      <c r="S81" s="341" t="inlineStr">
        <is>
          <t>2024年4月29日发布GB 30180-2024替代GB 30178-2013、GB 30179-2013和GB 30180-2013，将原料用能与非原料用能区分统计，删除先进值改为能耗限额等级体系，更新各级能耗限额指标。</t>
        </is>
      </c>
      <c r="T81" s="341">
        <f>IF(P81="","生效",IF(P81="N/A","生效",IF(TODAY()&lt;DATE(VALUE(RIGHT(P81,4)),VALUE(MID(P81,4,2)),VALUE(LEFT(P81,2))),"计划实施",IF(Q81="","生效",IF(Q81="N/A","生效",IF(TODAY()&lt;DATE(VALUE(RIGHT(Q81,4)),VALUE(MID(Q81,4,2)),VALUE(LEFT(Q81,2))),"生效","已终止"))))))</f>
        <v/>
      </c>
      <c r="U81" s="341" t="inlineStr">
        <is>
          <t>国家市场监督管理总局；国家标准化管理委员会</t>
        </is>
      </c>
      <c r="V81" s="341" t="inlineStr">
        <is>
          <t>煤制烯烃、煤制天然气和煤制油生产装置</t>
        </is>
      </c>
      <c r="W81" s="341" t="inlineStr">
        <is>
          <t>新建；既有</t>
        </is>
      </c>
      <c r="X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Y81" s="341" t="inlineStr">
        <is>
          <t>N/A</t>
        </is>
      </c>
      <c r="Z81" s="341" t="inlineStr">
        <is>
          <t>N/A</t>
        </is>
      </c>
      <c r="AA81" s="341" t="inlineStr">
        <is>
          <t>企业</t>
        </is>
      </c>
      <c r="AB81" s="341" t="inlineStr">
        <is>
          <t>在中国境内运营煤制烯烃、煤制天然气或煤制油生产装置的企业。</t>
        </is>
      </c>
      <c r="AC81" s="341" t="inlineStr">
        <is>
          <t>生产</t>
        </is>
      </c>
      <c r="AD81" s="341" t="inlineStr">
        <is>
          <t>煤制烯烃、煤制天然气和煤制油生产装置的运行活动。现有企业须达到3级限定值，新建及改扩建企业须达到2级准入值。</t>
        </is>
      </c>
      <c r="AE81" s="341" t="inlineStr">
        <is>
          <t>3级</t>
        </is>
      </c>
      <c r="AF81" s="341" t="inlineStr">
        <is>
          <t>能耗限额等级</t>
        </is>
      </c>
      <c r="AG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H81" s="341" t="inlineStr">
        <is>
          <t>1）现有煤制烯烃、煤制天然气和煤制油生产企业须达到3级限定值方可继续运营，未达标者须限期改造或淘汰；2）新建及改扩建项目须达到2级准入值方可投产；3）1级先进值用于引导行业节能标杆。</t>
        </is>
      </c>
      <c r="AI81" s="341" t="inlineStr">
        <is>
          <t>N/A</t>
        </is>
      </c>
      <c r="AJ81" s="341" t="inlineStr">
        <is>
          <t>N/A</t>
        </is>
      </c>
      <c r="AK81" s="341" t="inlineStr">
        <is>
          <t>政府机构开展的监督检查；企业能耗数据报告</t>
        </is>
      </c>
      <c r="AL81" s="341" t="inlineStr">
        <is>
          <t>市场监督管理部门和能源主管部门对煤制烯烃、煤制天然气和煤制油生产企业进行能耗限额标准执行情况监督检查；企业须按规定报送年度能源消耗数据，接受节能监察。</t>
        </is>
      </c>
      <c r="AM81" s="341" t="inlineStr">
        <is>
          <t>合规命令；罚款；差别化电价；淘汰关停</t>
        </is>
      </c>
      <c r="AN81" s="341" t="inlineStr">
        <is>
          <t>对不符合强制性能耗限额标准的煤制烯烃、煤制天然气或煤制油生产企业，由相关部门责令限期整改，逾期未完成整改或整改后仍不达标的，纳入差别化电价范围并依法予以淘汰关停。</t>
        </is>
      </c>
      <c r="AO81" s="341" t="inlineStr">
        <is>
          <t>其他激励或支持</t>
        </is>
      </c>
      <c r="AP81" s="341" t="inlineStr">
        <is>
          <t>国家鼓励煤制烯烃、煤制天然气和煤制油生产企业对标1级先进值开展节能降碳改造，通过节能审查和行业能效领跑者引导和支持先进产能提升。</t>
        </is>
      </c>
      <c r="AQ81" s="341" t="inlineStr">
        <is>
          <t>N/A</t>
        </is>
      </c>
      <c r="AR81" s="341" t="inlineStr">
        <is>
          <t>N/A</t>
        </is>
      </c>
      <c r="AS81" s="341" t="inlineStr">
        <is>
          <t>C20</t>
        </is>
      </c>
      <c r="AT81" s="341" t="inlineStr">
        <is>
          <t>CO2</t>
        </is>
      </c>
      <c r="AU81" s="341" t="inlineStr">
        <is>
          <t>正向</t>
        </is>
      </c>
      <c r="AV81" s="341" t="inlineStr">
        <is>
          <t>节能；污染防治</t>
        </is>
      </c>
      <c r="AW81" s="341" t="inlineStr">
        <is>
          <t>GB 30180-2024 煤制烯烃、煤制天然气和煤制油单位产品能源消耗限额</t>
        </is>
      </c>
      <c r="AX81" s="341" t="inlineStr">
        <is>
          <t>https://openstd.samr.gov.cn/bzgk/std/newGbInfo?hcno=6142C24B8C115E93984C89692BCBB70F</t>
        </is>
      </c>
      <c r="AY81" s="341" t="inlineStr">
        <is>
          <t>GB 30178-2013（旧版，煤直接液化制油）、GB 30179-2013（旧版，煤制天然气）、GB 30180-2013（旧版，煤制烯烃）：https://openstd.samr.gov.cn/bzgk/std/nd?no=2142</t>
        </is>
      </c>
      <c r="AZ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t>
        </is>
      </c>
      <c r="L82" s="341" t="inlineStr">
        <is>
          <t>直接</t>
        </is>
      </c>
      <c r="M82" s="341" t="inlineStr">
        <is>
          <t>国家</t>
        </is>
      </c>
      <c r="N82" s="341" t="inlineStr">
        <is>
          <t>N/A</t>
        </is>
      </c>
      <c r="O82" s="341" t="inlineStr">
        <is>
          <t>11/09/2015</t>
        </is>
      </c>
      <c r="P82" s="341" t="inlineStr">
        <is>
          <t>01/10/2016</t>
        </is>
      </c>
      <c r="Q82" s="341" t="inlineStr">
        <is>
          <t>N/A</t>
        </is>
      </c>
      <c r="R82" s="341" t="inlineStr">
        <is>
          <t>29/04/2024</t>
        </is>
      </c>
      <c r="S82" s="341" t="inlineStr">
        <is>
          <t>2024年4月29日发布GB 32032-2024替代GB 32032-2015、GB 32033-2015和GB 32034-2015，将金矿开采、选冶和金精炼三部标准整合为一，更新各级能耗限额指标。</t>
        </is>
      </c>
      <c r="T82" s="341">
        <f>IF(P82="","生效",IF(P82="N/A","生效",IF(TODAY()&lt;DATE(VALUE(RIGHT(P82,4)),VALUE(MID(P82,4,2)),VALUE(LEFT(P82,2))),"计划实施",IF(Q82="","生效",IF(Q82="N/A","生效",IF(TODAY()&lt;DATE(VALUE(RIGHT(Q82,4)),VALUE(MID(Q82,4,2)),VALUE(LEFT(Q82,2))),"生效","已终止"))))))</f>
        <v/>
      </c>
      <c r="U82" s="341" t="inlineStr">
        <is>
          <t>国家市场监督管理总局；国家标准化管理委员会</t>
        </is>
      </c>
      <c r="V82" s="341" t="inlineStr">
        <is>
          <t>金矿开采、选冶和金精炼生产系统</t>
        </is>
      </c>
      <c r="W82" s="341" t="inlineStr">
        <is>
          <t>新建；既有</t>
        </is>
      </c>
      <c r="X82" s="341" t="inlineStr">
        <is>
          <t>金矿开采（露天或地下开采）、金矿选冶（生物氧化、焙烧氧化、氰化浸出等工艺）和金精炼（化学法或电解法）的生产系统，包括采矿、破碎磨矿、浸出、冶炼、精炼等主要工序及辅助生产系统。</t>
        </is>
      </c>
      <c r="Y82" s="341" t="inlineStr">
        <is>
          <t>N/A</t>
        </is>
      </c>
      <c r="Z82" s="341" t="inlineStr">
        <is>
          <t>N/A</t>
        </is>
      </c>
      <c r="AA82" s="341" t="inlineStr">
        <is>
          <t>企业</t>
        </is>
      </c>
      <c r="AB82" s="341" t="inlineStr">
        <is>
          <t>在中国境内运营金矿开采、选冶或金精炼生产系统的企业。</t>
        </is>
      </c>
      <c r="AC82" s="341" t="inlineStr">
        <is>
          <t>生产</t>
        </is>
      </c>
      <c r="AD82" s="341" t="inlineStr">
        <is>
          <t>金矿开采、选冶和金精炼生产系统的运行活动。现有企业须达到3级限定值，新建及改扩建企业须达到2级准入值。</t>
        </is>
      </c>
      <c r="AE82" s="341" t="inlineStr">
        <is>
          <t>3级</t>
        </is>
      </c>
      <c r="AF82" s="341" t="inlineStr">
        <is>
          <t>能耗限额等级</t>
        </is>
      </c>
      <c r="AG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H82" s="341" t="inlineStr">
        <is>
          <t>1）现有金矿开采、选冶和金精炼企业须达到3级限定值方可继续运营，未达标者须限期改造或淘汰；2）新建及改扩建项目须达到2级准入值方可投产；3）1级先进值用于引导行业节能标杆。</t>
        </is>
      </c>
      <c r="AI82" s="341" t="inlineStr">
        <is>
          <t>N/A</t>
        </is>
      </c>
      <c r="AJ82" s="341" t="inlineStr">
        <is>
          <t>N/A</t>
        </is>
      </c>
      <c r="AK82" s="341" t="inlineStr">
        <is>
          <t>政府机构开展的监督检查；企业能耗数据报告</t>
        </is>
      </c>
      <c r="AL82" s="341" t="inlineStr">
        <is>
          <t>市场监督管理部门和自然资源主管部门对金矿开采、选冶和金精炼企业进行能耗限额标准执行情况监督检查；企业须按规定报送年度能源消耗数据，接受节能监察。</t>
        </is>
      </c>
      <c r="AM82" s="341" t="inlineStr">
        <is>
          <t>合规命令；罚款；差别化电价；淘汰关停</t>
        </is>
      </c>
      <c r="AN82" s="341" t="inlineStr">
        <is>
          <t>对不符合强制性能耗限额标准的金矿开采、选冶或金精炼企业，由相关部门责令限期整改，逾期未完成整改或整改后仍不达标的，纳入差别化电价范围并依法予以淘汰关停。</t>
        </is>
      </c>
      <c r="AO82" s="341" t="inlineStr">
        <is>
          <t>其他激励或支持</t>
        </is>
      </c>
      <c r="AP82" s="341" t="inlineStr">
        <is>
          <t>国家鼓励金矿开采、选冶和金精炼企业对标1级先进值开展节能降碳改造，通过节能审查和绿色矿山建设引导和支持先进产能提升。</t>
        </is>
      </c>
      <c r="AQ82" s="341" t="inlineStr">
        <is>
          <t>N/A</t>
        </is>
      </c>
      <c r="AR82" s="341" t="inlineStr">
        <is>
          <t>N/A</t>
        </is>
      </c>
      <c r="AS82" s="341" t="inlineStr">
        <is>
          <t>B07</t>
        </is>
      </c>
      <c r="AT82" s="341" t="inlineStr">
        <is>
          <t>CO2</t>
        </is>
      </c>
      <c r="AU82" s="341" t="inlineStr">
        <is>
          <t>正向</t>
        </is>
      </c>
      <c r="AV82" s="341" t="inlineStr">
        <is>
          <t>节能</t>
        </is>
      </c>
      <c r="AW82" s="341" t="inlineStr">
        <is>
          <t>GB 32032-2024 金矿开采、选冶和金精炼单位产品能源消耗限额</t>
        </is>
      </c>
      <c r="AX82" s="341" t="inlineStr">
        <is>
          <t>https://openstd.samr.gov.cn/bzgk/std/newGbInfo?hcno=B268E46CD43CCE0EF203B95F3993D6FC</t>
        </is>
      </c>
      <c r="AY82" s="341" t="inlineStr">
        <is>
          <t>GB 32032-2015（旧版）、GB 32033-2015（旧版）、GB 32034-2015（旧版）：https://openstd.samr.gov.cn/bzgk/std/nd?no=2142</t>
        </is>
      </c>
      <c r="AZ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t>
        </is>
      </c>
      <c r="L83" s="341" t="inlineStr">
        <is>
          <t>直接</t>
        </is>
      </c>
      <c r="M83" s="341" t="inlineStr">
        <is>
          <t>国家</t>
        </is>
      </c>
      <c r="N83" s="341" t="inlineStr">
        <is>
          <t>N/A</t>
        </is>
      </c>
      <c r="O83" s="341" t="inlineStr">
        <is>
          <t>09/01/2008</t>
        </is>
      </c>
      <c r="P83" s="341" t="inlineStr">
        <is>
          <t>01/07/2008</t>
        </is>
      </c>
      <c r="Q83" s="341" t="inlineStr">
        <is>
          <t>N/A</t>
        </is>
      </c>
      <c r="R83" s="341" t="inlineStr">
        <is>
          <t>29/04/2024</t>
        </is>
      </c>
      <c r="S83" s="341" t="inlineStr">
        <is>
          <t>2024年4月29日发布GB 21345-2024替代GB 21345-2015，更新各级能耗限额指标，进一步降低单位产品综合能耗和电炉电耗限额。</t>
        </is>
      </c>
      <c r="T83" s="341">
        <f>IF(P83="","生效",IF(P83="N/A","生效",IF(TODAY()&lt;DATE(VALUE(RIGHT(P83,4)),VALUE(MID(P83,4,2)),VALUE(LEFT(P83,2))),"计划实施",IF(Q83="","生效",IF(Q83="N/A","生效",IF(TODAY()&lt;DATE(VALUE(RIGHT(Q83,4)),VALUE(MID(Q83,4,2)),VALUE(LEFT(Q83,2))),"生效","已终止"))))))</f>
        <v/>
      </c>
      <c r="U83" s="341" t="inlineStr">
        <is>
          <t>国家市场监督管理总局；国家标准化管理委员会</t>
        </is>
      </c>
      <c r="V83" s="341" t="inlineStr">
        <is>
          <t>黄磷生产装置</t>
        </is>
      </c>
      <c r="W83" s="341" t="inlineStr">
        <is>
          <t>新建；既有</t>
        </is>
      </c>
      <c r="X83" s="341" t="inlineStr">
        <is>
          <t>采用电炉法以磷矿石为原料生产黄磷的装置，包括原料处理、电炉还原、磷蒸冷凝等主要工序及辅助生产系统。</t>
        </is>
      </c>
      <c r="Y83" s="341" t="inlineStr">
        <is>
          <t>N/A</t>
        </is>
      </c>
      <c r="Z83" s="341" t="inlineStr">
        <is>
          <t>N/A</t>
        </is>
      </c>
      <c r="AA83" s="341" t="inlineStr">
        <is>
          <t>企业</t>
        </is>
      </c>
      <c r="AB83" s="341" t="inlineStr">
        <is>
          <t>在中国境内运营电炉法黄磷生产装置的企业。</t>
        </is>
      </c>
      <c r="AC83" s="341" t="inlineStr">
        <is>
          <t>生产</t>
        </is>
      </c>
      <c r="AD83" s="341" t="inlineStr">
        <is>
          <t>黄磷生产装置的运行活动。现有企业须达到3级限定值，新建及改扩建企业须达到2级准入值。</t>
        </is>
      </c>
      <c r="AE83" s="341" t="inlineStr">
        <is>
          <t>3级</t>
        </is>
      </c>
      <c r="AF83" s="341" t="inlineStr">
        <is>
          <t>能耗限额等级</t>
        </is>
      </c>
      <c r="AG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H83" s="341" t="inlineStr">
        <is>
          <t>1）现有黄磷生产企业须达到3级限定值方可继续运营，未达标者须限期改造或淘汰；2）新建及改扩建黄磷项目须达到2级准入值方可投产；3）1级先进值用于引导行业节能标杆。</t>
        </is>
      </c>
      <c r="AI83" s="341" t="inlineStr">
        <is>
          <t>N/A</t>
        </is>
      </c>
      <c r="AJ83" s="341" t="inlineStr">
        <is>
          <t>N/A</t>
        </is>
      </c>
      <c r="AK83" s="341" t="inlineStr">
        <is>
          <t>政府机构开展的监督检查；企业能耗数据报告</t>
        </is>
      </c>
      <c r="AL83" s="341" t="inlineStr">
        <is>
          <t>市场监督管理部门对黄磷生产企业进行能耗限额标准执行情况监督检查；企业须按规定报送年度能源消耗数据，接受节能监察。</t>
        </is>
      </c>
      <c r="AM83" s="341" t="inlineStr">
        <is>
          <t>合规命令；罚款；差别化电价；淘汰关停</t>
        </is>
      </c>
      <c r="AN83" s="341" t="inlineStr">
        <is>
          <t>对不符合强制性能耗限额标准的黄磷生产企业，由相关部门责令限期整改，逾期未完成整改或整改后仍不达标的，纳入差别化电价范围并依法予以淘汰关停。</t>
        </is>
      </c>
      <c r="AO83" s="341" t="inlineStr">
        <is>
          <t>其他激励或支持</t>
        </is>
      </c>
      <c r="AP83" s="341" t="inlineStr">
        <is>
          <t>国家鼓励黄磷生产企业对标1级先进值开展节能降碳改造，通过节能审查和绿色工厂认定引导和支持先进产能提升。</t>
        </is>
      </c>
      <c r="AQ83" s="341" t="inlineStr">
        <is>
          <t>N/A</t>
        </is>
      </c>
      <c r="AR83" s="341" t="inlineStr">
        <is>
          <t>N/A</t>
        </is>
      </c>
      <c r="AS83" s="341" t="inlineStr">
        <is>
          <t>C20</t>
        </is>
      </c>
      <c r="AT83" s="341" t="inlineStr">
        <is>
          <t>CO2</t>
        </is>
      </c>
      <c r="AU83" s="341" t="inlineStr">
        <is>
          <t>正向</t>
        </is>
      </c>
      <c r="AV83" s="341" t="inlineStr">
        <is>
          <t>节能</t>
        </is>
      </c>
      <c r="AW83" s="341" t="inlineStr">
        <is>
          <t>GB 21345-2024 黄磷单位产品能源消耗限额</t>
        </is>
      </c>
      <c r="AX83" s="341" t="inlineStr">
        <is>
          <t>https://openstd.samr.gov.cn/bzgk/std/newGbInfo?hcno=C3476FF3135DC1131ED69638176BDB8B</t>
        </is>
      </c>
      <c r="AY83" s="341" t="inlineStr">
        <is>
          <t>GB 21345-2015（旧版）：https://openstd.samr.gov.cn/bzgk/std/nd?no=2142</t>
        </is>
      </c>
      <c r="AZ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t>
        </is>
      </c>
      <c r="L84" s="341" t="inlineStr">
        <is>
          <t>直接</t>
        </is>
      </c>
      <c r="M84" s="341" t="inlineStr">
        <is>
          <t>国家</t>
        </is>
      </c>
      <c r="N84" s="341" t="inlineStr">
        <is>
          <t>N/A</t>
        </is>
      </c>
      <c r="O84" s="341" t="inlineStr">
        <is>
          <t>31/12/2012</t>
        </is>
      </c>
      <c r="P84" s="341" t="inlineStr">
        <is>
          <t>01/10/2013</t>
        </is>
      </c>
      <c r="Q84" s="341" t="inlineStr">
        <is>
          <t>N/A</t>
        </is>
      </c>
      <c r="R84" s="341" t="inlineStr">
        <is>
          <t>29/04/2024</t>
        </is>
      </c>
      <c r="S84" s="341" t="inlineStr">
        <is>
          <t>2024年4月29日发布GB 29449-2024替代GB 29449-2012和GB 29440-2012，将轮胎和炭黑两部标准整合为一，部分轮胎产品能耗限额降低20%-30%，炭黑单位产品能耗值预计降低80%以上。</t>
        </is>
      </c>
      <c r="T84" s="341">
        <f>IF(P84="","生效",IF(P84="N/A","生效",IF(TODAY()&lt;DATE(VALUE(RIGHT(P84,4)),VALUE(MID(P84,4,2)),VALUE(LEFT(P84,2))),"计划实施",IF(Q84="","生效",IF(Q84="N/A","生效",IF(TODAY()&lt;DATE(VALUE(RIGHT(Q84,4)),VALUE(MID(Q84,4,2)),VALUE(LEFT(Q84,2))),"生效","已终止"))))))</f>
        <v/>
      </c>
      <c r="U84" s="341" t="inlineStr">
        <is>
          <t>国家市场监督管理总局；国家标准化管理委员会</t>
        </is>
      </c>
      <c r="V84" s="341" t="inlineStr">
        <is>
          <t>轮胎和炭黑生产装置</t>
        </is>
      </c>
      <c r="W84" s="341" t="inlineStr">
        <is>
          <t>新建；既有</t>
        </is>
      </c>
      <c r="X84" s="341" t="inlineStr">
        <is>
          <t>全钢子午线轮胎、半钢子午线轮胎、工程机械轮胎和斜交轮胎的生产装置（包括密炼、压延、成型、硫化等主要工序），以及橡胶行业用炭黑生产装置（包括反应、收集、造粒、干燥等主要工序）。</t>
        </is>
      </c>
      <c r="Y84" s="341" t="inlineStr">
        <is>
          <t>N/A</t>
        </is>
      </c>
      <c r="Z84" s="341" t="inlineStr">
        <is>
          <t>N/A</t>
        </is>
      </c>
      <c r="AA84" s="341" t="inlineStr">
        <is>
          <t>企业</t>
        </is>
      </c>
      <c r="AB84" s="341" t="inlineStr">
        <is>
          <t>在中国境内运营轮胎或炭黑生产装置的企业。</t>
        </is>
      </c>
      <c r="AC84" s="341" t="inlineStr">
        <is>
          <t>生产</t>
        </is>
      </c>
      <c r="AD84" s="341" t="inlineStr">
        <is>
          <t>轮胎和炭黑生产装置的运行活动。现有企业须达到3级限定值，新建及改扩建企业须达到2级准入值。</t>
        </is>
      </c>
      <c r="AE84" s="341" t="inlineStr">
        <is>
          <t>3级</t>
        </is>
      </c>
      <c r="AF84" s="341" t="inlineStr">
        <is>
          <t>能耗限额等级</t>
        </is>
      </c>
      <c r="AG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H84" s="341" t="inlineStr">
        <is>
          <t>1）现有轮胎和炭黑生产企业须达到3级限定值方可继续运营，未达标者须限期改造或淘汰；2）新建及改扩建项目须达到2级准入值方可投产；3）1级先进值用于引导行业节能标杆。</t>
        </is>
      </c>
      <c r="AI84" s="341" t="inlineStr">
        <is>
          <t>N/A</t>
        </is>
      </c>
      <c r="AJ84" s="341" t="inlineStr">
        <is>
          <t>N/A</t>
        </is>
      </c>
      <c r="AK84" s="341" t="inlineStr">
        <is>
          <t>政府机构开展的监督检查；企业能耗数据报告</t>
        </is>
      </c>
      <c r="AL84" s="341" t="inlineStr">
        <is>
          <t>市场监督管理部门对轮胎和炭黑生产企业进行能耗限额标准执行情况监督检查；企业须按规定报送年度能源消耗数据，接受节能监察。</t>
        </is>
      </c>
      <c r="AM84" s="341" t="inlineStr">
        <is>
          <t>合规命令；罚款；差别化电价；淘汰关停</t>
        </is>
      </c>
      <c r="AN84" s="341" t="inlineStr">
        <is>
          <t>对不符合强制性能耗限额标准的轮胎或炭黑生产企业，由相关部门责令限期整改，逾期未完成整改或整改后仍不达标的，纳入差别化电价范围并依法予以淘汰关停。</t>
        </is>
      </c>
      <c r="AO84" s="341" t="inlineStr">
        <is>
          <t>其他激励或支持</t>
        </is>
      </c>
      <c r="AP84" s="341" t="inlineStr">
        <is>
          <t>国家鼓励轮胎和炭黑生产企业对标1级先进值开展节能降碳改造，通过节能审查和绿色工厂认定引导和支持先进产能提升。</t>
        </is>
      </c>
      <c r="AQ84" s="341" t="inlineStr">
        <is>
          <t>N/A</t>
        </is>
      </c>
      <c r="AR84" s="341" t="inlineStr">
        <is>
          <t>N/A</t>
        </is>
      </c>
      <c r="AS84" s="341" t="inlineStr">
        <is>
          <t>C22</t>
        </is>
      </c>
      <c r="AT84" s="341" t="inlineStr">
        <is>
          <t>CO2</t>
        </is>
      </c>
      <c r="AU84" s="341" t="inlineStr">
        <is>
          <t>正向</t>
        </is>
      </c>
      <c r="AV84" s="341" t="inlineStr">
        <is>
          <t>节能</t>
        </is>
      </c>
      <c r="AW84" s="341" t="inlineStr">
        <is>
          <t>GB 29449-2024 轮胎和炭黑单位产品能源消耗限额</t>
        </is>
      </c>
      <c r="AX84" s="341" t="inlineStr">
        <is>
          <t>https://openstd.samr.gov.cn/bzgk/std/newGbInfo?hcno=C7F141BA9B677EA49B85D0C3DFF7B10C</t>
        </is>
      </c>
      <c r="AY84" s="341" t="inlineStr">
        <is>
          <t>GB 29449-2012（旧版）、GB 29440-2012（旧版）：https://openstd.samr.gov.cn/bzgk/std/nd?no=2142</t>
        </is>
      </c>
      <c r="AZ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t>
        </is>
      </c>
      <c r="L85" s="341" t="inlineStr">
        <is>
          <t>直接</t>
        </is>
      </c>
      <c r="M85" s="341" t="inlineStr">
        <is>
          <t>国家</t>
        </is>
      </c>
      <c r="N85" s="341" t="inlineStr">
        <is>
          <t>N/A</t>
        </is>
      </c>
      <c r="O85" s="341" t="inlineStr">
        <is>
          <t>31/12/2013</t>
        </is>
      </c>
      <c r="P85" s="341" t="inlineStr">
        <is>
          <t>01/09/2014</t>
        </is>
      </c>
      <c r="Q85" s="341" t="inlineStr">
        <is>
          <t>N/A</t>
        </is>
      </c>
      <c r="R85" s="341" t="inlineStr">
        <is>
          <t>29/04/2024</t>
        </is>
      </c>
      <c r="S85" s="341" t="inlineStr">
        <is>
          <t>2024年4月29日发布GB 29995-2024替代GB 29994-2013、GB 29995-2013和GB 29996-2013，更改了适用范围和能源消耗量统计范围及计算方法，增加了能耗限额等级。</t>
        </is>
      </c>
      <c r="T85" s="341">
        <f>IF(P85="","生效",IF(P85="N/A","生效",IF(TODAY()&lt;DATE(VALUE(RIGHT(P85,4)),VALUE(MID(P85,4,2)),VALUE(LEFT(P85,2))),"计划实施",IF(Q85="","生效",IF(Q85="N/A","生效",IF(TODAY()&lt;DATE(VALUE(RIGHT(Q85,4)),VALUE(MID(Q85,4,2)),VALUE(LEFT(Q85,2))),"生效","已终止"))))))</f>
        <v/>
      </c>
      <c r="U85" s="341" t="inlineStr">
        <is>
          <t>国家市场监督管理总局；国家标准化管理委员会</t>
        </is>
      </c>
      <c r="V85" s="341" t="inlineStr">
        <is>
          <t>煤基活性炭和兰炭生产装置</t>
        </is>
      </c>
      <c r="W85" s="341" t="inlineStr">
        <is>
          <t>新建；既有</t>
        </is>
      </c>
      <c r="X85" s="341" t="inlineStr">
        <is>
          <t>以煤为原料的活性炭生产装置（包括炭化、活化等工序）和兰炭（半焦）生产装置（包括备煤、炭化、煤气净化等工序）。</t>
        </is>
      </c>
      <c r="Y85" s="341" t="inlineStr">
        <is>
          <t>N/A</t>
        </is>
      </c>
      <c r="Z85" s="341" t="inlineStr">
        <is>
          <t>N/A</t>
        </is>
      </c>
      <c r="AA85" s="341" t="inlineStr">
        <is>
          <t>企业</t>
        </is>
      </c>
      <c r="AB85" s="341" t="inlineStr">
        <is>
          <t>在中国境内运营煤基活性炭或兰炭生产装置的企业。</t>
        </is>
      </c>
      <c r="AC85" s="341" t="inlineStr">
        <is>
          <t>生产</t>
        </is>
      </c>
      <c r="AD85" s="341" t="inlineStr">
        <is>
          <t>煤基活性炭和兰炭生产装置的运行活动。现有企业须达到3级限定值，新建及改扩建企业须达到2级准入值。</t>
        </is>
      </c>
      <c r="AE85" s="341" t="inlineStr">
        <is>
          <t>3级</t>
        </is>
      </c>
      <c r="AF85" s="341" t="inlineStr">
        <is>
          <t>能耗限额等级</t>
        </is>
      </c>
      <c r="AG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H85" s="341" t="inlineStr">
        <is>
          <t>1）现有煤基活性炭和兰炭生产企业须达到3级限定值方可继续运营，未达标者须限期改造或淘汰；2）新建及改扩建项目须达到2级准入值方可投产；3）1级先进值用于引导行业节能标杆。</t>
        </is>
      </c>
      <c r="AI85" s="341" t="inlineStr">
        <is>
          <t>N/A</t>
        </is>
      </c>
      <c r="AJ85" s="341" t="inlineStr">
        <is>
          <t>N/A</t>
        </is>
      </c>
      <c r="AK85" s="341" t="inlineStr">
        <is>
          <t>政府机构开展的监督检查；企业能耗数据报告</t>
        </is>
      </c>
      <c r="AL85" s="341" t="inlineStr">
        <is>
          <t>市场监督管理部门对煤基活性炭和兰炭生产企业进行能耗限额标准执行情况监督检查；企业须按规定报送年度能源消耗数据，接受节能监察。</t>
        </is>
      </c>
      <c r="AM85" s="341" t="inlineStr">
        <is>
          <t>合规命令；罚款；差别化电价；淘汰关停</t>
        </is>
      </c>
      <c r="AN85" s="341" t="inlineStr">
        <is>
          <t>对不符合强制性能耗限额标准的煤基活性炭或兰炭生产企业，由相关部门责令限期整改，逾期未完成整改或整改后仍不达标的，纳入差别化电价范围并依法予以淘汰关停。</t>
        </is>
      </c>
      <c r="AO85" s="341" t="inlineStr">
        <is>
          <t>其他激励或支持</t>
        </is>
      </c>
      <c r="AP85" s="341" t="inlineStr">
        <is>
          <t>国家鼓励煤基活性炭和兰炭生产企业对标1级先进值开展节能降碳改造，通过节能审查和行业能效领跑者引导和支持先进产能提升。</t>
        </is>
      </c>
      <c r="AQ85" s="341" t="inlineStr">
        <is>
          <t>N/A</t>
        </is>
      </c>
      <c r="AR85" s="341" t="inlineStr">
        <is>
          <t>N/A</t>
        </is>
      </c>
      <c r="AS85" s="341" t="inlineStr">
        <is>
          <t>C19</t>
        </is>
      </c>
      <c r="AT85" s="341" t="inlineStr">
        <is>
          <t>CO2</t>
        </is>
      </c>
      <c r="AU85" s="341" t="inlineStr">
        <is>
          <t>正向</t>
        </is>
      </c>
      <c r="AV85" s="341" t="inlineStr">
        <is>
          <t>节能</t>
        </is>
      </c>
      <c r="AW85" s="341" t="inlineStr">
        <is>
          <t>GB 29995-2024 煤基活性炭和兰炭单位产品能源消耗限额</t>
        </is>
      </c>
      <c r="AX85" s="341" t="inlineStr">
        <is>
          <t>https://openstd.samr.gov.cn/bzgk/std/newGbInfo?hcno=5B85C53847B2E9A539178E125400CAA4</t>
        </is>
      </c>
      <c r="AY85" s="341" t="inlineStr">
        <is>
          <t>GB 29994-2013（旧版）、GB 29995-2013（旧版）、GB 29996-2013（旧版）：https://openstd.samr.gov.cn/bzgk/std/nd?no=2142</t>
        </is>
      </c>
      <c r="AZ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t>
        </is>
      </c>
      <c r="L86" s="341" t="inlineStr">
        <is>
          <t>直接</t>
        </is>
      </c>
      <c r="M86" s="341" t="inlineStr">
        <is>
          <t>国家</t>
        </is>
      </c>
      <c r="N86" s="341" t="inlineStr">
        <is>
          <t>N/A</t>
        </is>
      </c>
      <c r="O86" s="341" t="inlineStr">
        <is>
          <t>11/09/2015</t>
        </is>
      </c>
      <c r="P86" s="341" t="inlineStr">
        <is>
          <t>01/04/2016</t>
        </is>
      </c>
      <c r="Q86" s="341" t="inlineStr">
        <is>
          <t>N/A</t>
        </is>
      </c>
      <c r="R86" s="341" t="inlineStr">
        <is>
          <t>29/04/2024</t>
        </is>
      </c>
      <c r="S86" s="341" t="inlineStr">
        <is>
          <t>2024年4月29日发布GB 31830-2024替代GB 31828-2015和GB 31830-2015，将TDI和MDI两部能耗限额标准整合为一，更新各级能耗限额指标，删除先进值改为能耗限额等级体系。</t>
        </is>
      </c>
      <c r="T86" s="341">
        <f>IF(P86="","生效",IF(P86="N/A","生效",IF(TODAY()&lt;DATE(VALUE(RIGHT(P86,4)),VALUE(MID(P86,4,2)),VALUE(LEFT(P86,2))),"计划实施",IF(Q86="","生效",IF(Q86="N/A","生效",IF(TODAY()&lt;DATE(VALUE(RIGHT(Q86,4)),VALUE(MID(Q86,4,2)),VALUE(LEFT(Q86,2))),"生效","已终止"))))))</f>
        <v/>
      </c>
      <c r="U86" s="341" t="inlineStr">
        <is>
          <t>国家市场监督管理总局；国家标准化管理委员会</t>
        </is>
      </c>
      <c r="V86" s="341" t="inlineStr">
        <is>
          <t>TDI和MDI生产装置</t>
        </is>
      </c>
      <c r="W86" s="341" t="inlineStr">
        <is>
          <t>新建；既有</t>
        </is>
      </c>
      <c r="X86" s="341" t="inlineStr">
        <is>
          <t>以DNT、氢气、氯气、一氧化碳为原料的TDI生产装置（包括硝化、加氢、光气化等工序），以及以苯胺、甲醛、氯气、一氧化碳为原料的MDI生产装置（包括缩合、光气化、精馏等工序）。</t>
        </is>
      </c>
      <c r="Y86" s="341" t="inlineStr">
        <is>
          <t>N/A</t>
        </is>
      </c>
      <c r="Z86" s="341" t="inlineStr">
        <is>
          <t>N/A</t>
        </is>
      </c>
      <c r="AA86" s="341" t="inlineStr">
        <is>
          <t>企业</t>
        </is>
      </c>
      <c r="AB86" s="341" t="inlineStr">
        <is>
          <t>在中国境内运营TDI或MDI生产装置的企业。</t>
        </is>
      </c>
      <c r="AC86" s="341" t="inlineStr">
        <is>
          <t>生产</t>
        </is>
      </c>
      <c r="AD86" s="341" t="inlineStr">
        <is>
          <t>TDI和MDI生产装置的运行活动。现有企业须达到3级限定值，新建及改扩建企业须达到2级准入值。</t>
        </is>
      </c>
      <c r="AE86" s="341" t="inlineStr">
        <is>
          <t>3级</t>
        </is>
      </c>
      <c r="AF86" s="341" t="inlineStr">
        <is>
          <t>能耗限额等级</t>
        </is>
      </c>
      <c r="AG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H86" s="341" t="inlineStr">
        <is>
          <t>1）现有TDI和MDI生产企业须达到3级限定值方可继续运营，未达标者须限期改造或淘汰；2）新建及改扩建项目须达到2级准入值方可投产；3）1级先进值用于引导行业节能标杆。</t>
        </is>
      </c>
      <c r="AI86" s="341" t="inlineStr">
        <is>
          <t>N/A</t>
        </is>
      </c>
      <c r="AJ86" s="341" t="inlineStr">
        <is>
          <t>N/A</t>
        </is>
      </c>
      <c r="AK86" s="341" t="inlineStr">
        <is>
          <t>政府机构开展的监督检查；企业能耗数据报告</t>
        </is>
      </c>
      <c r="AL86" s="341" t="inlineStr">
        <is>
          <t>市场监督管理部门对TDI和MDI生产企业进行能耗限额标准执行情况监督检查；企业须按规定报送年度能源消耗数据，接受节能监察。</t>
        </is>
      </c>
      <c r="AM86" s="341" t="inlineStr">
        <is>
          <t>合规命令；罚款；差别化电价；淘汰关停</t>
        </is>
      </c>
      <c r="AN86" s="341" t="inlineStr">
        <is>
          <t>对不符合强制性能耗限额标准的TDI或MDI生产企业，由相关部门责令限期整改，逾期未完成整改或整改后仍不达标的，纳入差别化电价范围并依法予以淘汰关停。</t>
        </is>
      </c>
      <c r="AO86" s="341" t="inlineStr">
        <is>
          <t>其他激励或支持</t>
        </is>
      </c>
      <c r="AP86" s="341" t="inlineStr">
        <is>
          <t>国家鼓励TDI和MDI生产企业对标1级先进值开展节能降碳改造，通过节能审查和绿色工厂认定引导和支持先进产能提升。</t>
        </is>
      </c>
      <c r="AQ86" s="341" t="inlineStr">
        <is>
          <t>N/A</t>
        </is>
      </c>
      <c r="AR86" s="341" t="inlineStr">
        <is>
          <t>N/A</t>
        </is>
      </c>
      <c r="AS86" s="341" t="inlineStr">
        <is>
          <t>C20</t>
        </is>
      </c>
      <c r="AT86" s="341" t="inlineStr">
        <is>
          <t>CO2</t>
        </is>
      </c>
      <c r="AU86" s="341" t="inlineStr">
        <is>
          <t>正向</t>
        </is>
      </c>
      <c r="AV86" s="341" t="inlineStr">
        <is>
          <t>节能</t>
        </is>
      </c>
      <c r="AW86" s="341" t="inlineStr">
        <is>
          <t>GB 31830-2024 甲苯二异氰酸酯和二苯基甲烷二异氰酸酯单位产品能源消耗限额</t>
        </is>
      </c>
      <c r="AX86" s="341" t="inlineStr">
        <is>
          <t>https://openstd.samr.gov.cn/bzgk/std/newGbInfo?hcno=4C885FEDCCAA79384C369B4CB7A3A1A4</t>
        </is>
      </c>
      <c r="AY86" s="341" t="inlineStr">
        <is>
          <t>GB 31828-2015（旧版）、GB 31830-2015（旧版）：https://openstd.samr.gov.cn/bzgk/std/nd?no=2142</t>
        </is>
      </c>
      <c r="AZ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t>
        </is>
      </c>
      <c r="L87" s="341" t="inlineStr">
        <is>
          <t>直接</t>
        </is>
      </c>
      <c r="M87" s="341" t="inlineStr">
        <is>
          <t>国家</t>
        </is>
      </c>
      <c r="N87" s="341" t="inlineStr">
        <is>
          <t>N/A</t>
        </is>
      </c>
      <c r="O87" s="341" t="inlineStr">
        <is>
          <t>31/12/2014</t>
        </is>
      </c>
      <c r="P87" s="341" t="inlineStr">
        <is>
          <t>01/01/2016</t>
        </is>
      </c>
      <c r="Q87" s="341" t="inlineStr">
        <is>
          <t>N/A</t>
        </is>
      </c>
      <c r="R87" s="341" t="inlineStr">
        <is>
          <t>29/04/2024</t>
        </is>
      </c>
      <c r="S87" s="341" t="inlineStr">
        <is>
          <t>2024年4月29日发布GB 31335-2024，整合替代GB 31335-2014、GB 31336-2014和GB 31337-2014，将铁矿露天开采、地下开采和选矿三部标准合并为一项，增加能耗限额等级，更新各级能耗限额指标。</t>
        </is>
      </c>
      <c r="T87" s="341">
        <f>IF(P87="","生效",IF(P87="N/A","生效",IF(TODAY()&lt;DATE(VALUE(RIGHT(P87,4)),VALUE(MID(P87,4,2)),VALUE(LEFT(P87,2))),"计划实施",IF(Q87="","生效",IF(Q87="N/A","生效",IF(TODAY()&lt;DATE(VALUE(RIGHT(Q87,4)),VALUE(MID(Q87,4,2)),VALUE(LEFT(Q87,2))),"生效","已终止"))))))</f>
        <v/>
      </c>
      <c r="U87" s="341" t="inlineStr">
        <is>
          <t>国家市场监督管理总局；国家标准化管理委员会</t>
        </is>
      </c>
      <c r="V87" s="341" t="inlineStr">
        <is>
          <t>铁矿开采和选矿生产系统</t>
        </is>
      </c>
      <c r="W87" s="341" t="inlineStr">
        <is>
          <t>新建；既有</t>
        </is>
      </c>
      <c r="X87" s="341" t="inlineStr">
        <is>
          <t>铁矿露天开采系统、地下开采系统和选矿系统（包括破碎、磨矿、磁选/浮选等工序及辅助生产系统）。按开采方式（露天/地下）和矿石类型分别设定能耗限额。</t>
        </is>
      </c>
      <c r="Y87" s="341" t="inlineStr">
        <is>
          <t>N/A</t>
        </is>
      </c>
      <c r="Z87" s="341" t="inlineStr">
        <is>
          <t>N/A</t>
        </is>
      </c>
      <c r="AA87" s="341" t="inlineStr">
        <is>
          <t>企业</t>
        </is>
      </c>
      <c r="AB87" s="341" t="inlineStr">
        <is>
          <t>在中国境内运营铁矿开采或选矿生产系统的企业。</t>
        </is>
      </c>
      <c r="AC87" s="341" t="inlineStr">
        <is>
          <t>生产</t>
        </is>
      </c>
      <c r="AD87" s="341" t="inlineStr">
        <is>
          <t>铁矿开采和选矿生产系统的运行活动。现有企业须达到3级限定值，新建及改扩建企业须达到2级准入值。</t>
        </is>
      </c>
      <c r="AE87" s="341" t="inlineStr">
        <is>
          <t>3级</t>
        </is>
      </c>
      <c r="AF87" s="341" t="inlineStr">
        <is>
          <t>能耗限额等级</t>
        </is>
      </c>
      <c r="AG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H87" s="341" t="inlineStr">
        <is>
          <t>1）现有铁矿开采和选矿企业须达到3级限定值方可继续运营，未达标者须限期改造或淘汰；2）新建及改扩建项目须达到2级准入值方可投产；3）1级先进值用于引导行业节能标杆。</t>
        </is>
      </c>
      <c r="AI87" s="341" t="inlineStr">
        <is>
          <t>N/A</t>
        </is>
      </c>
      <c r="AJ87" s="341" t="inlineStr">
        <is>
          <t>N/A</t>
        </is>
      </c>
      <c r="AK87" s="341" t="inlineStr">
        <is>
          <t>政府机构开展的监督检查；企业能耗数据报告</t>
        </is>
      </c>
      <c r="AL87" s="341" t="inlineStr">
        <is>
          <t>市场监督管理部门对铁矿开采和选矿企业进行能耗限额标准执行情况监督检查；企业须按规定报送年度能源消耗数据，接受节能监察。</t>
        </is>
      </c>
      <c r="AM87" s="341" t="inlineStr">
        <is>
          <t>合规命令；罚款；差别化电价；淘汰关停</t>
        </is>
      </c>
      <c r="AN87" s="341" t="inlineStr">
        <is>
          <t>对不符合强制性能耗限额标准的铁矿开采或选矿企业，由相关部门责令限期整改，逾期未完成整改或整改后仍不达标的，纳入差别化电价范围并依法予以淘汰关停。</t>
        </is>
      </c>
      <c r="AO87" s="341" t="inlineStr">
        <is>
          <t>其他激励或支持</t>
        </is>
      </c>
      <c r="AP87" s="341" t="inlineStr">
        <is>
          <t>国家鼓励铁矿开采和选矿企业对标1级先进值开展节能降碳改造，通过节能审查和绿色矿山建设引导和支持先进产能提升。</t>
        </is>
      </c>
      <c r="AQ87" s="341" t="inlineStr">
        <is>
          <t>N/A</t>
        </is>
      </c>
      <c r="AR87" s="341" t="inlineStr">
        <is>
          <t>N/A</t>
        </is>
      </c>
      <c r="AS87" s="341" t="inlineStr">
        <is>
          <t>B07</t>
        </is>
      </c>
      <c r="AT87" s="341" t="inlineStr">
        <is>
          <t>CO2</t>
        </is>
      </c>
      <c r="AU87" s="341" t="inlineStr">
        <is>
          <t>正向</t>
        </is>
      </c>
      <c r="AV87" s="341" t="inlineStr">
        <is>
          <t>节能</t>
        </is>
      </c>
      <c r="AW87" s="341" t="inlineStr">
        <is>
          <t>GB 31335-2024 铁矿开采和选矿单位产品能源消耗限额</t>
        </is>
      </c>
      <c r="AX87" s="341" t="inlineStr">
        <is>
          <t>https://openstd.samr.gov.cn/bzgk/std/newGbInfo?hcno=B985E2A3DA5542C77F6E914DA69908C4</t>
        </is>
      </c>
      <c r="AY87" s="341" t="inlineStr">
        <is>
          <t>GB 31335-2014（旧版，铁矿露天开采）、GB 31336-2014（旧版，铁矿地下开采）、GB 31337-2014（旧版，铁矿选矿）：https://openstd.samr.gov.cn/bzgk/std/nd?no=2142</t>
        </is>
      </c>
      <c r="AZ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t>
        </is>
      </c>
      <c r="L88" s="341" t="inlineStr">
        <is>
          <t>直接</t>
        </is>
      </c>
      <c r="M88" s="341" t="inlineStr">
        <is>
          <t>国家</t>
        </is>
      </c>
      <c r="N88" s="341" t="inlineStr">
        <is>
          <t>N/A</t>
        </is>
      </c>
      <c r="O88" s="341" t="inlineStr">
        <is>
          <t>30/06/2015</t>
        </is>
      </c>
      <c r="P88" s="341" t="inlineStr">
        <is>
          <t>01/07/2016</t>
        </is>
      </c>
      <c r="Q88" s="341" t="inlineStr">
        <is>
          <t>N/A</t>
        </is>
      </c>
      <c r="R88" s="341" t="inlineStr">
        <is>
          <t>29/04/2024</t>
        </is>
      </c>
      <c r="S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T88" s="341">
        <f>IF(P88="","生效",IF(P88="N/A","生效",IF(TODAY()&lt;DATE(VALUE(RIGHT(P88,4)),VALUE(MID(P88,4,2)),VALUE(LEFT(P88,2))),"计划实施",IF(Q88="","生效",IF(Q88="N/A","生效",IF(TODAY()&lt;DATE(VALUE(RIGHT(Q88,4)),VALUE(MID(Q88,4,2)),VALUE(LEFT(Q88,2))),"生效","已终止"))))))</f>
        <v/>
      </c>
      <c r="U88" s="341" t="inlineStr">
        <is>
          <t>国家市场监督管理总局；国家标准化管理委员会</t>
        </is>
      </c>
      <c r="V88" s="341" t="inlineStr">
        <is>
          <t>制浆造纸生产装置</t>
        </is>
      </c>
      <c r="W88" s="341" t="inlineStr">
        <is>
          <t>新建；既有</t>
        </is>
      </c>
      <c r="X88" s="341" t="inlineStr">
        <is>
          <t>以植物纤维为主要原料的化学浆、机械浆、化学机械浆和废纸浆等纸浆生产装置，以及机制纸和纸板生产装置，包括备料、蒸煮/磨浆、洗涤筛选、漂白、造纸等主要工序及辅助生产系统。</t>
        </is>
      </c>
      <c r="Y88" s="341" t="inlineStr">
        <is>
          <t>N/A</t>
        </is>
      </c>
      <c r="Z88" s="341" t="inlineStr">
        <is>
          <t>N/A</t>
        </is>
      </c>
      <c r="AA88" s="341" t="inlineStr">
        <is>
          <t>企业</t>
        </is>
      </c>
      <c r="AB88" s="341" t="inlineStr">
        <is>
          <t>在中国境内运营制浆造纸生产装置的企业。</t>
        </is>
      </c>
      <c r="AC88" s="341" t="inlineStr">
        <is>
          <t>生产</t>
        </is>
      </c>
      <c r="AD88" s="341" t="inlineStr">
        <is>
          <t>制浆造纸生产装置的运行活动。现有企业须达到3级限定值，新建及改扩建企业须达到2级准入值。</t>
        </is>
      </c>
      <c r="AE88" s="341" t="inlineStr">
        <is>
          <t>3级</t>
        </is>
      </c>
      <c r="AF88" s="341" t="inlineStr">
        <is>
          <t>能耗限额等级</t>
        </is>
      </c>
      <c r="AG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H88" s="341" t="inlineStr">
        <is>
          <t>1）现有制浆造纸企业须达到3级限定值方可继续运营，未达标者须限期改造或淘汰；2）新建及改扩建项目须达到2级准入值方可投产；3）1级先进值用于引导行业节能标杆。</t>
        </is>
      </c>
      <c r="AI88" s="341" t="inlineStr">
        <is>
          <t>N/A</t>
        </is>
      </c>
      <c r="AJ88" s="341" t="inlineStr">
        <is>
          <t>N/A</t>
        </is>
      </c>
      <c r="AK88" s="341" t="inlineStr">
        <is>
          <t>政府机构开展的监督检查；企业能耗数据报告</t>
        </is>
      </c>
      <c r="AL88" s="341" t="inlineStr">
        <is>
          <t>市场监督管理部门对制浆造纸生产企业进行能耗限额标准执行情况监督检查；企业须按规定报送年度能源消耗数据，接受节能监察。</t>
        </is>
      </c>
      <c r="AM88" s="341" t="inlineStr">
        <is>
          <t>合规命令；罚款；差别化电价；淘汰关停</t>
        </is>
      </c>
      <c r="AN88" s="341" t="inlineStr">
        <is>
          <t>对不符合强制性能耗限额标准的制浆造纸生产企业，由相关部门责令限期整改，逾期未完成整改或整改后仍不达标的，纳入差别化电价范围并依法予以淘汰关停。</t>
        </is>
      </c>
      <c r="AO88" s="341" t="inlineStr">
        <is>
          <t>其他激励或支持</t>
        </is>
      </c>
      <c r="AP88" s="341" t="inlineStr">
        <is>
          <t>国家鼓励制浆造纸生产企业对标1级先进值开展节能降碳改造，通过节能审查和绿色工厂认定引导和支持先进产能提升。</t>
        </is>
      </c>
      <c r="AQ88" s="341" t="inlineStr">
        <is>
          <t>N/A</t>
        </is>
      </c>
      <c r="AR88" s="341" t="inlineStr">
        <is>
          <t>N/A</t>
        </is>
      </c>
      <c r="AS88" s="341" t="inlineStr">
        <is>
          <t>C17</t>
        </is>
      </c>
      <c r="AT88" s="341" t="inlineStr">
        <is>
          <t>CO2</t>
        </is>
      </c>
      <c r="AU88" s="341" t="inlineStr">
        <is>
          <t>正向</t>
        </is>
      </c>
      <c r="AV88" s="341" t="inlineStr">
        <is>
          <t>节能</t>
        </is>
      </c>
      <c r="AW88" s="341" t="inlineStr">
        <is>
          <t>GB 31825-2024 制浆造纸单位产品能源消耗限额</t>
        </is>
      </c>
      <c r="AX88" s="341" t="inlineStr">
        <is>
          <t>https://openstd.samr.gov.cn/bzgk/std/newGbInfo?hcno=27B824B792BB0BC1CF30980AE3411F9B</t>
        </is>
      </c>
      <c r="AY88" s="341" t="inlineStr">
        <is>
          <t>GB 31825-2015（旧版）：https://openstd.samr.gov.cn/bzgk/std/nd?no=2142</t>
        </is>
      </c>
      <c r="AZ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t>
        </is>
      </c>
      <c r="L89" s="341" t="inlineStr">
        <is>
          <t>直接</t>
        </is>
      </c>
      <c r="M89" s="341" t="inlineStr">
        <is>
          <t>国家</t>
        </is>
      </c>
      <c r="N89" s="341" t="inlineStr">
        <is>
          <t>N/A</t>
        </is>
      </c>
      <c r="O89" s="341" t="inlineStr">
        <is>
          <t>31/12/2012</t>
        </is>
      </c>
      <c r="P89" s="341" t="inlineStr">
        <is>
          <t>01/10/2013</t>
        </is>
      </c>
      <c r="Q89" s="341" t="inlineStr">
        <is>
          <t>N/A</t>
        </is>
      </c>
      <c r="R89" s="341" t="inlineStr">
        <is>
          <t>29/04/2024</t>
        </is>
      </c>
      <c r="S89" s="341" t="inlineStr">
        <is>
          <t>2024年4月29日发布GB 29140-2024替代GB 29140-2012，增加天然碱法产品能耗限额要求，增加能耗限额等级，更改能耗统计范围及计算方法，删除节能管理与措施章节。</t>
        </is>
      </c>
      <c r="T89" s="341">
        <f>IF(P89="","生效",IF(P89="N/A","生效",IF(TODAY()&lt;DATE(VALUE(RIGHT(P89,4)),VALUE(MID(P89,4,2)),VALUE(LEFT(P89,2))),"计划实施",IF(Q89="","生效",IF(Q89="N/A","生效",IF(TODAY()&lt;DATE(VALUE(RIGHT(Q89,4)),VALUE(MID(Q89,4,2)),VALUE(LEFT(Q89,2))),"生效","已终止"))))))</f>
        <v/>
      </c>
      <c r="U89" s="341" t="inlineStr">
        <is>
          <t>国家市场监督管理总局；国家标准化管理委员会</t>
        </is>
      </c>
      <c r="V89" s="341" t="inlineStr">
        <is>
          <t>纯碱生产装置</t>
        </is>
      </c>
      <c r="W89" s="341" t="inlineStr">
        <is>
          <t>新建；既有</t>
        </is>
      </c>
      <c r="X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Y89" s="341" t="inlineStr">
        <is>
          <t>N/A</t>
        </is>
      </c>
      <c r="Z89" s="341" t="inlineStr">
        <is>
          <t>N/A</t>
        </is>
      </c>
      <c r="AA89" s="341" t="inlineStr">
        <is>
          <t>企业</t>
        </is>
      </c>
      <c r="AB89" s="341" t="inlineStr">
        <is>
          <t>在中国境内运营纯碱生产装置的企业。</t>
        </is>
      </c>
      <c r="AC89" s="341" t="inlineStr">
        <is>
          <t>生产</t>
        </is>
      </c>
      <c r="AD89" s="341" t="inlineStr">
        <is>
          <t>纯碱生产装置的运行活动。现有企业须达到3级限定值，新建及改扩建企业须达到2级准入值。</t>
        </is>
      </c>
      <c r="AE89" s="341" t="inlineStr">
        <is>
          <t>3级</t>
        </is>
      </c>
      <c r="AF89" s="341" t="inlineStr">
        <is>
          <t>能耗限额等级</t>
        </is>
      </c>
      <c r="AG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H89" s="341" t="inlineStr">
        <is>
          <t>1）现有纯碱生产企业须达到3级限定值方可继续运营，未达标者须限期改造或淘汰；2）新建及改扩建项目须达到2级准入值方可投产；3）1级先进值用于引导行业节能标杆。</t>
        </is>
      </c>
      <c r="AI89" s="341" t="inlineStr">
        <is>
          <t>N/A</t>
        </is>
      </c>
      <c r="AJ89" s="341" t="inlineStr">
        <is>
          <t>N/A</t>
        </is>
      </c>
      <c r="AK89" s="341" t="inlineStr">
        <is>
          <t>政府机构开展的监督检查；企业能耗数据报告</t>
        </is>
      </c>
      <c r="AL89" s="341" t="inlineStr">
        <is>
          <t>市场监督管理部门对纯碱生产企业进行能耗限额标准执行情况监督检查；企业须按规定报送年度能源消耗数据，接受节能监察。</t>
        </is>
      </c>
      <c r="AM89" s="341" t="inlineStr">
        <is>
          <t>合规命令；罚款；差别化电价；淘汰关停</t>
        </is>
      </c>
      <c r="AN89" s="341" t="inlineStr">
        <is>
          <t>对不符合强制性能耗限额标准的纯碱生产企业，由相关部门责令限期整改，逾期未完成整改或整改后仍不达标的，纳入差别化电价范围并依法予以淘汰关停。</t>
        </is>
      </c>
      <c r="AO89" s="341" t="inlineStr">
        <is>
          <t>其他激励或支持</t>
        </is>
      </c>
      <c r="AP89" s="341" t="inlineStr">
        <is>
          <t>国家鼓励纯碱生产企业对标1级先进值开展节能降碳改造，通过节能审查和绿色工厂认定引导和支持先进产能提升。</t>
        </is>
      </c>
      <c r="AQ89" s="341" t="inlineStr">
        <is>
          <t>N/A</t>
        </is>
      </c>
      <c r="AR89" s="341" t="inlineStr">
        <is>
          <t>N/A</t>
        </is>
      </c>
      <c r="AS89" s="341" t="inlineStr">
        <is>
          <t>C20</t>
        </is>
      </c>
      <c r="AT89" s="341" t="inlineStr">
        <is>
          <t>CO2</t>
        </is>
      </c>
      <c r="AU89" s="341" t="inlineStr">
        <is>
          <t>正向</t>
        </is>
      </c>
      <c r="AV89" s="341" t="inlineStr">
        <is>
          <t>节能</t>
        </is>
      </c>
      <c r="AW89" s="341" t="inlineStr">
        <is>
          <t>GB 29140-2024 纯碱单位产品能源消耗限额</t>
        </is>
      </c>
      <c r="AX89" s="341" t="inlineStr">
        <is>
          <t>https://openstd.samr.gov.cn/bzgk/std/newGbInfo?hcno=443C1068D42AF5D7B5F73076352B5068</t>
        </is>
      </c>
      <c r="AY89" s="341" t="inlineStr">
        <is>
          <t>GB 29140-2012（旧版）：https://openstd.samr.gov.cn/bzgk/std/nd?no=2142</t>
        </is>
      </c>
      <c r="AZ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t>
        </is>
      </c>
      <c r="L90" s="341" t="inlineStr">
        <is>
          <t>直接</t>
        </is>
      </c>
      <c r="M90" s="341" t="inlineStr">
        <is>
          <t>国家</t>
        </is>
      </c>
      <c r="N90" s="341" t="inlineStr">
        <is>
          <t>N/A</t>
        </is>
      </c>
      <c r="O90" s="341" t="inlineStr">
        <is>
          <t>28/04/2014</t>
        </is>
      </c>
      <c r="P90" s="341" t="inlineStr">
        <is>
          <t>01/01/2015</t>
        </is>
      </c>
      <c r="Q90" s="341" t="inlineStr">
        <is>
          <t>N/A</t>
        </is>
      </c>
      <c r="R90" s="341" t="inlineStr">
        <is>
          <t>29/04/2024</t>
        </is>
      </c>
      <c r="S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T90" s="341">
        <f>IF(P90="","生效",IF(P90="N/A","生效",IF(TODAY()&lt;DATE(VALUE(RIGHT(P90,4)),VALUE(MID(P90,4,2)),VALUE(LEFT(P90,2))),"计划实施",IF(Q90="","生效",IF(Q90="N/A","生效",IF(TODAY()&lt;DATE(VALUE(RIGHT(Q90,4)),VALUE(MID(Q90,4,2)),VALUE(LEFT(Q90,2))),"生效","已终止"))))))</f>
        <v/>
      </c>
      <c r="U90" s="341" t="inlineStr">
        <is>
          <t>国家市场监督管理总局；国家标准化管理委员会</t>
        </is>
      </c>
      <c r="V90" s="341" t="inlineStr">
        <is>
          <t>二甲基硅氧烷生产装置</t>
        </is>
      </c>
      <c r="W90" s="341" t="inlineStr">
        <is>
          <t>新建；既有</t>
        </is>
      </c>
      <c r="X90" s="341" t="inlineStr">
        <is>
          <t>以硅粉、氯甲烷等为原料，通过直接法合成甲基氯硅烷、经精馏、水解、裂解等工序生产有机硅环体（二甲基环硅氧烷，DMC）的生产装置，包括单体合成、精馏、水解、裂解等主要工序及辅助生产系统。</t>
        </is>
      </c>
      <c r="Y90" s="341" t="inlineStr">
        <is>
          <t>N/A</t>
        </is>
      </c>
      <c r="Z90" s="341" t="inlineStr">
        <is>
          <t>N/A</t>
        </is>
      </c>
      <c r="AA90" s="341" t="inlineStr">
        <is>
          <t>企业</t>
        </is>
      </c>
      <c r="AB90" s="341" t="inlineStr">
        <is>
          <t>在中国境内运营二甲基硅氧烷生产装置的企业。</t>
        </is>
      </c>
      <c r="AC90" s="341" t="inlineStr">
        <is>
          <t>生产</t>
        </is>
      </c>
      <c r="AD90" s="341" t="inlineStr">
        <is>
          <t>二甲基硅氧烷生产装置的运行活动。现有企业须达到3级限定值，新建及改扩建企业须达到2级准入值。</t>
        </is>
      </c>
      <c r="AE90" s="341" t="inlineStr">
        <is>
          <t>3级</t>
        </is>
      </c>
      <c r="AF90" s="341" t="inlineStr">
        <is>
          <t>能耗限额等级</t>
        </is>
      </c>
      <c r="AG90" s="341" t="inlineStr">
        <is>
          <t>能耗限额等级分为3级（1级最低即最先进），3级为限定值（存量企业最低要求），2级为准入值（新建及改扩建项目要求），1级为先进值。以单位产品综合能耗（kgce/t）为评价指标。二甲基硅氧烷（DMC）：3级≤1100，2级≤970，1级≤870。</t>
        </is>
      </c>
      <c r="AH90" s="341" t="inlineStr">
        <is>
          <t>1）现有二甲基硅氧烷生产企业须达到3级限定值方可继续运营，未达标者须限期改造或淘汰；2）新建及改扩建项目须达到2级准入值方可投产；3）1级先进值用于引导行业节能标杆。</t>
        </is>
      </c>
      <c r="AI90" s="341" t="inlineStr">
        <is>
          <t>N/A</t>
        </is>
      </c>
      <c r="AJ90" s="341" t="inlineStr">
        <is>
          <t>N/A</t>
        </is>
      </c>
      <c r="AK90" s="341" t="inlineStr">
        <is>
          <t>政府机构开展的监督检查；企业能耗数据报告</t>
        </is>
      </c>
      <c r="AL90" s="341" t="inlineStr">
        <is>
          <t>市场监督管理部门对二甲基硅氧烷生产企业进行能耗限额标准执行情况监督检查；企业须按规定报送年度能源消耗数据，接受节能监察。</t>
        </is>
      </c>
      <c r="AM90" s="341" t="inlineStr">
        <is>
          <t>合规命令；罚款；差别化电价；淘汰关停</t>
        </is>
      </c>
      <c r="AN90" s="341" t="inlineStr">
        <is>
          <t>对不符合强制性能耗限额标准的二甲基硅氧烷生产企业，由相关部门责令限期整改，逾期未完成整改或整改后仍不达标的，纳入差别化电价范围并依法予以淘汰关停。</t>
        </is>
      </c>
      <c r="AO90" s="341" t="inlineStr">
        <is>
          <t>其他激励或支持</t>
        </is>
      </c>
      <c r="AP90" s="341" t="inlineStr">
        <is>
          <t>国家鼓励二甲基硅氧烷生产企业对标1级先进值开展节能降碳改造，通过节能审查和绿色工厂认定引导和支持先进产能提升。</t>
        </is>
      </c>
      <c r="AQ90" s="341" t="inlineStr">
        <is>
          <t>N/A</t>
        </is>
      </c>
      <c r="AR90" s="341" t="inlineStr">
        <is>
          <t>N/A</t>
        </is>
      </c>
      <c r="AS90" s="341" t="inlineStr">
        <is>
          <t>C20</t>
        </is>
      </c>
      <c r="AT90" s="341" t="inlineStr">
        <is>
          <t>CO2</t>
        </is>
      </c>
      <c r="AU90" s="341" t="inlineStr">
        <is>
          <t>正向</t>
        </is>
      </c>
      <c r="AV90" s="341" t="inlineStr">
        <is>
          <t>节能</t>
        </is>
      </c>
      <c r="AW90" s="341" t="inlineStr">
        <is>
          <t>GB 30530-2024 二甲基硅氧烷单位产品能源消耗限额</t>
        </is>
      </c>
      <c r="AX90" s="341" t="inlineStr">
        <is>
          <t>https://openstd.samr.gov.cn/bzgk/std/newGbInfo?hcno=148219F6F63F168626D4CDDFD525F9D2</t>
        </is>
      </c>
      <c r="AY90" s="341" t="inlineStr">
        <is>
          <t>GB 30530-2014（旧版，称《有机硅环体单位产品能源消耗限额》）：https://openstd.samr.gov.cn/bzgk/std/nd?no=2142</t>
        </is>
      </c>
      <c r="AZ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t>
        </is>
      </c>
      <c r="L91" s="341" t="inlineStr">
        <is>
          <t>直接</t>
        </is>
      </c>
      <c r="M91" s="341" t="inlineStr">
        <is>
          <t>国家</t>
        </is>
      </c>
      <c r="N91" s="341" t="inlineStr">
        <is>
          <t>N/A</t>
        </is>
      </c>
      <c r="O91" s="341" t="inlineStr">
        <is>
          <t>18/12/2013</t>
        </is>
      </c>
      <c r="P91" s="341" t="inlineStr">
        <is>
          <t>01/09/2014</t>
        </is>
      </c>
      <c r="Q91" s="341" t="inlineStr">
        <is>
          <t>N/A</t>
        </is>
      </c>
      <c r="R91" s="341" t="inlineStr">
        <is>
          <t>29/04/2024</t>
        </is>
      </c>
      <c r="S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T91" s="341">
        <f>IF(P91="","生效",IF(P91="N/A","生效",IF(TODAY()&lt;DATE(VALUE(RIGHT(P91,4)),VALUE(MID(P91,4,2)),VALUE(LEFT(P91,2))),"计划实施",IF(Q91="","生效",IF(Q91="N/A","生效",IF(TODAY()&lt;DATE(VALUE(RIGHT(Q91,4)),VALUE(MID(Q91,4,2)),VALUE(LEFT(Q91,2))),"生效","已终止"))))))</f>
        <v/>
      </c>
      <c r="U91" s="341" t="inlineStr">
        <is>
          <t>国家市场监督管理总局；国家标准化管理委员会</t>
        </is>
      </c>
      <c r="V91" s="341" t="inlineStr">
        <is>
          <t>炼油和石化生产装置</t>
        </is>
      </c>
      <c r="W91" s="341" t="inlineStr">
        <is>
          <t>新建；既有</t>
        </is>
      </c>
      <c r="X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Y91" s="341" t="inlineStr">
        <is>
          <t>N/A</t>
        </is>
      </c>
      <c r="Z91" s="341" t="inlineStr">
        <is>
          <t>N/A</t>
        </is>
      </c>
      <c r="AA91" s="341" t="inlineStr">
        <is>
          <t>企业</t>
        </is>
      </c>
      <c r="AB91" s="341" t="inlineStr">
        <is>
          <t>在中国境内运营炼油或石化生产装置的企业。</t>
        </is>
      </c>
      <c r="AC91" s="341" t="inlineStr">
        <is>
          <t>生产</t>
        </is>
      </c>
      <c r="AD91" s="341" t="inlineStr">
        <is>
          <t>炼油和石化生产装置的运行活动。现有企业须达到3级限定值，新建及改扩建企业须达到2级准入值。</t>
        </is>
      </c>
      <c r="AE91" s="341" t="inlineStr">
        <is>
          <t>3级</t>
        </is>
      </c>
      <c r="AF91" s="341" t="inlineStr">
        <is>
          <t>能耗限额等级</t>
        </is>
      </c>
      <c r="AG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H91" s="341" t="inlineStr">
        <is>
          <t>1）现有炼油和石化生产企业须达到3级限定值方可继续运营，未达标者须限期改造或淘汰；2）新建及改扩建项目须达到2级准入值方可投产；3）1级先进值用于引导行业节能标杆。</t>
        </is>
      </c>
      <c r="AI91" s="341" t="inlineStr">
        <is>
          <t>N/A</t>
        </is>
      </c>
      <c r="AJ91" s="341" t="inlineStr">
        <is>
          <t>N/A</t>
        </is>
      </c>
      <c r="AK91" s="341" t="inlineStr">
        <is>
          <t>政府机构开展的监督检查；企业能耗数据报告</t>
        </is>
      </c>
      <c r="AL91" s="341" t="inlineStr">
        <is>
          <t>市场监督管理部门和能源主管部门对炼油和石化生产企业进行能耗限额标准执行情况监督检查；企业须按规定报送年度能源消耗数据，接受节能监察。</t>
        </is>
      </c>
      <c r="AM91" s="341" t="inlineStr">
        <is>
          <t>合规命令；罚款；差别化电价；淘汰关停</t>
        </is>
      </c>
      <c r="AN91" s="341" t="inlineStr">
        <is>
          <t>对不符合强制性能耗限额标准的炼油或石化生产企业，由相关部门责令限期整改，逾期未完成整改或整改后仍不达标的，纳入差别化电价范围并依法予以淘汰关停。</t>
        </is>
      </c>
      <c r="AO91" s="341" t="inlineStr">
        <is>
          <t>其他激励或支持</t>
        </is>
      </c>
      <c r="AP91" s="341" t="inlineStr">
        <is>
          <t>国家鼓励炼油和石化生产企业对标1级先进值开展节能降碳改造，通过节能审查和行业能效领跑者引导和支持先进产能提升。</t>
        </is>
      </c>
      <c r="AQ91" s="341" t="inlineStr">
        <is>
          <t>N/A</t>
        </is>
      </c>
      <c r="AR91" s="341" t="inlineStr">
        <is>
          <t>N/A</t>
        </is>
      </c>
      <c r="AS91" s="341" t="inlineStr">
        <is>
          <t>C19</t>
        </is>
      </c>
      <c r="AT91" s="341" t="inlineStr">
        <is>
          <t>CO2</t>
        </is>
      </c>
      <c r="AU91" s="341" t="inlineStr">
        <is>
          <t>正向</t>
        </is>
      </c>
      <c r="AV91" s="341" t="inlineStr">
        <is>
          <t>节能；污染防治</t>
        </is>
      </c>
      <c r="AW91" s="341" t="inlineStr">
        <is>
          <t>GB 30251-2024 炼化行业单位产品能源消耗限额</t>
        </is>
      </c>
      <c r="AX91" s="341" t="inlineStr">
        <is>
          <t>https://openstd.samr.gov.cn/bzgk/std/newGbInfo?hcno=C435B949AC4E107A19887F687477642F</t>
        </is>
      </c>
      <c r="AY91" s="341" t="inlineStr">
        <is>
          <t>GB 30251-2013（旧版，炼油）、GB 30250-2013（旧版，乙烯）、GB 31533-2015（旧版，PTA）、GB 31534-2015（旧版，PX）、GB 31826-2015（旧版，聚丙烯）、GB 32053-2015（旧版，苯乙烯）：https://openstd.samr.gov.cn/bzgk/std/nd?no=2142</t>
        </is>
      </c>
      <c r="AZ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t>
        </is>
      </c>
      <c r="L92" s="341" t="inlineStr">
        <is>
          <t>直接</t>
        </is>
      </c>
      <c r="M92" s="341" t="inlineStr">
        <is>
          <t>国家</t>
        </is>
      </c>
      <c r="N92" s="341" t="inlineStr">
        <is>
          <t>N/A</t>
        </is>
      </c>
      <c r="O92" s="341" t="inlineStr">
        <is>
          <t>09/01/2008</t>
        </is>
      </c>
      <c r="P92" s="341" t="inlineStr">
        <is>
          <t>01/06/2008</t>
        </is>
      </c>
      <c r="Q92" s="341" t="inlineStr">
        <is>
          <t>N/A</t>
        </is>
      </c>
      <c r="R92" s="341" t="inlineStr">
        <is>
          <t>27/11/2023</t>
        </is>
      </c>
      <c r="S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T92" s="341">
        <f>IF(P92="","生效",IF(P92="N/A","生效",IF(TODAY()&lt;DATE(VALUE(RIGHT(P92,4)),VALUE(MID(P92,4,2)),VALUE(LEFT(P92,2))),"计划实施",IF(Q92="","生效",IF(Q92="N/A","生效",IF(TODAY()&lt;DATE(VALUE(RIGHT(Q92,4)),VALUE(MID(Q92,4,2)),VALUE(LEFT(Q92,2))),"生效","已终止"))))))</f>
        <v/>
      </c>
      <c r="U92" s="341" t="inlineStr">
        <is>
          <t>国家市场监督管理总局；国家标准化管理委员会</t>
        </is>
      </c>
      <c r="V92" s="341" t="inlineStr">
        <is>
          <t>电石、乙酸乙烯酯、聚乙烯醇、BDO、双氰胺和单氰胺生产装置</t>
        </is>
      </c>
      <c r="W92" s="341" t="inlineStr">
        <is>
          <t>新建；既有</t>
        </is>
      </c>
      <c r="X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Y92" s="341" t="inlineStr">
        <is>
          <t>N/A</t>
        </is>
      </c>
      <c r="Z92" s="341" t="inlineStr">
        <is>
          <t>N/A</t>
        </is>
      </c>
      <c r="AA92" s="341" t="inlineStr">
        <is>
          <t>企业</t>
        </is>
      </c>
      <c r="AB92" s="341" t="inlineStr">
        <is>
          <t>在中国境内运营电石、乙酸乙烯酯、聚乙烯醇、BDO、双氰胺或单氰胺生产装置的企业。</t>
        </is>
      </c>
      <c r="AC92" s="341" t="inlineStr">
        <is>
          <t>生产</t>
        </is>
      </c>
      <c r="AD92" s="341" t="inlineStr">
        <is>
          <t>电石、乙酸乙烯酯、聚乙烯醇、BDO、双氰胺和单氰胺生产装置的运行活动。现有企业须达到3级限定值，新建及改扩建企业须达到2级准入值。</t>
        </is>
      </c>
      <c r="AE92" s="341" t="inlineStr">
        <is>
          <t>3级</t>
        </is>
      </c>
      <c r="AF92" s="341" t="inlineStr">
        <is>
          <t>能耗限额等级</t>
        </is>
      </c>
      <c r="AG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H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I92" s="341" t="inlineStr">
        <is>
          <t>N/A</t>
        </is>
      </c>
      <c r="AJ92" s="341" t="inlineStr">
        <is>
          <t>N/A</t>
        </is>
      </c>
      <c r="AK92" s="341" t="inlineStr">
        <is>
          <t>政府机构开展的监督检查；企业能耗数据报告</t>
        </is>
      </c>
      <c r="AL92" s="341" t="inlineStr">
        <is>
          <t>市场监督管理部门对电石、乙酸乙烯酯、聚乙烯醇、BDO、双氰胺和单氰胺生产企业进行能耗限额标准执行情况监督检查；企业须按规定报送年度能源消耗数据，接受节能监察。</t>
        </is>
      </c>
      <c r="AM92" s="341" t="inlineStr">
        <is>
          <t>合规命令；罚款；差别化电价；淘汰关停</t>
        </is>
      </c>
      <c r="AN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O92" s="341" t="inlineStr">
        <is>
          <t>其他激励或支持</t>
        </is>
      </c>
      <c r="AP92" s="341" t="inlineStr">
        <is>
          <t>国家鼓励电石及下游产品生产企业对标1级先进值开展节能降碳改造，通过节能审查和绿色工厂认定引导和支持先进产能提升。</t>
        </is>
      </c>
      <c r="AQ92" s="341" t="inlineStr">
        <is>
          <t>N/A</t>
        </is>
      </c>
      <c r="AR92" s="341" t="inlineStr">
        <is>
          <t>N/A</t>
        </is>
      </c>
      <c r="AS92" s="341" t="inlineStr">
        <is>
          <t>C20</t>
        </is>
      </c>
      <c r="AT92" s="341" t="inlineStr">
        <is>
          <t>CO2</t>
        </is>
      </c>
      <c r="AU92" s="341" t="inlineStr">
        <is>
          <t>正向</t>
        </is>
      </c>
      <c r="AV92" s="341" t="inlineStr">
        <is>
          <t>节能</t>
        </is>
      </c>
      <c r="AW92" s="341" t="inlineStr">
        <is>
          <t>GB 21343-2023 电石、乙酸乙烯酯、聚乙烯醇、1，4-丁二醇、双氰胺和单氰胺单位产品能源消耗限额</t>
        </is>
      </c>
      <c r="AX92" s="341" t="inlineStr">
        <is>
          <t>https://openstd.samr.gov.cn/bzgk/std/newGbInfo?hcno=FF563286A9D6FB07A9EF006AC64EA266</t>
        </is>
      </c>
      <c r="AY92" s="341" t="inlineStr">
        <is>
          <t>GB 21343-2015（旧版，电石）、GB 30528-2014（旧版，聚乙烯醇）、GB 30529-2014（旧版，乙酸乙烯酯）、GB 31824-2015（旧版，1,4-丁二醇）：https://openstd.samr.gov.cn/bzgk/std/nd?no=2142</t>
        </is>
      </c>
      <c r="AZ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t>
        </is>
      </c>
      <c r="L93" s="341" t="inlineStr">
        <is>
          <t>直接</t>
        </is>
      </c>
      <c r="M93" s="341" t="inlineStr">
        <is>
          <t>国家</t>
        </is>
      </c>
      <c r="N93" s="341" t="inlineStr">
        <is>
          <t>N/A</t>
        </is>
      </c>
      <c r="O93" s="341" t="inlineStr">
        <is>
          <t>09/01/2008</t>
        </is>
      </c>
      <c r="P93" s="341" t="inlineStr">
        <is>
          <t>01/06/2008</t>
        </is>
      </c>
      <c r="Q93" s="341" t="inlineStr">
        <is>
          <t>N/A</t>
        </is>
      </c>
      <c r="R93" s="341" t="inlineStr">
        <is>
          <t>27/11/2023</t>
        </is>
      </c>
      <c r="S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T93" s="341">
        <f>IF(P93="","生效",IF(P93="N/A","生效",IF(TODAY()&lt;DATE(VALUE(RIGHT(P93,4)),VALUE(MID(P93,4,2)),VALUE(LEFT(P93,2))),"计划实施",IF(Q93="","生效",IF(Q93="N/A","生效",IF(TODAY()&lt;DATE(VALUE(RIGHT(Q93,4)),VALUE(MID(Q93,4,2)),VALUE(LEFT(Q93,2))),"生效","已终止"))))))</f>
        <v/>
      </c>
      <c r="U93" s="341" t="inlineStr">
        <is>
          <t>国家市场监督管理总局；国家标准化管理委员会</t>
        </is>
      </c>
      <c r="V93" s="341" t="inlineStr">
        <is>
          <t>化肥生产装置</t>
        </is>
      </c>
      <c r="W93" s="341" t="inlineStr">
        <is>
          <t>新建；既有</t>
        </is>
      </c>
      <c r="X93" s="341" t="inlineStr">
        <is>
          <t>合成氨生产装置（以无烟煤、烟煤、褐煤、天然气等为原料）、尿素生产装置、碳酸氢铵生产装置、磷酸一铵生产装置、磷酸二铵生产装置和硫酸钾生产装置。</t>
        </is>
      </c>
      <c r="Y93" s="341" t="inlineStr">
        <is>
          <t>N/A</t>
        </is>
      </c>
      <c r="Z93" s="341" t="inlineStr">
        <is>
          <t>N/A</t>
        </is>
      </c>
      <c r="AA93" s="341" t="inlineStr">
        <is>
          <t>企业</t>
        </is>
      </c>
      <c r="AB93" s="341" t="inlineStr">
        <is>
          <t>在中国境内运营合成氨、尿素、碳酸氢铵、磷酸一铵、磷酸二铵或硫酸钾生产装置的企业。</t>
        </is>
      </c>
      <c r="AC93" s="341" t="inlineStr">
        <is>
          <t>生产</t>
        </is>
      </c>
      <c r="AD93" s="341" t="inlineStr">
        <is>
          <t>化肥生产装置的运行活动。现有企业须达到3级限定值，新建及改扩建企业须达到2级准入值。</t>
        </is>
      </c>
      <c r="AE93" s="341" t="inlineStr">
        <is>
          <t>3级</t>
        </is>
      </c>
      <c r="AF93" s="341" t="inlineStr">
        <is>
          <t>能耗限额等级</t>
        </is>
      </c>
      <c r="AG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H93" s="341" t="inlineStr">
        <is>
          <t>1）现有化肥生产企业须达到3级限定值方可继续运营，未达标者须限期改造或淘汰；2）新建及改扩建项目须达到2级准入值方可投产；3）1级先进值用于引导行业节能标杆。</t>
        </is>
      </c>
      <c r="AI93" s="341" t="inlineStr">
        <is>
          <t>N/A</t>
        </is>
      </c>
      <c r="AJ93" s="341" t="inlineStr">
        <is>
          <t>N/A</t>
        </is>
      </c>
      <c r="AK93" s="341" t="inlineStr">
        <is>
          <t>政府机构开展的监督检查；企业能耗数据报告</t>
        </is>
      </c>
      <c r="AL93" s="341" t="inlineStr">
        <is>
          <t>市场监督管理部门对化肥生产企业进行能耗限额标准执行情况监督检查；企业须按规定报送年度能源消耗数据，接受节能监察。</t>
        </is>
      </c>
      <c r="AM93" s="341" t="inlineStr">
        <is>
          <t>合规命令；罚款；差别化电价；淘汰关停</t>
        </is>
      </c>
      <c r="AN93" s="341" t="inlineStr">
        <is>
          <t>对不符合强制性能耗限额标准的化肥生产企业，由相关部门责令限期整改，逾期未完成整改或整改后仍不达标的，纳入差别化电价范围并依法予以淘汰关停。</t>
        </is>
      </c>
      <c r="AO93" s="341" t="inlineStr">
        <is>
          <t>其他激励或支持</t>
        </is>
      </c>
      <c r="AP93" s="341" t="inlineStr">
        <is>
          <t>国家鼓励化肥生产企业对标1级先进值开展节能降碳改造，通过节能审查和绿色工厂认定引导和支持先进产能提升。</t>
        </is>
      </c>
      <c r="AQ93" s="341" t="inlineStr">
        <is>
          <t>N/A</t>
        </is>
      </c>
      <c r="AR93" s="341" t="inlineStr">
        <is>
          <t>N/A</t>
        </is>
      </c>
      <c r="AS93" s="341" t="inlineStr">
        <is>
          <t>C20</t>
        </is>
      </c>
      <c r="AT93" s="341" t="inlineStr">
        <is>
          <t>CO2</t>
        </is>
      </c>
      <c r="AU93" s="341" t="inlineStr">
        <is>
          <t>正向</t>
        </is>
      </c>
      <c r="AV93" s="341" t="inlineStr">
        <is>
          <t>节能</t>
        </is>
      </c>
      <c r="AW93" s="341" t="inlineStr">
        <is>
          <t>GB 21344-2023 化肥行业单位产品能源消耗限额</t>
        </is>
      </c>
      <c r="AX93" s="341" t="inlineStr">
        <is>
          <t>https://openstd.samr.gov.cn/bzgk/std/newGbInfo?hcno=4379F13AECC2F445EFDB629CDEB4A870</t>
        </is>
      </c>
      <c r="AY93" s="341" t="inlineStr">
        <is>
          <t>GB 21344-2015（旧版，合成氨）、GB 32035-2015（旧版，尿素）、GB 31829-2015（旧版，碳酸氢铵）、GB 29138-2012（旧版，磷酸一铵）、GB 29139-2012（旧版，磷酸二铵）、GB 29439-2012（旧版，硫酸钾）：https://openstd.samr.gov.cn/bzgk/std/nd?no=2142</t>
        </is>
      </c>
      <c r="AZ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t>
        </is>
      </c>
      <c r="L94" s="341" t="inlineStr">
        <is>
          <t>直接</t>
        </is>
      </c>
      <c r="M94" s="341" t="inlineStr">
        <is>
          <t>国家</t>
        </is>
      </c>
      <c r="N94" s="341" t="inlineStr">
        <is>
          <t>N/A</t>
        </is>
      </c>
      <c r="O94" s="341" t="inlineStr">
        <is>
          <t>31/12/2012</t>
        </is>
      </c>
      <c r="P94" s="341" t="inlineStr">
        <is>
          <t>01/10/2013</t>
        </is>
      </c>
      <c r="Q94" s="341" t="inlineStr">
        <is>
          <t>N/A</t>
        </is>
      </c>
      <c r="R94" s="341" t="inlineStr">
        <is>
          <t>27/11/2023</t>
        </is>
      </c>
      <c r="S94" s="341" t="inlineStr">
        <is>
          <t>2023年11月27日发布GB 29145-2023，整合替代GB 29145-2012（焙烧钼精矿）、GB 29146-2012（钼精矿）和GB 31340-2014（钨精矿），将钨精矿、钼精矿和焙烧钼精矿三项能耗限额标准整合为一，更新各级能耗限额指标。</t>
        </is>
      </c>
      <c r="T94" s="341">
        <f>IF(P94="","生效",IF(P94="N/A","生效",IF(TODAY()&lt;DATE(VALUE(RIGHT(P94,4)),VALUE(MID(P94,4,2)),VALUE(LEFT(P94,2))),"计划实施",IF(Q94="","生效",IF(Q94="N/A","生效",IF(TODAY()&lt;DATE(VALUE(RIGHT(Q94,4)),VALUE(MID(Q94,4,2)),VALUE(LEFT(Q94,2))),"生效","已终止"))))))</f>
        <v/>
      </c>
      <c r="U94" s="341" t="inlineStr">
        <is>
          <t>国家市场监督管理总局；国家标准化管理委员会</t>
        </is>
      </c>
      <c r="V94" s="341" t="inlineStr">
        <is>
          <t>钨精矿、钼精矿和焙烧钼精矿生产系统</t>
        </is>
      </c>
      <c r="W94" s="341" t="inlineStr">
        <is>
          <t>新建；既有</t>
        </is>
      </c>
      <c r="X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Y94" s="341" t="inlineStr">
        <is>
          <t>N/A</t>
        </is>
      </c>
      <c r="Z94" s="341" t="inlineStr">
        <is>
          <t>N/A</t>
        </is>
      </c>
      <c r="AA94" s="341" t="inlineStr">
        <is>
          <t>企业</t>
        </is>
      </c>
      <c r="AB94" s="341" t="inlineStr">
        <is>
          <t>在中国境内运营钨精矿、钼精矿或焙烧钼精矿生产系统的企业。</t>
        </is>
      </c>
      <c r="AC94" s="341" t="inlineStr">
        <is>
          <t>生产</t>
        </is>
      </c>
      <c r="AD94" s="341" t="inlineStr">
        <is>
          <t>钨精矿、钼精矿和焙烧钼精矿生产系统的运行活动。现有企业须达到3级限定值，新建及改扩建企业须达到2级准入值。</t>
        </is>
      </c>
      <c r="AE94" s="341" t="inlineStr">
        <is>
          <t>3级</t>
        </is>
      </c>
      <c r="AF94" s="341" t="inlineStr">
        <is>
          <t>能耗限额等级</t>
        </is>
      </c>
      <c r="AG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H94" s="341" t="inlineStr">
        <is>
          <t>1）现有钨精矿、钼精矿和焙烧钼精矿生产企业须达到3级限定值方可继续运营，未达标者须限期改造或淘汰；2）新建及改扩建项目须达到2级准入值方可投产；3）1级先进值用于引导行业节能标杆。</t>
        </is>
      </c>
      <c r="AI94" s="341" t="inlineStr">
        <is>
          <t>N/A</t>
        </is>
      </c>
      <c r="AJ94" s="341" t="inlineStr">
        <is>
          <t>N/A</t>
        </is>
      </c>
      <c r="AK94" s="341" t="inlineStr">
        <is>
          <t>政府机构开展的监督检查；企业能耗数据报告</t>
        </is>
      </c>
      <c r="AL94" s="341" t="inlineStr">
        <is>
          <t>市场监督管理部门和自然资源主管部门对钨精矿、钼精矿和焙烧钼精矿生产企业进行能耗限额标准执行情况监督检查；企业须按规定报送年度能源消耗数据，接受节能监察。</t>
        </is>
      </c>
      <c r="AM94" s="341" t="inlineStr">
        <is>
          <t>合规命令；罚款；差别化电价；淘汰关停</t>
        </is>
      </c>
      <c r="AN94" s="341" t="inlineStr">
        <is>
          <t>对不符合强制性能耗限额标准的钨精矿、钼精矿或焙烧钼精矿生产企业，由相关部门责令限期整改，逾期未完成整改或整改后仍不达标的，纳入差别化电价范围并依法予以淘汰关停。</t>
        </is>
      </c>
      <c r="AO94" s="341" t="inlineStr">
        <is>
          <t>其他激励或支持</t>
        </is>
      </c>
      <c r="AP94" s="341" t="inlineStr">
        <is>
          <t>国家鼓励钨精矿、钼精矿和焙烧钼精矿生产企业对标1级先进值开展节能降碳改造，通过节能审查和绿色矿山建设引导和支持先进产能提升。</t>
        </is>
      </c>
      <c r="AQ94" s="341" t="inlineStr">
        <is>
          <t>N/A</t>
        </is>
      </c>
      <c r="AR94" s="341" t="inlineStr">
        <is>
          <t>N/A</t>
        </is>
      </c>
      <c r="AS94" s="341" t="inlineStr">
        <is>
          <t>B07</t>
        </is>
      </c>
      <c r="AT94" s="341" t="inlineStr">
        <is>
          <t>CO2</t>
        </is>
      </c>
      <c r="AU94" s="341" t="inlineStr">
        <is>
          <t>正向</t>
        </is>
      </c>
      <c r="AV94" s="341" t="inlineStr">
        <is>
          <t>节能</t>
        </is>
      </c>
      <c r="AW94" s="341" t="inlineStr">
        <is>
          <t>GB 29145-2023 钨精矿、钼精矿和焙烧钼精矿单位产品能源消耗限额</t>
        </is>
      </c>
      <c r="AX94" s="341" t="inlineStr">
        <is>
          <t>https://openstd.samr.gov.cn/bzgk/std/newGbInfo?hcno=6E5465CA9B2F34918233AA436A58B246</t>
        </is>
      </c>
      <c r="AY94" s="341" t="inlineStr">
        <is>
          <t>GB 29145-2012（旧版，焙烧钼精矿）、GB 29146-2012（旧版，钼精矿）、GB 31340-2014（旧版，钨精矿）：https://openstd.samr.gov.cn/bzgk/std/nd?no=2142</t>
        </is>
      </c>
      <c r="AZ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t>
        </is>
      </c>
      <c r="L95" s="341" t="inlineStr">
        <is>
          <t>直接</t>
        </is>
      </c>
      <c r="M95" s="341" t="inlineStr">
        <is>
          <t>国家</t>
        </is>
      </c>
      <c r="N95" s="341" t="inlineStr">
        <is>
          <t>N/A</t>
        </is>
      </c>
      <c r="O95" s="341" t="inlineStr">
        <is>
          <t>31/12/2012</t>
        </is>
      </c>
      <c r="P95" s="341" t="inlineStr">
        <is>
          <t>01/10/2013</t>
        </is>
      </c>
      <c r="Q95" s="341" t="inlineStr">
        <is>
          <t>N/A</t>
        </is>
      </c>
      <c r="R95" s="341" t="inlineStr">
        <is>
          <t>27/11/2023</t>
        </is>
      </c>
      <c r="S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T95" s="341">
        <f>IF(P95="","生效",IF(P95="N/A","生效",IF(TODAY()&lt;DATE(VALUE(RIGHT(P95,4)),VALUE(MID(P95,4,2)),VALUE(LEFT(P95,2))),"计划实施",IF(Q95="","生效",IF(Q95="N/A","生效",IF(TODAY()&lt;DATE(VALUE(RIGHT(Q95,4)),VALUE(MID(Q95,4,2)),VALUE(LEFT(Q95,2))),"生效","已终止"))))))</f>
        <v/>
      </c>
      <c r="U95" s="341" t="inlineStr">
        <is>
          <t>国家市场监督管理总局；国家标准化管理委员会</t>
        </is>
      </c>
      <c r="V95" s="341" t="inlineStr">
        <is>
          <t>甲醇、乙二醇和二甲醚生产装置</t>
        </is>
      </c>
      <c r="W95" s="341" t="inlineStr">
        <is>
          <t>新建；既有</t>
        </is>
      </c>
      <c r="X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Y95" s="341" t="inlineStr">
        <is>
          <t>N/A</t>
        </is>
      </c>
      <c r="Z95" s="341" t="inlineStr">
        <is>
          <t>N/A</t>
        </is>
      </c>
      <c r="AA95" s="341" t="inlineStr">
        <is>
          <t>企业</t>
        </is>
      </c>
      <c r="AB95" s="341" t="inlineStr">
        <is>
          <t>在中国境内运营甲醇、乙二醇或二甲醚生产装置的企业。</t>
        </is>
      </c>
      <c r="AC95" s="341" t="inlineStr">
        <is>
          <t>生产</t>
        </is>
      </c>
      <c r="AD95" s="341" t="inlineStr">
        <is>
          <t>甲醇、乙二醇和二甲醚生产装置的运行活动。现有企业须达到3级限定值，新建及改扩建企业须达到2级准入值。</t>
        </is>
      </c>
      <c r="AE95" s="341" t="inlineStr">
        <is>
          <t>3级</t>
        </is>
      </c>
      <c r="AF95" s="341" t="inlineStr">
        <is>
          <t>能耗限额等级</t>
        </is>
      </c>
      <c r="AG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H95" s="341" t="inlineStr">
        <is>
          <t>1）现有甲醇、乙二醇和二甲醚生产企业须达到3级限定值方可继续运营，未达标者须限期改造或淘汰；2）新建及改扩建项目须达到2级准入值方可投产；3）1级先进值用于引导行业节能标杆。</t>
        </is>
      </c>
      <c r="AI95" s="341" t="inlineStr">
        <is>
          <t>N/A</t>
        </is>
      </c>
      <c r="AJ95" s="341" t="inlineStr">
        <is>
          <t>N/A</t>
        </is>
      </c>
      <c r="AK95" s="341" t="inlineStr">
        <is>
          <t>政府机构开展的监督检查；企业能耗数据报告</t>
        </is>
      </c>
      <c r="AL95" s="341" t="inlineStr">
        <is>
          <t>市场监督管理部门对甲醇、乙二醇和二甲醚生产企业进行能耗限额标准执行情况监督检查；企业须按规定报送年度能源消耗数据，接受节能监察。</t>
        </is>
      </c>
      <c r="AM95" s="341" t="inlineStr">
        <is>
          <t>合规命令；罚款；差别化电价；淘汰关停</t>
        </is>
      </c>
      <c r="AN95" s="341" t="inlineStr">
        <is>
          <t>对不符合强制性能耗限额标准的甲醇、乙二醇或二甲醚生产企业，由相关部门责令限期整改，逾期未完成整改或整改后仍不达标的，纳入差别化电价范围并依法予以淘汰关停。</t>
        </is>
      </c>
      <c r="AO95" s="341" t="inlineStr">
        <is>
          <t>其他激励或支持</t>
        </is>
      </c>
      <c r="AP95" s="341" t="inlineStr">
        <is>
          <t>国家鼓励甲醇、乙二醇和二甲醚生产企业对标1级先进值开展节能降碳改造，通过节能审查和绿色工厂认定引导和支持先进产能提升。</t>
        </is>
      </c>
      <c r="AQ95" s="341" t="inlineStr">
        <is>
          <t>N/A</t>
        </is>
      </c>
      <c r="AR95" s="341" t="inlineStr">
        <is>
          <t>N/A</t>
        </is>
      </c>
      <c r="AS95" s="341" t="inlineStr">
        <is>
          <t>C20</t>
        </is>
      </c>
      <c r="AT95" s="341" t="inlineStr">
        <is>
          <t>CO2</t>
        </is>
      </c>
      <c r="AU95" s="341" t="inlineStr">
        <is>
          <t>正向</t>
        </is>
      </c>
      <c r="AV95" s="341" t="inlineStr">
        <is>
          <t>节能</t>
        </is>
      </c>
      <c r="AW95" s="341" t="inlineStr">
        <is>
          <t>GB 29436-2023 甲醇、乙二醇和二甲醚单位产品能源消耗限额</t>
        </is>
      </c>
      <c r="AX95" s="341" t="inlineStr">
        <is>
          <t>https://openstd.samr.gov.cn/bzgk/std/newGbInfo?hcno=B75FB04331D597D255E830175CAF6D15</t>
        </is>
      </c>
      <c r="AY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AZ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t>
        </is>
      </c>
      <c r="L96" s="341" t="inlineStr">
        <is>
          <t>直接</t>
        </is>
      </c>
      <c r="M96" s="341" t="inlineStr">
        <is>
          <t>国家</t>
        </is>
      </c>
      <c r="N96" s="341" t="inlineStr">
        <is>
          <t>N/A</t>
        </is>
      </c>
      <c r="O96" s="341" t="inlineStr">
        <is>
          <t>03/12/2007</t>
        </is>
      </c>
      <c r="P96" s="341" t="inlineStr">
        <is>
          <t>01/06/2008</t>
        </is>
      </c>
      <c r="Q96" s="341" t="inlineStr">
        <is>
          <t>N/A</t>
        </is>
      </c>
      <c r="R96" s="341" t="inlineStr">
        <is>
          <t>27/11/2023</t>
        </is>
      </c>
      <c r="S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T96" s="341">
        <f>IF(P96="","生效",IF(P96="N/A","生效",IF(TODAY()&lt;DATE(VALUE(RIGHT(P96,4)),VALUE(MID(P96,4,2)),VALUE(LEFT(P96,2))),"计划实施",IF(Q96="","生效",IF(Q96="N/A","生效",IF(TODAY()&lt;DATE(VALUE(RIGHT(Q96,4)),VALUE(MID(Q96,4,2)),VALUE(LEFT(Q96,2))),"生效","已终止"))))))</f>
        <v/>
      </c>
      <c r="U96" s="341" t="inlineStr">
        <is>
          <t>国家市场监督管理总局；国家标准化管理委员会</t>
        </is>
      </c>
      <c r="V96" s="341" t="inlineStr">
        <is>
          <t>建筑卫生陶瓷和耐磨氧化铝球生产装置</t>
        </is>
      </c>
      <c r="W96" s="341" t="inlineStr">
        <is>
          <t>新建；既有</t>
        </is>
      </c>
      <c r="X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Y96" s="341" t="inlineStr">
        <is>
          <t>N/A</t>
        </is>
      </c>
      <c r="Z96" s="341" t="inlineStr">
        <is>
          <t>N/A</t>
        </is>
      </c>
      <c r="AA96" s="341" t="inlineStr">
        <is>
          <t>企业</t>
        </is>
      </c>
      <c r="AB96" s="341" t="inlineStr">
        <is>
          <t>在中国境内运营建筑卫生陶瓷或耐磨氧化铝球生产装置的企业。</t>
        </is>
      </c>
      <c r="AC96" s="341" t="inlineStr">
        <is>
          <t>生产</t>
        </is>
      </c>
      <c r="AD96" s="341" t="inlineStr">
        <is>
          <t>建筑卫生陶瓷和耐磨氧化铝球生产装置的运行活动。现有企业须达到3级限定值，新建及改扩建企业须达到2级准入值。</t>
        </is>
      </c>
      <c r="AE96" s="341" t="inlineStr">
        <is>
          <t>3级</t>
        </is>
      </c>
      <c r="AF96" s="341" t="inlineStr">
        <is>
          <t>能耗限额等级</t>
        </is>
      </c>
      <c r="AG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H96" s="341" t="inlineStr">
        <is>
          <t>1）现有建筑卫生陶瓷和耐磨氧化铝球生产企业须达到3级限定值方可继续运营，未达标者须限期改造或淘汰；2）新建及改扩建项目须达到2级准入值方可投产；3）1级先进值用于引导行业节能标杆。</t>
        </is>
      </c>
      <c r="AI96" s="341" t="inlineStr">
        <is>
          <t>N/A</t>
        </is>
      </c>
      <c r="AJ96" s="341" t="inlineStr">
        <is>
          <t>N/A</t>
        </is>
      </c>
      <c r="AK96" s="341" t="inlineStr">
        <is>
          <t>政府机构开展的监督检查；企业能耗数据报告</t>
        </is>
      </c>
      <c r="AL96" s="341" t="inlineStr">
        <is>
          <t>市场监督管理部门对建筑卫生陶瓷和耐磨氧化铝球生产企业进行能耗限额标准执行情况监督检查；企业须按规定报送年度能源消耗数据，接受节能监察。</t>
        </is>
      </c>
      <c r="AM96" s="341" t="inlineStr">
        <is>
          <t>合规命令；罚款；差别化电价；淘汰关停</t>
        </is>
      </c>
      <c r="AN96" s="341" t="inlineStr">
        <is>
          <t>对不符合强制性能耗限额标准的建筑卫生陶瓷或耐磨氧化铝球生产企业，由相关部门责令限期整改，逾期未完成整改或整改后仍不达标的，纳入差别化电价范围并依法予以淘汰关停。</t>
        </is>
      </c>
      <c r="AO96" s="341" t="inlineStr">
        <is>
          <t>其他激励或支持</t>
        </is>
      </c>
      <c r="AP96" s="341" t="inlineStr">
        <is>
          <t>国家鼓励建筑卫生陶瓷和耐磨氧化铝球生产企业对标1级先进值开展节能降碳改造，通过节能审查和绿色工厂认定引导和支持先进产能提升。</t>
        </is>
      </c>
      <c r="AQ96" s="341" t="inlineStr">
        <is>
          <t>N/A</t>
        </is>
      </c>
      <c r="AR96" s="341" t="inlineStr">
        <is>
          <t>N/A</t>
        </is>
      </c>
      <c r="AS96" s="341" t="inlineStr">
        <is>
          <t>C23</t>
        </is>
      </c>
      <c r="AT96" s="341" t="inlineStr">
        <is>
          <t>CO2</t>
        </is>
      </c>
      <c r="AU96" s="341" t="inlineStr">
        <is>
          <t>正向</t>
        </is>
      </c>
      <c r="AV96" s="341" t="inlineStr">
        <is>
          <t>节能</t>
        </is>
      </c>
      <c r="AW96" s="341" t="inlineStr">
        <is>
          <t>GB 21252-2023 建筑卫生陶瓷和耐磨氧化铝球单位产品能源消耗限额</t>
        </is>
      </c>
      <c r="AX96" s="341" t="inlineStr">
        <is>
          <t>https://openstd.samr.gov.cn/bzgk/std/newGbInfo?hcno=9EC54F539227FD3DFEF723D8C2289457</t>
        </is>
      </c>
      <c r="AY96" s="341" t="inlineStr">
        <is>
          <t>GB 21252-2013（旧版，建筑卫生陶瓷）、GB 30181-2013（旧版，耐磨氧化铝球）：https://openstd.samr.gov.cn/bzgk/std/nd?no=2142</t>
        </is>
      </c>
      <c r="AZ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t>
        </is>
      </c>
      <c r="L97" s="341" t="inlineStr">
        <is>
          <t>直接</t>
        </is>
      </c>
      <c r="M97" s="341" t="inlineStr">
        <is>
          <t>国家</t>
        </is>
      </c>
      <c r="N97" s="341" t="inlineStr">
        <is>
          <t>N/A</t>
        </is>
      </c>
      <c r="O97" s="341" t="inlineStr">
        <is>
          <t>09/01/2008</t>
        </is>
      </c>
      <c r="P97" s="341" t="inlineStr">
        <is>
          <t>01/06/2008</t>
        </is>
      </c>
      <c r="Q97" s="341" t="inlineStr">
        <is>
          <t>N/A</t>
        </is>
      </c>
      <c r="R97" s="341" t="inlineStr">
        <is>
          <t>08/09/2023</t>
        </is>
      </c>
      <c r="S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T97" s="341">
        <f>IF(P97="","生效",IF(P97="N/A","生效",IF(TODAY()&lt;DATE(VALUE(RIGHT(P97,4)),VALUE(MID(P97,4,2)),VALUE(LEFT(P97,2))),"计划实施",IF(Q97="","生效",IF(Q97="N/A","生效",IF(TODAY()&lt;DATE(VALUE(RIGHT(Q97,4)),VALUE(MID(Q97,4,2)),VALUE(LEFT(Q97,2))),"生效","已终止"))))))</f>
        <v/>
      </c>
      <c r="U97" s="341" t="inlineStr">
        <is>
          <t>国家市场监督管理总局；国家标准化管理委员会</t>
        </is>
      </c>
      <c r="V97" s="341" t="inlineStr">
        <is>
          <t>工业硅和镁冶炼生产装置</t>
        </is>
      </c>
      <c r="W97" s="341" t="inlineStr">
        <is>
          <t>新建；既有</t>
        </is>
      </c>
      <c r="X97" s="341" t="inlineStr">
        <is>
          <t>工业硅生产装置（矿热电炉，以硅石为原料、碳质材料为还原剂，按主还原剂分为全煤、木炭等类型）和镁冶炼生产装置（硅热法/皮江法，以白云石为原料、硅铁为还原剂，经煅烧、还原等工序）。</t>
        </is>
      </c>
      <c r="Y97" s="341" t="inlineStr">
        <is>
          <t>N/A</t>
        </is>
      </c>
      <c r="Z97" s="341" t="inlineStr">
        <is>
          <t>N/A</t>
        </is>
      </c>
      <c r="AA97" s="341" t="inlineStr">
        <is>
          <t>企业</t>
        </is>
      </c>
      <c r="AB97" s="341" t="inlineStr">
        <is>
          <t>在中国境内运营工业硅或镁冶炼生产装置的企业。</t>
        </is>
      </c>
      <c r="AC97" s="341" t="inlineStr">
        <is>
          <t>生产</t>
        </is>
      </c>
      <c r="AD97" s="341" t="inlineStr">
        <is>
          <t>工业硅和镁冶炼生产装置的运行活动。现有企业须达到3级限定值，新建及改扩建企业须达到2级准入值。</t>
        </is>
      </c>
      <c r="AE97" s="341" t="inlineStr">
        <is>
          <t>3级</t>
        </is>
      </c>
      <c r="AF97" s="341" t="inlineStr">
        <is>
          <t>能耗限额等级</t>
        </is>
      </c>
      <c r="AG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H97" s="341" t="inlineStr">
        <is>
          <t>1）现有工业硅和镁冶炼生产企业须达到3级限定值方可继续运营，未达标者须限期改造或淘汰；2）新建及改扩建项目须达到2级准入值方可投产；3）1级先进值用于引导行业节能标杆。</t>
        </is>
      </c>
      <c r="AI97" s="341" t="inlineStr">
        <is>
          <t>N/A</t>
        </is>
      </c>
      <c r="AJ97" s="341" t="inlineStr">
        <is>
          <t>N/A</t>
        </is>
      </c>
      <c r="AK97" s="341" t="inlineStr">
        <is>
          <t>政府机构开展的监督检查；企业能耗数据报告</t>
        </is>
      </c>
      <c r="AL97" s="341" t="inlineStr">
        <is>
          <t>市场监督管理部门对工业硅和镁冶炼生产企业进行能耗限额标准执行情况监督检查；企业须按规定报送年度能源消耗数据，接受节能监察。</t>
        </is>
      </c>
      <c r="AM97" s="341" t="inlineStr">
        <is>
          <t>合规命令；罚款；差别化电价；淘汰关停</t>
        </is>
      </c>
      <c r="AN97" s="341" t="inlineStr">
        <is>
          <t>对不符合强制性能耗限额标准的工业硅或镁冶炼生产企业，由相关部门责令限期整改，逾期未完成整改或整改后仍不达标的，纳入差别化电价范围并依法予以淘汰关停。</t>
        </is>
      </c>
      <c r="AO97" s="341" t="inlineStr">
        <is>
          <t>其他激励或支持</t>
        </is>
      </c>
      <c r="AP97" s="341" t="inlineStr">
        <is>
          <t>国家鼓励工业硅和镁冶炼生产企业对标1级先进值开展节能降碳改造，通过节能审查和行业能效领跑者引导和支持先进产能提升。</t>
        </is>
      </c>
      <c r="AQ97" s="341" t="inlineStr">
        <is>
          <t>N/A</t>
        </is>
      </c>
      <c r="AR97" s="341" t="inlineStr">
        <is>
          <t>N/A</t>
        </is>
      </c>
      <c r="AS97" s="341" t="inlineStr">
        <is>
          <t>C24</t>
        </is>
      </c>
      <c r="AT97" s="341" t="inlineStr">
        <is>
          <t>CO2</t>
        </is>
      </c>
      <c r="AU97" s="341" t="inlineStr">
        <is>
          <t>正向</t>
        </is>
      </c>
      <c r="AV97" s="341" t="inlineStr">
        <is>
          <t>节能</t>
        </is>
      </c>
      <c r="AW97" s="341" t="inlineStr">
        <is>
          <t>GB 21347-2023 工业硅和镁单位产品能源消耗限额</t>
        </is>
      </c>
      <c r="AX97" s="341" t="inlineStr">
        <is>
          <t>https://openstd.samr.gov.cn/bzgk/std/newGbInfo?hcno=C754221E7C2AC90D25D239A7A77AF56A</t>
        </is>
      </c>
      <c r="AY97" s="341" t="inlineStr">
        <is>
          <t>GB 21347-2012（旧版，镁冶炼）、GB 31338-2014（旧版，工业硅）：https://openstd.samr.gov.cn/bzgk/std/nd?no=2142</t>
        </is>
      </c>
      <c r="AZ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t>
        </is>
      </c>
      <c r="L98" s="341" t="inlineStr">
        <is>
          <t>直接</t>
        </is>
      </c>
      <c r="M98" s="341" t="inlineStr">
        <is>
          <t>国家</t>
        </is>
      </c>
      <c r="N98" s="341" t="inlineStr">
        <is>
          <t>N/A</t>
        </is>
      </c>
      <c r="O98" s="341" t="inlineStr">
        <is>
          <t>26/09/2010</t>
        </is>
      </c>
      <c r="P98" s="341" t="inlineStr">
        <is>
          <t>01/03/2012</t>
        </is>
      </c>
      <c r="Q98" s="341" t="inlineStr">
        <is>
          <t>N/A</t>
        </is>
      </c>
      <c r="R98" s="341" t="inlineStr">
        <is>
          <t>23/05/2023</t>
        </is>
      </c>
      <c r="S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T98" s="341">
        <f>IF(P98="","生效",IF(P98="N/A","生效",IF(TODAY()&lt;DATE(VALUE(RIGHT(P98,4)),VALUE(MID(P98,4,2)),VALUE(LEFT(P98,2))),"计划实施",IF(Q98="","生效",IF(Q98="N/A","生效",IF(TODAY()&lt;DATE(VALUE(RIGHT(Q98,4)),VALUE(MID(Q98,4,2)),VALUE(LEFT(Q98,2))),"生效","已终止"))))))</f>
        <v/>
      </c>
      <c r="U98" s="341" t="inlineStr">
        <is>
          <t>国家市场监督管理总局；国家标准化管理委员会</t>
        </is>
      </c>
      <c r="V98" s="341" t="inlineStr">
        <is>
          <t>有色重金属冶炼生产系统</t>
        </is>
      </c>
      <c r="W98" s="341" t="inlineStr">
        <is>
          <t>新建；既有</t>
        </is>
      </c>
      <c r="X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Y98" s="341" t="inlineStr">
        <is>
          <t>N/A</t>
        </is>
      </c>
      <c r="Z98" s="341" t="inlineStr">
        <is>
          <t>N/A</t>
        </is>
      </c>
      <c r="AA98" s="341" t="inlineStr">
        <is>
          <t>企业</t>
        </is>
      </c>
      <c r="AB98" s="341" t="inlineStr">
        <is>
          <t>在中国境内运营铜、锌、铅、镍、锡、锑、再生铅、钴或铋冶炼生产系统的企业。</t>
        </is>
      </c>
      <c r="AC98" s="341" t="inlineStr">
        <is>
          <t>生产</t>
        </is>
      </c>
      <c r="AD98" s="341" t="inlineStr">
        <is>
          <t>有色重金属冶炼生产系统的运行活动。现有企业须达到3级限定值，新建及改扩建企业须达到2级准入值。</t>
        </is>
      </c>
      <c r="AE98" s="341" t="inlineStr">
        <is>
          <t>3级</t>
        </is>
      </c>
      <c r="AF98" s="341" t="inlineStr">
        <is>
          <t>能耗限额等级</t>
        </is>
      </c>
      <c r="AG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H98" s="341" t="inlineStr">
        <is>
          <t>1）现有有色重金属冶炼企业须达到3级限定值方可继续运营，未达标者须限期改造或淘汰；2）新建及改扩建项目须达到2级准入值方可投产；3）1级先进值用于引导行业节能标杆。</t>
        </is>
      </c>
      <c r="AI98" s="341" t="inlineStr">
        <is>
          <t>N/A</t>
        </is>
      </c>
      <c r="AJ98" s="341" t="inlineStr">
        <is>
          <t>N/A</t>
        </is>
      </c>
      <c r="AK98" s="341" t="inlineStr">
        <is>
          <t>政府机构开展的监督检查；企业能耗数据报告</t>
        </is>
      </c>
      <c r="AL98" s="341" t="inlineStr">
        <is>
          <t>市场监督管理部门对有色重金属冶炼企业进行能耗限额标准执行情况监督检查；企业须按规定报送年度能源消耗数据，接受节能监察。</t>
        </is>
      </c>
      <c r="AM98" s="341" t="inlineStr">
        <is>
          <t>合规命令；罚款；差别化电价；淘汰关停</t>
        </is>
      </c>
      <c r="AN98" s="341" t="inlineStr">
        <is>
          <t>对不符合强制性能耗限额标准的有色重金属冶炼企业，由相关部门责令限期整改，逾期未完成整改或整改后仍不达标的，纳入差别化电价范围并依法予以淘汰关停。</t>
        </is>
      </c>
      <c r="AO98" s="341" t="inlineStr">
        <is>
          <t>其他激励或支持</t>
        </is>
      </c>
      <c r="AP98" s="341" t="inlineStr">
        <is>
          <t>国家鼓励有色重金属冶炼企业对标1级先进值开展节能降碳改造，通过节能审查和行业能效领跑者引导和支持先进产能提升。</t>
        </is>
      </c>
      <c r="AQ98" s="341" t="inlineStr">
        <is>
          <t>N/A</t>
        </is>
      </c>
      <c r="AR98" s="341" t="inlineStr">
        <is>
          <t>N/A</t>
        </is>
      </c>
      <c r="AS98" s="341" t="inlineStr">
        <is>
          <t>C24</t>
        </is>
      </c>
      <c r="AT98" s="341" t="inlineStr">
        <is>
          <t>CO2</t>
        </is>
      </c>
      <c r="AU98" s="341" t="inlineStr">
        <is>
          <t>正向</t>
        </is>
      </c>
      <c r="AV98" s="341" t="inlineStr">
        <is>
          <t>节能</t>
        </is>
      </c>
      <c r="AW98" s="341" t="inlineStr">
        <is>
          <t>GB 25323-2023 有色重金属冶炼企业单位产品能源消耗限额</t>
        </is>
      </c>
      <c r="AX98" s="341" t="inlineStr">
        <is>
          <t>https://openstd.samr.gov.cn/bzgk/std/newGbInfo?hcno=1AC5838391EDB47380A692125F5A7EC4</t>
        </is>
      </c>
      <c r="AY98" s="341" t="inlineStr">
        <is>
          <t>GB 25323-2010（旧版，铜镍钴）、GB 21248-2014（旧版，铜冶炼）、GB 21249-2014（旧版，锌冶炼）、GB 21250-2014（旧版，铅冶炼）、GB 21251-2014（旧版，镍冶炼）、GB 21348-2014（旧版，锡锑冶炼）、GB 21349-2014（旧版，铅铋冶炼）：https://openstd.samr.gov.cn/bzgk/std/nd?no=2142</t>
        </is>
      </c>
      <c r="AZ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t>
        </is>
      </c>
      <c r="L99" s="341" t="inlineStr">
        <is>
          <t>直接</t>
        </is>
      </c>
      <c r="M99" s="341" t="inlineStr">
        <is>
          <t>国家</t>
        </is>
      </c>
      <c r="N99" s="341" t="inlineStr">
        <is>
          <t>N/A</t>
        </is>
      </c>
      <c r="O99" s="341" t="inlineStr">
        <is>
          <t>09/01/2008</t>
        </is>
      </c>
      <c r="P99" s="341" t="inlineStr">
        <is>
          <t>01/06/2008</t>
        </is>
      </c>
      <c r="Q99" s="341" t="inlineStr">
        <is>
          <t>N/A</t>
        </is>
      </c>
      <c r="R99" s="341" t="inlineStr">
        <is>
          <t>23/05/2023</t>
        </is>
      </c>
      <c r="S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T99" s="341">
        <f>IF(P99="","生效",IF(P99="N/A","生效",IF(TODAY()&lt;DATE(VALUE(RIGHT(P99,4)),VALUE(MID(P99,4,2)),VALUE(LEFT(P99,2))),"计划实施",IF(Q99="","生效",IF(Q99="N/A","生效",IF(TODAY()&lt;DATE(VALUE(RIGHT(Q99,4)),VALUE(MID(Q99,4,2)),VALUE(LEFT(Q99,2))),"生效","已终止"))))))</f>
        <v/>
      </c>
      <c r="U99" s="341" t="inlineStr">
        <is>
          <t>国家市场监督管理总局；国家标准化管理委员会</t>
        </is>
      </c>
      <c r="V99" s="341" t="inlineStr">
        <is>
          <t>变形铝及铝合金加工生产线</t>
        </is>
      </c>
      <c r="W99" s="341" t="inlineStr">
        <is>
          <t>新建；既有</t>
        </is>
      </c>
      <c r="X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Y99" s="341" t="inlineStr">
        <is>
          <t>N/A</t>
        </is>
      </c>
      <c r="Z99" s="341" t="inlineStr">
        <is>
          <t>N/A</t>
        </is>
      </c>
      <c r="AA99" s="341" t="inlineStr">
        <is>
          <t>企业</t>
        </is>
      </c>
      <c r="AB99" s="341" t="inlineStr">
        <is>
          <t>在中国境内运营变形铝及铝合金加工生产线的企业。</t>
        </is>
      </c>
      <c r="AC99" s="341" t="inlineStr">
        <is>
          <t>生产</t>
        </is>
      </c>
      <c r="AD99" s="341" t="inlineStr">
        <is>
          <t>变形铝及铝合金加工生产线的运行活动。现有企业须达到3级限定值，新建及改扩建企业须达到2级准入值。</t>
        </is>
      </c>
      <c r="AE99" s="341" t="inlineStr">
        <is>
          <t>3级</t>
        </is>
      </c>
      <c r="AF99" s="341" t="inlineStr">
        <is>
          <t>能耗限额等级</t>
        </is>
      </c>
      <c r="AG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H99" s="341" t="inlineStr">
        <is>
          <t>1）现有变形铝及铝合金加工企业须达到3级限定值方可继续运营，未达标者须限期改造或淘汰；2）新建及改扩建项目须达到2级准入值方可投产；3）1级先进值用于引导行业节能标杆。</t>
        </is>
      </c>
      <c r="AI99" s="341" t="inlineStr">
        <is>
          <t>N/A</t>
        </is>
      </c>
      <c r="AJ99" s="341" t="inlineStr">
        <is>
          <t>N/A</t>
        </is>
      </c>
      <c r="AK99" s="341" t="inlineStr">
        <is>
          <t>政府机构开展的监督检查；企业能耗数据报告</t>
        </is>
      </c>
      <c r="AL99" s="341" t="inlineStr">
        <is>
          <t>市场监督管理部门对变形铝及铝合金加工企业进行能耗限额标准执行情况监督检查；企业须按规定报送年度能源消耗数据，接受节能监察。</t>
        </is>
      </c>
      <c r="AM99" s="341" t="inlineStr">
        <is>
          <t>合规命令；罚款；差别化电价；淘汰关停</t>
        </is>
      </c>
      <c r="AN99" s="341" t="inlineStr">
        <is>
          <t>对不符合强制性能耗限额标准的变形铝及铝合金加工企业，由相关部门责令限期整改，逾期未完成整改或整改后仍不达标的，纳入差别化电价范围并依法予以淘汰关停。</t>
        </is>
      </c>
      <c r="AO99" s="341" t="inlineStr">
        <is>
          <t>其他激励或支持</t>
        </is>
      </c>
      <c r="AP99" s="341" t="inlineStr">
        <is>
          <t>国家鼓励变形铝及铝合金加工企业对标1级先进值开展节能降碳改造，通过节能审查和绿色工厂认定引导和支持先进产能提升。</t>
        </is>
      </c>
      <c r="AQ99" s="341" t="inlineStr">
        <is>
          <t>N/A</t>
        </is>
      </c>
      <c r="AR99" s="341" t="inlineStr">
        <is>
          <t>N/A</t>
        </is>
      </c>
      <c r="AS99" s="341" t="inlineStr">
        <is>
          <t>C24</t>
        </is>
      </c>
      <c r="AT99" s="341" t="inlineStr">
        <is>
          <t>CO2</t>
        </is>
      </c>
      <c r="AU99" s="341" t="inlineStr">
        <is>
          <t>正向</t>
        </is>
      </c>
      <c r="AV99" s="341" t="inlineStr">
        <is>
          <t>节能</t>
        </is>
      </c>
      <c r="AW99" s="341" t="inlineStr">
        <is>
          <t>GB 21351-2023 变形铝及铝合金单位产品能源消耗限额</t>
        </is>
      </c>
      <c r="AX99" s="341" t="inlineStr">
        <is>
          <t>https://openstd.samr.gov.cn/bzgk/std/newGbInfo?hcno=BC1B167DC00C3975E4A9C90CC9F16EA6</t>
        </is>
      </c>
      <c r="AY99" s="341" t="inlineStr">
        <is>
          <t>GB 21351-2014（旧版，挤压型材棒材管材）、GB 25326-2010（旧版，管材棒材）、GB 26756-2011（旧版，线材）、GB 31339-2014（旧版，线缆导体）：https://openstd.samr.gov.cn/bzgk/std/nd?no=2142</t>
        </is>
      </c>
      <c r="AZ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t>
        </is>
      </c>
      <c r="L100" s="341" t="inlineStr">
        <is>
          <t>直接</t>
        </is>
      </c>
      <c r="M100" s="341" t="inlineStr">
        <is>
          <t>国家</t>
        </is>
      </c>
      <c r="N100" s="341" t="inlineStr">
        <is>
          <t>N/A</t>
        </is>
      </c>
      <c r="O100" s="341" t="inlineStr">
        <is>
          <t>31/12/2012</t>
        </is>
      </c>
      <c r="P100" s="341" t="inlineStr">
        <is>
          <t>01/10/2013</t>
        </is>
      </c>
      <c r="Q100" s="341" t="inlineStr">
        <is>
          <t>N/A</t>
        </is>
      </c>
      <c r="R100" s="341" t="inlineStr">
        <is>
          <t>23/05/2023</t>
        </is>
      </c>
      <c r="S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T100" s="341">
        <f>IF(P100="","生效",IF(P100="N/A","生效",IF(TODAY()&lt;DATE(VALUE(RIGHT(P100,4)),VALUE(MID(P100,4,2)),VALUE(LEFT(P100,2))),"计划实施",IF(Q100="","生效",IF(Q100="N/A","生效",IF(TODAY()&lt;DATE(VALUE(RIGHT(Q100,4)),VALUE(MID(Q100,4,2)),VALUE(LEFT(Q100,2))),"生效","已终止"))))))</f>
        <v/>
      </c>
      <c r="U100" s="341" t="inlineStr">
        <is>
          <t>国家市场监督管理总局；国家标准化管理委员会</t>
        </is>
      </c>
      <c r="V100" s="341" t="inlineStr">
        <is>
          <t>铜及铜合金加工生产线</t>
        </is>
      </c>
      <c r="W100" s="341" t="inlineStr">
        <is>
          <t>新建；既有</t>
        </is>
      </c>
      <c r="X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Y100" s="341" t="inlineStr">
        <is>
          <t>N/A</t>
        </is>
      </c>
      <c r="Z100" s="341" t="inlineStr">
        <is>
          <t>N/A</t>
        </is>
      </c>
      <c r="AA100" s="341" t="inlineStr">
        <is>
          <t>企业</t>
        </is>
      </c>
      <c r="AB100" s="341" t="inlineStr">
        <is>
          <t>在中国境内运营铜及铜合金加工生产线的企业。</t>
        </is>
      </c>
      <c r="AC100" s="341" t="inlineStr">
        <is>
          <t>生产</t>
        </is>
      </c>
      <c r="AD100" s="341" t="inlineStr">
        <is>
          <t>铜及铜合金加工生产线的运行活动。现有企业须达到3级限定值，新建及改扩建企业须达到2级准入值。</t>
        </is>
      </c>
      <c r="AE100" s="341" t="inlineStr">
        <is>
          <t>3级</t>
        </is>
      </c>
      <c r="AF100" s="341" t="inlineStr">
        <is>
          <t>能耗限额等级</t>
        </is>
      </c>
      <c r="AG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H100" s="341" t="inlineStr">
        <is>
          <t>1）现有铜及铜合金加工企业须达到3级限定值方可继续运营，未达标者须限期改造或淘汰；2）新建及改扩建项目须达到2级准入值方可投产；3）1级先进值用于引导行业节能标杆。</t>
        </is>
      </c>
      <c r="AI100" s="341" t="inlineStr">
        <is>
          <t>N/A</t>
        </is>
      </c>
      <c r="AJ100" s="341" t="inlineStr">
        <is>
          <t>N/A</t>
        </is>
      </c>
      <c r="AK100" s="341" t="inlineStr">
        <is>
          <t>政府机构开展的监督检查；企业能耗数据报告</t>
        </is>
      </c>
      <c r="AL100" s="341" t="inlineStr">
        <is>
          <t>市场监督管理部门对铜及铜合金加工企业进行能耗限额标准执行情况监督检查；企业须按规定报送年度能源消耗数据，接受节能监察。</t>
        </is>
      </c>
      <c r="AM100" s="341" t="inlineStr">
        <is>
          <t>合规命令；罚款；差别化电价；淘汰关停</t>
        </is>
      </c>
      <c r="AN100" s="341" t="inlineStr">
        <is>
          <t>对不符合强制性能耗限额标准的铜及铜合金加工企业，由相关部门责令限期整改，逾期未完成整改或整改后仍不达标的，纳入差别化电价范围并依法予以淘汰关停。</t>
        </is>
      </c>
      <c r="AO100" s="341" t="inlineStr">
        <is>
          <t>其他激励或支持</t>
        </is>
      </c>
      <c r="AP100" s="341" t="inlineStr">
        <is>
          <t>国家鼓励铜及铜合金加工企业对标1级先进值开展节能降碳改造，通过节能审查和绿色工厂认定引导和支持先进产能提升。</t>
        </is>
      </c>
      <c r="AQ100" s="341" t="inlineStr">
        <is>
          <t>N/A</t>
        </is>
      </c>
      <c r="AR100" s="341" t="inlineStr">
        <is>
          <t>N/A</t>
        </is>
      </c>
      <c r="AS100" s="341" t="inlineStr">
        <is>
          <t>C24</t>
        </is>
      </c>
      <c r="AT100" s="341" t="inlineStr">
        <is>
          <t>CO2</t>
        </is>
      </c>
      <c r="AU100" s="341" t="inlineStr">
        <is>
          <t>正向</t>
        </is>
      </c>
      <c r="AV100" s="341" t="inlineStr">
        <is>
          <t>节能</t>
        </is>
      </c>
      <c r="AW100" s="341" t="inlineStr">
        <is>
          <t>GB 21350-2023 铜及铜合金加工材单位产品能源消耗限额</t>
        </is>
      </c>
      <c r="AX100" s="341" t="inlineStr">
        <is>
          <t>https://openstd.samr.gov.cn/bzgk/std/newGbInfo?hcno=00D05C80DC378CB8ADE9C481234EDD8D</t>
        </is>
      </c>
      <c r="AY100" s="341" t="inlineStr">
        <is>
          <t>GB 21350-2013（旧版，管材）、GB 29137-2012（旧版，线材）、GB 29442-2012（旧版，板带箔）、GB 29443-2012（旧版，棒材）、GB 32046-2015（旧版，电工铜线坯）：https://openstd.samr.gov.cn/bzgk/std/nd?no=2142</t>
        </is>
      </c>
      <c r="AZ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t>
        </is>
      </c>
      <c r="L101" s="341" t="inlineStr">
        <is>
          <t>直接</t>
        </is>
      </c>
      <c r="M101" s="341" t="inlineStr">
        <is>
          <t>国家</t>
        </is>
      </c>
      <c r="N101" s="341" t="inlineStr">
        <is>
          <t>N/A</t>
        </is>
      </c>
      <c r="O101" s="341" t="inlineStr">
        <is>
          <t>31/12/2012</t>
        </is>
      </c>
      <c r="P101" s="341" t="inlineStr">
        <is>
          <t>01/10/2013</t>
        </is>
      </c>
      <c r="Q101" s="341" t="inlineStr">
        <is>
          <t>N/A</t>
        </is>
      </c>
      <c r="R101" s="341" t="inlineStr">
        <is>
          <t>29/12/2022</t>
        </is>
      </c>
      <c r="S101" s="341" t="inlineStr">
        <is>
          <t>2022年12月29日发布GB 29447-2022，整合替代GB 29447-2012（多晶硅）和GB 29413-2012（锗），将多晶硅和锗能耗限额合并为一项综合标准，将先进值/准入值/限定值改为1级/2级/3级能耗限额等级体系。</t>
        </is>
      </c>
      <c r="T101" s="341">
        <f>IF(P101="","生效",IF(P101="N/A","生效",IF(TODAY()&lt;DATE(VALUE(RIGHT(P101,4)),VALUE(MID(P101,4,2)),VALUE(LEFT(P101,2))),"计划实施",IF(Q101="","生效",IF(Q101="N/A","生效",IF(TODAY()&lt;DATE(VALUE(RIGHT(Q101,4)),VALUE(MID(Q101,4,2)),VALUE(LEFT(Q101,2))),"生效","已终止"))))))</f>
        <v/>
      </c>
      <c r="U101" s="341" t="inlineStr">
        <is>
          <t>国家市场监督管理总局；国家标准化管理委员会</t>
        </is>
      </c>
      <c r="V101" s="341" t="inlineStr">
        <is>
          <t>多晶硅和锗生产装置</t>
        </is>
      </c>
      <c r="W101" s="341" t="inlineStr">
        <is>
          <t>新建；既有</t>
        </is>
      </c>
      <c r="X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Y101" s="341" t="inlineStr">
        <is>
          <t>N/A</t>
        </is>
      </c>
      <c r="Z101" s="341" t="inlineStr">
        <is>
          <t>N/A</t>
        </is>
      </c>
      <c r="AA101" s="341" t="inlineStr">
        <is>
          <t>企业</t>
        </is>
      </c>
      <c r="AB101" s="341" t="inlineStr">
        <is>
          <t>在中国境内运营多晶硅或锗生产装置的企业。</t>
        </is>
      </c>
      <c r="AC101" s="341" t="inlineStr">
        <is>
          <t>生产</t>
        </is>
      </c>
      <c r="AD101" s="341" t="inlineStr">
        <is>
          <t>多晶硅和锗生产装置的运行活动。现有企业须达到3级限定值，新建及改扩建企业须达到2级准入值。</t>
        </is>
      </c>
      <c r="AE101" s="341" t="inlineStr">
        <is>
          <t>3级</t>
        </is>
      </c>
      <c r="AF101" s="341" t="inlineStr">
        <is>
          <t>能耗限额等级</t>
        </is>
      </c>
      <c r="AG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H101" s="341" t="inlineStr">
        <is>
          <t>1）现有多晶硅和锗生产企业须达到3级限定值方可继续运营，未达标者须限期改造或淘汰；2）新建及改扩建项目须达到2级准入值方可投产；3）1级先进值用于引导行业节能标杆。</t>
        </is>
      </c>
      <c r="AI101" s="341" t="inlineStr">
        <is>
          <t>N/A</t>
        </is>
      </c>
      <c r="AJ101" s="341" t="inlineStr">
        <is>
          <t>N/A</t>
        </is>
      </c>
      <c r="AK101" s="341" t="inlineStr">
        <is>
          <t>政府机构开展的监督检查；企业能耗数据报告</t>
        </is>
      </c>
      <c r="AL101" s="341" t="inlineStr">
        <is>
          <t>市场监督管理部门对多晶硅和锗生产企业进行能耗限额标准执行情况监督检查；企业须按规定报送年度能源消耗数据，接受节能监察。</t>
        </is>
      </c>
      <c r="AM101" s="341" t="inlineStr">
        <is>
          <t>合规命令；罚款；差别化电价；淘汰关停</t>
        </is>
      </c>
      <c r="AN101" s="341" t="inlineStr">
        <is>
          <t>对不符合强制性能耗限额标准的多晶硅或锗生产企业，由相关部门责令限期整改，逾期未完成整改或整改后仍不达标的，纳入差别化电价范围并依法予以淘汰关停。</t>
        </is>
      </c>
      <c r="AO101" s="341" t="inlineStr">
        <is>
          <t>其他激励或支持</t>
        </is>
      </c>
      <c r="AP101" s="341" t="inlineStr">
        <is>
          <t>国家鼓励多晶硅和锗生产企业对标1级先进值开展节能降碳改造，通过节能审查和绿色工厂认定引导和支持先进产能提升。</t>
        </is>
      </c>
      <c r="AQ101" s="341" t="inlineStr">
        <is>
          <t>N/A</t>
        </is>
      </c>
      <c r="AR101" s="341" t="inlineStr">
        <is>
          <t>N/A</t>
        </is>
      </c>
      <c r="AS101" s="341" t="inlineStr">
        <is>
          <t>C24</t>
        </is>
      </c>
      <c r="AT101" s="341" t="inlineStr">
        <is>
          <t>CO2</t>
        </is>
      </c>
      <c r="AU101" s="341" t="inlineStr">
        <is>
          <t>正向</t>
        </is>
      </c>
      <c r="AV101" s="341" t="inlineStr">
        <is>
          <t>节能</t>
        </is>
      </c>
      <c r="AW101" s="341" t="inlineStr">
        <is>
          <t>GB 29447-2022 多晶硅和锗单位产品能源消耗限额</t>
        </is>
      </c>
      <c r="AX101" s="341" t="inlineStr">
        <is>
          <t>https://openstd.samr.gov.cn/bzgk/std/newGbInfo?hcno=BD3DF1890BDBD4F84D3676D37F9884E6</t>
        </is>
      </c>
      <c r="AY101" s="341" t="inlineStr">
        <is>
          <t>GB 29447-2012（旧版，多晶硅）、GB 29413-2012（旧版，锗）：https://openstd.samr.gov.cn/bzgk/std/nd?no=2142</t>
        </is>
      </c>
      <c r="AZ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t>
        </is>
      </c>
      <c r="L102" s="341" t="inlineStr">
        <is>
          <t>直接</t>
        </is>
      </c>
      <c r="M102" s="341" t="inlineStr">
        <is>
          <t>国家</t>
        </is>
      </c>
      <c r="N102" s="341" t="inlineStr">
        <is>
          <t>N/A</t>
        </is>
      </c>
      <c r="O102" s="341" t="inlineStr">
        <is>
          <t>31/12/2014</t>
        </is>
      </c>
      <c r="P102" s="341" t="inlineStr">
        <is>
          <t>01/01/2016</t>
        </is>
      </c>
      <c r="Q102" s="341" t="inlineStr">
        <is>
          <t>N/A</t>
        </is>
      </c>
      <c r="R102" s="341" t="inlineStr">
        <is>
          <t>29/12/2022</t>
        </is>
      </c>
      <c r="S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T102" s="341">
        <f>IF(P102="","生效",IF(P102="N/A","生效",IF(TODAY()&lt;DATE(VALUE(RIGHT(P102,4)),VALUE(MID(P102,4,2)),VALUE(LEFT(P102,2))),"计划实施",IF(Q102="","生效",IF(Q102="N/A","生效",IF(TODAY()&lt;DATE(VALUE(RIGHT(Q102,4)),VALUE(MID(Q102,4,2)),VALUE(LEFT(Q102,2))),"生效","已终止"))))))</f>
        <v/>
      </c>
      <c r="U102" s="341" t="inlineStr">
        <is>
          <t>国家市场监督管理总局；国家标准化管理委员会</t>
        </is>
      </c>
      <c r="V102" s="341" t="inlineStr">
        <is>
          <t>铝用炭素生产装置</t>
        </is>
      </c>
      <c r="W102" s="341" t="inlineStr">
        <is>
          <t>新建；既有</t>
        </is>
      </c>
      <c r="X102" s="341" t="inlineStr">
        <is>
          <t>铝电解用预焙阳极生产装置（包括石油焦煅烧、中碎筛分、配料混捏、成型、焙烧等工序）、石墨质阴极炭块生产装置、石墨化阴极炭块生产装置和阴极糊生产装置。</t>
        </is>
      </c>
      <c r="Y102" s="341" t="inlineStr">
        <is>
          <t>N/A</t>
        </is>
      </c>
      <c r="Z102" s="341" t="inlineStr">
        <is>
          <t>N/A</t>
        </is>
      </c>
      <c r="AA102" s="341" t="inlineStr">
        <is>
          <t>企业</t>
        </is>
      </c>
      <c r="AB102" s="341" t="inlineStr">
        <is>
          <t>在中国境内运营铝用炭素生产装置的企业。</t>
        </is>
      </c>
      <c r="AC102" s="341" t="inlineStr">
        <is>
          <t>生产</t>
        </is>
      </c>
      <c r="AD102" s="341" t="inlineStr">
        <is>
          <t>铝用炭素生产装置的运行活动。现有企业须达到3级限定值，新建及改扩建企业须达到2级准入值。</t>
        </is>
      </c>
      <c r="AE102" s="341" t="inlineStr">
        <is>
          <t>3级</t>
        </is>
      </c>
      <c r="AF102" s="341" t="inlineStr">
        <is>
          <t>能耗限额等级</t>
        </is>
      </c>
      <c r="AG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H102" s="341" t="inlineStr">
        <is>
          <t>1）现有铝用炭素生产企业须达到3级限定值方可继续运营，未达标者须限期改造或淘汰；2）新建及改扩建项目须达到2级准入值方可投产；3）1级先进值用于引导行业节能标杆。</t>
        </is>
      </c>
      <c r="AI102" s="341" t="inlineStr">
        <is>
          <t>N/A</t>
        </is>
      </c>
      <c r="AJ102" s="341" t="inlineStr">
        <is>
          <t>N/A</t>
        </is>
      </c>
      <c r="AK102" s="341" t="inlineStr">
        <is>
          <t>政府机构开展的监督检查；企业能耗数据报告</t>
        </is>
      </c>
      <c r="AL102" s="341" t="inlineStr">
        <is>
          <t>市场监督管理部门对铝用炭素生产企业进行能耗限额标准执行情况监督检查；企业须按规定报送年度能源消耗数据，接受节能监察。</t>
        </is>
      </c>
      <c r="AM102" s="341" t="inlineStr">
        <is>
          <t>合规命令；罚款；差别化电价；淘汰关停</t>
        </is>
      </c>
      <c r="AN102" s="341" t="inlineStr">
        <is>
          <t>对不符合强制性能耗限额标准的铝用炭素生产企业，由相关部门责令限期整改，逾期未完成整改或整改后仍不达标的，纳入差别化电价范围并依法予以淘汰关停。</t>
        </is>
      </c>
      <c r="AO102" s="341" t="inlineStr">
        <is>
          <t>其他激励或支持</t>
        </is>
      </c>
      <c r="AP102" s="341" t="inlineStr">
        <is>
          <t>国家鼓励铝用炭素生产企业对标1级先进值开展节能降碳改造，通过节能审查和绿色工厂认定引导和支持先进产能提升。</t>
        </is>
      </c>
      <c r="AQ102" s="341" t="inlineStr">
        <is>
          <t>N/A</t>
        </is>
      </c>
      <c r="AR102" s="341" t="inlineStr">
        <is>
          <t>N/A</t>
        </is>
      </c>
      <c r="AS102" s="341" t="inlineStr">
        <is>
          <t>C23</t>
        </is>
      </c>
      <c r="AT102" s="341" t="inlineStr">
        <is>
          <t>CO2</t>
        </is>
      </c>
      <c r="AU102" s="341" t="inlineStr">
        <is>
          <t>正向</t>
        </is>
      </c>
      <c r="AV102" s="341" t="inlineStr">
        <is>
          <t>节能</t>
        </is>
      </c>
      <c r="AW102" s="341" t="inlineStr">
        <is>
          <t>GB 25324-2022 铝用炭素单位产品能源消耗限额</t>
        </is>
      </c>
      <c r="AX102" s="341" t="inlineStr">
        <is>
          <t>https://openstd.samr.gov.cn/bzgk/std/newGbInfo?hcno=FF0F16A51CFC03A1BAEEC48DCAB49C15</t>
        </is>
      </c>
      <c r="AY102" s="341" t="inlineStr">
        <is>
          <t>GB 25324-2014（旧版，预焙阳极）、GB 25325-2014（旧版，阴极炭素）：https://openstd.samr.gov.cn/bzgk/std/nd?no=2142</t>
        </is>
      </c>
      <c r="AZ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t>
        </is>
      </c>
      <c r="L103" s="341" t="inlineStr">
        <is>
          <t>直接</t>
        </is>
      </c>
      <c r="M103" s="341" t="inlineStr">
        <is>
          <t>国家</t>
        </is>
      </c>
      <c r="N103" s="341" t="inlineStr">
        <is>
          <t>N/A</t>
        </is>
      </c>
      <c r="O103" s="341" t="inlineStr">
        <is>
          <t>09/01/2008</t>
        </is>
      </c>
      <c r="P103" s="341" t="inlineStr">
        <is>
          <t>01/06/2008</t>
        </is>
      </c>
      <c r="Q103" s="341" t="inlineStr">
        <is>
          <t>N/A</t>
        </is>
      </c>
      <c r="R103" s="341" t="inlineStr">
        <is>
          <t>29/12/2022</t>
        </is>
      </c>
      <c r="S103" s="341" t="inlineStr">
        <is>
          <t>2022年12月29日发布GB 21341-2022替代GB 21341-2017，新增低碳锰硅合金等品种能耗限额要求，将限定值/准入值/先进值改为1级/2级/3级能耗限额等级体系，调整各级限额指标以适配双碳目标要求。</t>
        </is>
      </c>
      <c r="T103" s="341">
        <f>IF(P103="","生效",IF(P103="N/A","生效",IF(TODAY()&lt;DATE(VALUE(RIGHT(P103,4)),VALUE(MID(P103,4,2)),VALUE(LEFT(P103,2))),"计划实施",IF(Q103="","生效",IF(Q103="N/A","生效",IF(TODAY()&lt;DATE(VALUE(RIGHT(Q103,4)),VALUE(MID(Q103,4,2)),VALUE(LEFT(Q103,2))),"生效","已终止"))))))</f>
        <v/>
      </c>
      <c r="U103" s="341" t="inlineStr">
        <is>
          <t>国家市场监督管理总局；国家标准化管理委员会</t>
        </is>
      </c>
      <c r="V103" s="341" t="inlineStr">
        <is>
          <t>铁合金冶炼生产装置</t>
        </is>
      </c>
      <c r="W103" s="341" t="inlineStr">
        <is>
          <t>新建；既有</t>
        </is>
      </c>
      <c r="X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Y103" s="341" t="inlineStr">
        <is>
          <t>N/A</t>
        </is>
      </c>
      <c r="Z103" s="341" t="inlineStr">
        <is>
          <t>N/A</t>
        </is>
      </c>
      <c r="AA103" s="341" t="inlineStr">
        <is>
          <t>企业</t>
        </is>
      </c>
      <c r="AB103" s="341" t="inlineStr">
        <is>
          <t>在中国境内运营铁合金冶炼生产装置的企业。</t>
        </is>
      </c>
      <c r="AC103" s="341" t="inlineStr">
        <is>
          <t>生产</t>
        </is>
      </c>
      <c r="AD103" s="341" t="inlineStr">
        <is>
          <t>铁合金冶炼生产装置的运行活动。现有企业须达到3级限定值，新建及改扩建企业须达到2级准入值。</t>
        </is>
      </c>
      <c r="AE103" s="341" t="inlineStr">
        <is>
          <t>3级</t>
        </is>
      </c>
      <c r="AF103" s="341" t="inlineStr">
        <is>
          <t>能耗限额等级</t>
        </is>
      </c>
      <c r="AG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H103" s="341" t="inlineStr">
        <is>
          <t>1）现有铁合金生产企业须达到3级限定值方可继续运营，未达标者须限期改造或淘汰；2）新建及改扩建项目须达到2级准入值方可投产；3）1级先进值用于引导行业节能标杆。</t>
        </is>
      </c>
      <c r="AI103" s="341" t="inlineStr">
        <is>
          <t>N/A</t>
        </is>
      </c>
      <c r="AJ103" s="341" t="inlineStr">
        <is>
          <t>N/A</t>
        </is>
      </c>
      <c r="AK103" s="341" t="inlineStr">
        <is>
          <t>政府机构开展的监督检查；企业能耗数据报告</t>
        </is>
      </c>
      <c r="AL103" s="341" t="inlineStr">
        <is>
          <t>市场监督管理部门对铁合金生产企业进行能耗限额标准执行情况监督检查；企业须按规定报送年度能源消耗数据，接受节能监察。</t>
        </is>
      </c>
      <c r="AM103" s="341" t="inlineStr">
        <is>
          <t>合规命令；罚款；差别化电价；淘汰关停</t>
        </is>
      </c>
      <c r="AN103" s="341" t="inlineStr">
        <is>
          <t>对不符合强制性能耗限额标准的铁合金生产企业，由相关部门责令限期整改，逾期未完成整改或整改后仍不达标的，纳入差别化电价范围并依法予以淘汰关停。</t>
        </is>
      </c>
      <c r="AO103" s="341" t="inlineStr">
        <is>
          <t>其他激励或支持</t>
        </is>
      </c>
      <c r="AP103" s="341" t="inlineStr">
        <is>
          <t>国家鼓励铁合金生产企业对标1级先进值开展节能降碳改造，通过节能审查和行业能效领跑者引导和支持先进产能提升。</t>
        </is>
      </c>
      <c r="AQ103" s="341" t="inlineStr">
        <is>
          <t>N/A</t>
        </is>
      </c>
      <c r="AR103" s="341" t="inlineStr">
        <is>
          <t>N/A</t>
        </is>
      </c>
      <c r="AS103" s="341" t="inlineStr">
        <is>
          <t>C24</t>
        </is>
      </c>
      <c r="AT103" s="341" t="inlineStr">
        <is>
          <t>CO2</t>
        </is>
      </c>
      <c r="AU103" s="341" t="inlineStr">
        <is>
          <t>正向</t>
        </is>
      </c>
      <c r="AV103" s="341" t="inlineStr">
        <is>
          <t>节能</t>
        </is>
      </c>
      <c r="AW103" s="341" t="inlineStr">
        <is>
          <t>GB 21341-2022 铁合金单位产品能源消耗限额</t>
        </is>
      </c>
      <c r="AX103" s="341" t="inlineStr">
        <is>
          <t>https://openstd.samr.gov.cn/bzgk/std/newGbInfo?hcno=D9F02652C6E387DAC1B8E38456F479C8</t>
        </is>
      </c>
      <c r="AY103" s="341" t="inlineStr">
        <is>
          <t>GB 21341-2017（旧版）：https://openstd.samr.gov.cn/bzgk/std/nd?no=2142</t>
        </is>
      </c>
      <c r="AZ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t>
        </is>
      </c>
      <c r="L104" s="341" t="inlineStr">
        <is>
          <t>直接</t>
        </is>
      </c>
      <c r="M104" s="341" t="inlineStr">
        <is>
          <t>国家</t>
        </is>
      </c>
      <c r="N104" s="341" t="inlineStr">
        <is>
          <t>N/A</t>
        </is>
      </c>
      <c r="O104" s="341" t="inlineStr">
        <is>
          <t>31/12/2012</t>
        </is>
      </c>
      <c r="P104" s="341" t="inlineStr">
        <is>
          <t>01/10/2013</t>
        </is>
      </c>
      <c r="Q104" s="341" t="inlineStr">
        <is>
          <t>N/A</t>
        </is>
      </c>
      <c r="R104" s="341" t="inlineStr">
        <is>
          <t>29/12/2022</t>
        </is>
      </c>
      <c r="S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T104" s="341">
        <f>IF(P104="","生效",IF(P104="N/A","生效",IF(TODAY()&lt;DATE(VALUE(RIGHT(P104,4)),VALUE(MID(P104,4,2)),VALUE(LEFT(P104,2))),"计划实施",IF(Q104="","生效",IF(Q104="N/A","生效",IF(TODAY()&lt;DATE(VALUE(RIGHT(Q104,4)),VALUE(MID(Q104,4,2)),VALUE(LEFT(Q104,2))),"生效","已终止"))))))</f>
        <v/>
      </c>
      <c r="U104" s="341" t="inlineStr">
        <is>
          <t>国家市场监督管理总局；国家标准化管理委员会</t>
        </is>
      </c>
      <c r="V104" s="341" t="inlineStr">
        <is>
          <t>海绵钛和钛锭生产装置</t>
        </is>
      </c>
      <c r="W104" s="341" t="inlineStr">
        <is>
          <t>新建；既有</t>
        </is>
      </c>
      <c r="X104" s="341" t="inlineStr">
        <is>
          <t>镁还原蒸馏法（Kroll法）生产海绵钛的装置（包括氯化、精制、还原蒸馏、破碎包装等工序）和真空自耗电弧炉生产钛锭的装置（包括电极制备、一次熔炼、二次熔炼等，三次熔炼成品铸锭能耗限额需乘以1.9系数）。</t>
        </is>
      </c>
      <c r="Y104" s="341" t="inlineStr">
        <is>
          <t>N/A</t>
        </is>
      </c>
      <c r="Z104" s="341" t="inlineStr">
        <is>
          <t>N/A</t>
        </is>
      </c>
      <c r="AA104" s="341" t="inlineStr">
        <is>
          <t>企业</t>
        </is>
      </c>
      <c r="AB104" s="341" t="inlineStr">
        <is>
          <t>在中国境内运营海绵钛或钛锭生产装置的企业。</t>
        </is>
      </c>
      <c r="AC104" s="341" t="inlineStr">
        <is>
          <t>生产</t>
        </is>
      </c>
      <c r="AD104" s="341" t="inlineStr">
        <is>
          <t>海绵钛和钛锭生产装置的运行活动。现有企业须达到3级限定值，新建及改扩建企业须达到2级准入值。</t>
        </is>
      </c>
      <c r="AE104" s="341" t="inlineStr">
        <is>
          <t>3级</t>
        </is>
      </c>
      <c r="AF104" s="341" t="inlineStr">
        <is>
          <t>能耗限额等级</t>
        </is>
      </c>
      <c r="AG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H104" s="341" t="inlineStr">
        <is>
          <t>1）现有海绵钛和钛锭生产企业须达到3级限定值方可继续运营，未达标者须限期改造或淘汰；2）新建及改扩建项目须达到2级准入值方可投产；3）1级先进值用于引导行业节能标杆。</t>
        </is>
      </c>
      <c r="AI104" s="341" t="inlineStr">
        <is>
          <t>N/A</t>
        </is>
      </c>
      <c r="AJ104" s="341" t="inlineStr">
        <is>
          <t>N/A</t>
        </is>
      </c>
      <c r="AK104" s="341" t="inlineStr">
        <is>
          <t>政府机构开展的监督检查；企业能耗数据报告</t>
        </is>
      </c>
      <c r="AL104" s="341" t="inlineStr">
        <is>
          <t>市场监督管理部门对海绵钛和钛锭生产企业进行能耗限额标准执行情况监督检查；企业须按规定报送年度能源消耗数据，接受节能监察。</t>
        </is>
      </c>
      <c r="AM104" s="341" t="inlineStr">
        <is>
          <t>合规命令；罚款；差别化电价；淘汰关停</t>
        </is>
      </c>
      <c r="AN104" s="341" t="inlineStr">
        <is>
          <t>对不符合强制性能耗限额标准的海绵钛或钛锭生产企业，由相关部门责令限期整改，逾期未完成整改或整改后仍不达标的，纳入差别化电价范围并依法予以淘汰关停。</t>
        </is>
      </c>
      <c r="AO104" s="341" t="inlineStr">
        <is>
          <t>其他激励或支持</t>
        </is>
      </c>
      <c r="AP104" s="341" t="inlineStr">
        <is>
          <t>国家鼓励海绵钛和钛锭生产企业对标1级先进值开展节能降碳改造，通过节能审查和绿色工厂认定引导和支持先进产能提升。</t>
        </is>
      </c>
      <c r="AQ104" s="341" t="inlineStr">
        <is>
          <t>N/A</t>
        </is>
      </c>
      <c r="AR104" s="341" t="inlineStr">
        <is>
          <t>N/A</t>
        </is>
      </c>
      <c r="AS104" s="341" t="inlineStr">
        <is>
          <t>C24</t>
        </is>
      </c>
      <c r="AT104" s="341" t="inlineStr">
        <is>
          <t>CO2</t>
        </is>
      </c>
      <c r="AU104" s="341" t="inlineStr">
        <is>
          <t>正向</t>
        </is>
      </c>
      <c r="AV104" s="341" t="inlineStr">
        <is>
          <t>节能</t>
        </is>
      </c>
      <c r="AW104" s="341" t="inlineStr">
        <is>
          <t>GB 29448-2022 海绵钛和钛锭单位产品能源消耗限额</t>
        </is>
      </c>
      <c r="AX104" s="341" t="inlineStr">
        <is>
          <t>https://openstd.samr.gov.cn/bzgk/std/newGbInfo?hcno=E1EBA8E2BB1E25BD7D71C65DC9C0649C</t>
        </is>
      </c>
      <c r="AY104" s="341" t="inlineStr">
        <is>
          <t>GB 29136-2012（旧版，海绵钛）、GB 29448-2012（旧版，钛锭）：https://openstd.samr.gov.cn/bzgk/std/nd?no=2142</t>
        </is>
      </c>
      <c r="AZ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t>
        </is>
      </c>
      <c r="L105" s="341" t="inlineStr">
        <is>
          <t>直接</t>
        </is>
      </c>
      <c r="M105" s="341" t="inlineStr">
        <is>
          <t>国家</t>
        </is>
      </c>
      <c r="N105" s="341" t="inlineStr">
        <is>
          <t>N/A</t>
        </is>
      </c>
      <c r="O105" s="341" t="inlineStr">
        <is>
          <t>09/01/2008</t>
        </is>
      </c>
      <c r="P105" s="341" t="inlineStr">
        <is>
          <t>01/06/2008</t>
        </is>
      </c>
      <c r="Q105" s="341" t="inlineStr">
        <is>
          <t>N/A</t>
        </is>
      </c>
      <c r="R105" s="341" t="inlineStr">
        <is>
          <t>29/12/2022</t>
        </is>
      </c>
      <c r="S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T105" s="341">
        <f>IF(P105="","生效",IF(P105="N/A","生效",IF(TODAY()&lt;DATE(VALUE(RIGHT(P105,4)),VALUE(MID(P105,4,2)),VALUE(LEFT(P105,2))),"计划实施",IF(Q105="","生效",IF(Q105="N/A","生效",IF(TODAY()&lt;DATE(VALUE(RIGHT(Q105,4)),VALUE(MID(Q105,4,2)),VALUE(LEFT(Q105,2))),"生效","已终止"))))))</f>
        <v/>
      </c>
      <c r="U105" s="341" t="inlineStr">
        <is>
          <t>国家市场监督管理总局；国家标准化管理委员会</t>
        </is>
      </c>
      <c r="V105" s="341" t="inlineStr">
        <is>
          <t>电解铝和氧化铝生产装置</t>
        </is>
      </c>
      <c r="W105" s="341" t="inlineStr">
        <is>
          <t>新建；既有</t>
        </is>
      </c>
      <c r="X105" s="341" t="inlineStr">
        <is>
          <t>电解铝生产装置（冰晶石-氧化铝熔盐电解法，包括电解槽系列、整流供电、阳极组装、铸造等主要系统）和冶金级氧化铝生产装置（拜耳法、烧结法或联合法，包括溶出、分解、焙烧等主要工序）。</t>
        </is>
      </c>
      <c r="Y105" s="341" t="inlineStr">
        <is>
          <t>N/A</t>
        </is>
      </c>
      <c r="Z105" s="341" t="inlineStr">
        <is>
          <t>N/A</t>
        </is>
      </c>
      <c r="AA105" s="341" t="inlineStr">
        <is>
          <t>企业</t>
        </is>
      </c>
      <c r="AB105" s="341" t="inlineStr">
        <is>
          <t>在中国境内运营电解铝或氧化铝生产装置的企业。</t>
        </is>
      </c>
      <c r="AC105" s="341" t="inlineStr">
        <is>
          <t>生产</t>
        </is>
      </c>
      <c r="AD105" s="341" t="inlineStr">
        <is>
          <t>电解铝和氧化铝生产装置的运行活动。现有企业须达到3级限定值，新建及改扩建企业须达到2级准入值。</t>
        </is>
      </c>
      <c r="AE105" s="341" t="inlineStr">
        <is>
          <t>3级</t>
        </is>
      </c>
      <c r="AF105" s="341" t="inlineStr">
        <is>
          <t>能耗限额等级</t>
        </is>
      </c>
      <c r="AG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H105" s="341" t="inlineStr">
        <is>
          <t>1）现有电解铝和氧化铝生产企业须达到3级限定值方可继续运营，未达标者须限期改造或淘汰；2）新建及改扩建项目须达到2级准入值方可投产；3）1级先进值用于引导行业节能标杆。</t>
        </is>
      </c>
      <c r="AI105" s="341" t="inlineStr">
        <is>
          <t>N/A</t>
        </is>
      </c>
      <c r="AJ105" s="341" t="inlineStr">
        <is>
          <t>N/A</t>
        </is>
      </c>
      <c r="AK105" s="341" t="inlineStr">
        <is>
          <t>政府机构开展的监督检查；企业能耗数据报告</t>
        </is>
      </c>
      <c r="AL105" s="341" t="inlineStr">
        <is>
          <t>市场监督管理部门对电解铝和氧化铝生产企业进行能耗限额标准执行情况监督检查；企业须按规定报送年度能源消耗数据，接受节能监察。</t>
        </is>
      </c>
      <c r="AM105" s="341" t="inlineStr">
        <is>
          <t>合规命令；罚款；差别化电价；淘汰关停</t>
        </is>
      </c>
      <c r="AN105" s="341" t="inlineStr">
        <is>
          <t>对不符合强制性能耗限额标准的电解铝或氧化铝生产企业，由相关部门责令限期整改，逾期未完成整改或整改后仍不达标的，纳入差别化电价范围并依法予以淘汰关停。</t>
        </is>
      </c>
      <c r="AO105" s="341" t="inlineStr">
        <is>
          <t>其他激励或支持</t>
        </is>
      </c>
      <c r="AP105" s="341" t="inlineStr">
        <is>
          <t>国家鼓励电解铝和氧化铝生产企业对标1级先进值开展节能降碳改造，通过节能审查和行业能效领跑者引导和支持先进产能提升。</t>
        </is>
      </c>
      <c r="AQ105" s="341" t="inlineStr">
        <is>
          <t>N/A</t>
        </is>
      </c>
      <c r="AR105" s="341" t="inlineStr">
        <is>
          <t>N/A</t>
        </is>
      </c>
      <c r="AS105" s="341" t="inlineStr">
        <is>
          <t>C24</t>
        </is>
      </c>
      <c r="AT105" s="341" t="inlineStr">
        <is>
          <t>CO2</t>
        </is>
      </c>
      <c r="AU105" s="341" t="inlineStr">
        <is>
          <t>正向</t>
        </is>
      </c>
      <c r="AV105" s="341" t="inlineStr">
        <is>
          <t>节能</t>
        </is>
      </c>
      <c r="AW105" s="341" t="inlineStr">
        <is>
          <t>GB 21346-2022 电解铝和氧化铝单位产品能源消耗限额</t>
        </is>
      </c>
      <c r="AX105" s="341" t="inlineStr">
        <is>
          <t>https://openstd.samr.gov.cn/bzgk/std/newGbInfo?hcno=26157DFF9B64E6DEAB76156105CE930E</t>
        </is>
      </c>
      <c r="AY105" s="341" t="inlineStr">
        <is>
          <t>GB 21346-2013（旧版，电解铝）、GB 25327-2017（旧版，氧化铝）：https://openstd.samr.gov.cn/bzgk/std/nd?no=2142</t>
        </is>
      </c>
      <c r="AZ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t>
        </is>
      </c>
      <c r="L106" s="341" t="inlineStr">
        <is>
          <t>直接</t>
        </is>
      </c>
      <c r="M106" s="341" t="inlineStr">
        <is>
          <t>国家</t>
        </is>
      </c>
      <c r="N106" s="341" t="inlineStr">
        <is>
          <t>N/A</t>
        </is>
      </c>
      <c r="O106" s="341" t="inlineStr">
        <is>
          <t>17/07/2015</t>
        </is>
      </c>
      <c r="P106" s="341" t="inlineStr">
        <is>
          <t>01/04/2016</t>
        </is>
      </c>
      <c r="Q106" s="341" t="inlineStr">
        <is>
          <t>N/A</t>
        </is>
      </c>
      <c r="R106" s="341" t="inlineStr">
        <is>
          <t>11/10/2021</t>
        </is>
      </c>
      <c r="S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T106" s="341">
        <f>IF(P106="","生效",IF(P106="N/A","生效",IF(TODAY()&lt;DATE(VALUE(RIGHT(P106,4)),VALUE(MID(P106,4,2)),VALUE(LEFT(P106,2))),"计划实施",IF(Q106="","生效",IF(Q106="N/A","生效",IF(TODAY()&lt;DATE(VALUE(RIGHT(Q106,4)),VALUE(MID(Q106,4,2)),VALUE(LEFT(Q106,2))),"生效","已终止"))))))</f>
        <v/>
      </c>
      <c r="U106" s="341" t="inlineStr">
        <is>
          <t>国家市场监督管理总局；国家标准化管理委员会</t>
        </is>
      </c>
      <c r="V106" s="341" t="inlineStr">
        <is>
          <t>码头作业系统</t>
        </is>
      </c>
      <c r="W106" s="341" t="inlineStr">
        <is>
          <t>新建；既有</t>
        </is>
      </c>
      <c r="X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Y106" s="341" t="inlineStr">
        <is>
          <t>N/A</t>
        </is>
      </c>
      <c r="Z106" s="341" t="inlineStr">
        <is>
          <t>N/A</t>
        </is>
      </c>
      <c r="AA106" s="341" t="inlineStr">
        <is>
          <t>企业</t>
        </is>
      </c>
      <c r="AB106" s="341" t="inlineStr">
        <is>
          <t>在中国境内运营专业化集装箱码头、干散货（煤炭、矿石）码头或原油码头的企业。</t>
        </is>
      </c>
      <c r="AC106" s="341" t="inlineStr">
        <is>
          <t>生产</t>
        </is>
      </c>
      <c r="AD106" s="341" t="inlineStr">
        <is>
          <t>码头生产作业系统的运行活动。现有码头须达到3级限定值，新建及改扩建码头须达到2级准入值。</t>
        </is>
      </c>
      <c r="AE106" s="341" t="inlineStr">
        <is>
          <t>3级</t>
        </is>
      </c>
      <c r="AF106" s="341" t="inlineStr">
        <is>
          <t>能耗限额等级</t>
        </is>
      </c>
      <c r="AG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H106" s="341" t="inlineStr">
        <is>
          <t>1）现有码头须达到3级限定值方可继续运营，未达标者须限期改造；2）新建及改扩建码头须达到2级准入值方可投产；3）1级先进值用于引导行业节能标杆。</t>
        </is>
      </c>
      <c r="AI106" s="341" t="inlineStr">
        <is>
          <t>N/A</t>
        </is>
      </c>
      <c r="AJ106" s="341" t="inlineStr">
        <is>
          <t>N/A</t>
        </is>
      </c>
      <c r="AK106" s="341" t="inlineStr">
        <is>
          <t>政府机构开展的监督检查；企业能耗数据报告</t>
        </is>
      </c>
      <c r="AL106" s="341" t="inlineStr">
        <is>
          <t>市场监督管理部门和交通运输主管部门对码头企业进行能耗限额标准执行情况监督检查；企业须按规定报送年度能源消耗数据，接受节能监察。</t>
        </is>
      </c>
      <c r="AM106" s="341" t="inlineStr">
        <is>
          <t>合规命令；罚款；差别化电价；淘汰关停</t>
        </is>
      </c>
      <c r="AN106" s="341" t="inlineStr">
        <is>
          <t>对不符合强制性能耗限额标准的码头企业，由相关部门责令限期整改，逾期未完成整改或整改后仍不达标的，纳入差别化电价范围并依法予以停业整顿或关闭。</t>
        </is>
      </c>
      <c r="AO106" s="341" t="inlineStr">
        <is>
          <t>其他激励或支持</t>
        </is>
      </c>
      <c r="AP106" s="341" t="inlineStr">
        <is>
          <t>国家鼓励码头企业对标1级先进值开展节能降碳改造，通过节能审查和绿色港口建设引导和支持先进产能提升。</t>
        </is>
      </c>
      <c r="AQ106" s="341" t="inlineStr">
        <is>
          <t>N/A</t>
        </is>
      </c>
      <c r="AR106" s="341" t="inlineStr">
        <is>
          <t>N/A</t>
        </is>
      </c>
      <c r="AS106" s="341" t="inlineStr">
        <is>
          <t>H52</t>
        </is>
      </c>
      <c r="AT106" s="341" t="inlineStr">
        <is>
          <t>CO2</t>
        </is>
      </c>
      <c r="AU106" s="341" t="inlineStr">
        <is>
          <t>正向</t>
        </is>
      </c>
      <c r="AV106" s="341" t="inlineStr">
        <is>
          <t>节能；污染防治</t>
        </is>
      </c>
      <c r="AW106" s="341" t="inlineStr">
        <is>
          <t>GB 31823-2021 码头作业单位产品能源消耗限额</t>
        </is>
      </c>
      <c r="AX106" s="341" t="inlineStr">
        <is>
          <t>https://openstd.samr.gov.cn/bzgk/std/newGbInfo?hcno=A8B30AEAFDAFE25DBCB92BC49F1B0651</t>
        </is>
      </c>
      <c r="AY106" s="341" t="inlineStr">
        <is>
          <t>GB 31823-2015（旧版，集装箱码头）、GB 31827-2015（旧版，干散货码头）：https://openstd.samr.gov.cn/bzgk/std/nd?no=2142</t>
        </is>
      </c>
      <c r="AZ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t>
        </is>
      </c>
      <c r="L107" s="341" t="inlineStr">
        <is>
          <t>直接</t>
        </is>
      </c>
      <c r="M107" s="341" t="inlineStr">
        <is>
          <t>国家</t>
        </is>
      </c>
      <c r="N107" s="341" t="inlineStr">
        <is>
          <t>N/A</t>
        </is>
      </c>
      <c r="O107" s="341" t="inlineStr">
        <is>
          <t>11/10/2021</t>
        </is>
      </c>
      <c r="P107" s="341" t="inlineStr">
        <is>
          <t>01/11/2022</t>
        </is>
      </c>
      <c r="Q107" s="341" t="inlineStr">
        <is>
          <t>N/A</t>
        </is>
      </c>
      <c r="R107" s="341" t="inlineStr">
        <is>
          <t>N/A</t>
        </is>
      </c>
      <c r="S107" s="341" t="inlineStr">
        <is>
          <t>N/A</t>
        </is>
      </c>
      <c r="T107" s="341">
        <f>IF(P107="","生效",IF(P107="N/A","生效",IF(TODAY()&lt;DATE(VALUE(RIGHT(P107,4)),VALUE(MID(P107,4,2)),VALUE(LEFT(P107,2))),"计划实施",IF(Q107="","生效",IF(Q107="N/A","生效",IF(TODAY()&lt;DATE(VALUE(RIGHT(Q107,4)),VALUE(MID(Q107,4,2)),VALUE(LEFT(Q107,2))),"生效","已终止"))))))</f>
        <v/>
      </c>
      <c r="U107" s="341" t="inlineStr">
        <is>
          <t>国家市场监督管理总局；国家标准化管理委员会</t>
        </is>
      </c>
      <c r="V107" s="341" t="inlineStr">
        <is>
          <t>葡萄糖酸钠生产装置</t>
        </is>
      </c>
      <c r="W107" s="341" t="inlineStr">
        <is>
          <t>新建；既有</t>
        </is>
      </c>
      <c r="X107" s="341" t="inlineStr">
        <is>
          <t>以葡萄糖为原料，通过生物发酵法（包括发酵、分离、精制、干燥等工序）生产葡萄糖酸钠的装置。产品形态包括晶体葡萄糖酸钠和液体葡萄糖酸钠。</t>
        </is>
      </c>
      <c r="Y107" s="341" t="inlineStr">
        <is>
          <t>N/A</t>
        </is>
      </c>
      <c r="Z107" s="341" t="inlineStr">
        <is>
          <t>N/A</t>
        </is>
      </c>
      <c r="AA107" s="341" t="inlineStr">
        <is>
          <t>企业</t>
        </is>
      </c>
      <c r="AB107" s="341" t="inlineStr">
        <is>
          <t>在中国境内运营葡萄糖酸钠生产装置的企业。</t>
        </is>
      </c>
      <c r="AC107" s="341" t="inlineStr">
        <is>
          <t>生产</t>
        </is>
      </c>
      <c r="AD107" s="341" t="inlineStr">
        <is>
          <t>葡萄糖酸钠生产装置的运行活动。现有企业须达到3级限定值，新建及改扩建企业须达到2级准入值。</t>
        </is>
      </c>
      <c r="AE107" s="341" t="inlineStr">
        <is>
          <t>3级</t>
        </is>
      </c>
      <c r="AF107" s="341" t="inlineStr">
        <is>
          <t>能耗限额等级</t>
        </is>
      </c>
      <c r="AG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H107" s="341" t="inlineStr">
        <is>
          <t>1）现有葡萄糖酸钠生产企业须达到3级限定值方可继续运营，未达标者须限期改造或淘汰；2）新建及改扩建项目须达到2级准入值方可投产；3）1级先进值用于引导行业节能标杆。</t>
        </is>
      </c>
      <c r="AI107" s="341" t="inlineStr">
        <is>
          <t>N/A</t>
        </is>
      </c>
      <c r="AJ107" s="341" t="inlineStr">
        <is>
          <t>N/A</t>
        </is>
      </c>
      <c r="AK107" s="341" t="inlineStr">
        <is>
          <t>政府机构开展的监督检查；企业能耗数据报告</t>
        </is>
      </c>
      <c r="AL107" s="341" t="inlineStr">
        <is>
          <t>市场监督管理部门对葡萄糖酸钠生产企业进行能耗限额标准执行情况监督检查；企业须按规定报送年度能源消耗数据，接受节能监察。</t>
        </is>
      </c>
      <c r="AM107" s="341" t="inlineStr">
        <is>
          <t>合规命令；罚款；差别化电价；淘汰关停</t>
        </is>
      </c>
      <c r="AN107" s="341" t="inlineStr">
        <is>
          <t>对不符合强制性能耗限额标准的葡萄糖酸钠生产企业，由相关部门责令限期整改，逾期未完成整改或整改后仍不达标的，纳入差别化电价范围并依法予以淘汰关停。</t>
        </is>
      </c>
      <c r="AO107" s="341" t="inlineStr">
        <is>
          <t>其他激励或支持</t>
        </is>
      </c>
      <c r="AP107" s="341" t="inlineStr">
        <is>
          <t>国家鼓励葡萄糖酸钠生产企业对标1级先进值开展节能降碳改造，通过节能审查和绿色工厂认定引导和支持先进产能提升。</t>
        </is>
      </c>
      <c r="AQ107" s="341" t="inlineStr">
        <is>
          <t>N/A</t>
        </is>
      </c>
      <c r="AR107" s="341" t="inlineStr">
        <is>
          <t>N/A</t>
        </is>
      </c>
      <c r="AS107" s="341" t="inlineStr">
        <is>
          <t>C20</t>
        </is>
      </c>
      <c r="AT107" s="341" t="inlineStr">
        <is>
          <t>CO2</t>
        </is>
      </c>
      <c r="AU107" s="341" t="inlineStr">
        <is>
          <t>正向</t>
        </is>
      </c>
      <c r="AV107" s="341" t="inlineStr">
        <is>
          <t>节能</t>
        </is>
      </c>
      <c r="AW107" s="341" t="inlineStr">
        <is>
          <t>GB 40878-2021 葡萄糖酸钠单位产品能源消耗限额</t>
        </is>
      </c>
      <c r="AX107" s="341" t="inlineStr">
        <is>
          <t>https://openstd.samr.gov.cn/bzgk/std/newGbInfo?hcno=877E109F22EA5491BCAB71D3A7552AEF</t>
        </is>
      </c>
      <c r="AY107" s="341" t="inlineStr">
        <is>
          <t>N/A</t>
        </is>
      </c>
      <c r="AZ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t>
        </is>
      </c>
      <c r="L108" s="341" t="inlineStr">
        <is>
          <t>直接</t>
        </is>
      </c>
      <c r="M108" s="341" t="inlineStr">
        <is>
          <t>国家</t>
        </is>
      </c>
      <c r="N108" s="341" t="inlineStr">
        <is>
          <t>N/A</t>
        </is>
      </c>
      <c r="O108" s="341" t="inlineStr">
        <is>
          <t>11/10/2021</t>
        </is>
      </c>
      <c r="P108" s="341" t="inlineStr">
        <is>
          <t>01/11/2022</t>
        </is>
      </c>
      <c r="Q108" s="341" t="inlineStr">
        <is>
          <t>N/A</t>
        </is>
      </c>
      <c r="R108" s="341" t="inlineStr">
        <is>
          <t>N/A</t>
        </is>
      </c>
      <c r="S108" s="341" t="inlineStr">
        <is>
          <t>N/A</t>
        </is>
      </c>
      <c r="T108" s="341">
        <f>IF(P108="","生效",IF(P108="N/A","生效",IF(TODAY()&lt;DATE(VALUE(RIGHT(P108,4)),VALUE(MID(P108,4,2)),VALUE(LEFT(P108,2))),"计划实施",IF(Q108="","生效",IF(Q108="N/A","生效",IF(TODAY()&lt;DATE(VALUE(RIGHT(Q108,4)),VALUE(MID(Q108,4,2)),VALUE(LEFT(Q108,2))),"生效","已终止"))))))</f>
        <v/>
      </c>
      <c r="U108" s="341" t="inlineStr">
        <is>
          <t>国家市场监督管理总局；国家标准化管理委员会</t>
        </is>
      </c>
      <c r="V108" s="341" t="inlineStr">
        <is>
          <t>硅酸铝纤维及制品生产装置</t>
        </is>
      </c>
      <c r="W108" s="341" t="inlineStr">
        <is>
          <t>新建；既有</t>
        </is>
      </c>
      <c r="X108" s="341" t="inlineStr">
        <is>
          <t>以焦宝石、煤矸石等为原料，经电阻炉熔融、甩丝或喷吹成纤，再经针刺、热压等工艺生产硅酸铝纤维毯、毡、板、纸、模块等制品的生产装置，包括原料处理、熔融成纤、集棉、针刺/热压、切割包装等主要工序。</t>
        </is>
      </c>
      <c r="Y108" s="341" t="inlineStr">
        <is>
          <t>N/A</t>
        </is>
      </c>
      <c r="Z108" s="341" t="inlineStr">
        <is>
          <t>N/A</t>
        </is>
      </c>
      <c r="AA108" s="341" t="inlineStr">
        <is>
          <t>企业</t>
        </is>
      </c>
      <c r="AB108" s="341" t="inlineStr">
        <is>
          <t>在中国境内运营硅酸铝纤维及制品生产装置的企业。</t>
        </is>
      </c>
      <c r="AC108" s="341" t="inlineStr">
        <is>
          <t>生产</t>
        </is>
      </c>
      <c r="AD108" s="341" t="inlineStr">
        <is>
          <t>硅酸铝纤维及制品生产装置的运行活动。现有企业须达到3级限定值，新建及改扩建企业须达到2级准入值。</t>
        </is>
      </c>
      <c r="AE108" s="341" t="inlineStr">
        <is>
          <t>3级</t>
        </is>
      </c>
      <c r="AF108" s="341" t="inlineStr">
        <is>
          <t>能耗限额等级</t>
        </is>
      </c>
      <c r="AG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H108" s="341" t="inlineStr">
        <is>
          <t>1）现有硅酸铝纤维及制品生产企业须达到3级限定值方可继续运营，未达标者须限期改造或淘汰；2）新建及改扩建项目须达到2级准入值方可投产；3）1级先进值用于引导行业节能标杆。</t>
        </is>
      </c>
      <c r="AI108" s="341" t="inlineStr">
        <is>
          <t>N/A</t>
        </is>
      </c>
      <c r="AJ108" s="341" t="inlineStr">
        <is>
          <t>N/A</t>
        </is>
      </c>
      <c r="AK108" s="341" t="inlineStr">
        <is>
          <t>政府机构开展的监督检查；企业能耗数据报告</t>
        </is>
      </c>
      <c r="AL108" s="341" t="inlineStr">
        <is>
          <t>市场监督管理部门对硅酸铝纤维及制品生产企业进行能耗限额标准执行情况监督检查；企业须按规定报送年度能源消耗数据，接受节能监察。</t>
        </is>
      </c>
      <c r="AM108" s="341" t="inlineStr">
        <is>
          <t>合规命令；罚款；差别化电价；淘汰关停</t>
        </is>
      </c>
      <c r="AN108" s="341" t="inlineStr">
        <is>
          <t>对不符合强制性能耗限额标准的硅酸铝纤维及制品生产企业，由相关部门责令限期整改，逾期未完成整改或整改后仍不达标的，纳入差别化电价范围并依法予以淘汰关停。</t>
        </is>
      </c>
      <c r="AO108" s="341" t="inlineStr">
        <is>
          <t>其他激励或支持</t>
        </is>
      </c>
      <c r="AP108" s="341" t="inlineStr">
        <is>
          <t>国家鼓励硅酸铝纤维及制品生产企业对标1级先进值开展节能降碳改造，通过节能审查和绿色工厂认定引导和支持先进产能提升。</t>
        </is>
      </c>
      <c r="AQ108" s="341" t="inlineStr">
        <is>
          <t>N/A</t>
        </is>
      </c>
      <c r="AR108" s="341" t="inlineStr">
        <is>
          <t>N/A</t>
        </is>
      </c>
      <c r="AS108" s="341" t="inlineStr">
        <is>
          <t>C23</t>
        </is>
      </c>
      <c r="AT108" s="341" t="inlineStr">
        <is>
          <t>CO2</t>
        </is>
      </c>
      <c r="AU108" s="341" t="inlineStr">
        <is>
          <t>正向</t>
        </is>
      </c>
      <c r="AV108" s="341" t="inlineStr">
        <is>
          <t>节能</t>
        </is>
      </c>
      <c r="AW108" s="341" t="inlineStr">
        <is>
          <t>GB 40877-2021 硅酸铝纤维及制品单位产品能源消耗限额</t>
        </is>
      </c>
      <c r="AX108" s="341" t="inlineStr">
        <is>
          <t>https://openstd.samr.gov.cn/bzgk/std/newGbInfo?hcno=C80A53072205EE972B428EF3320C9524</t>
        </is>
      </c>
      <c r="AY108" s="341" t="inlineStr">
        <is>
          <t>N/A</t>
        </is>
      </c>
      <c r="AZ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t>
        </is>
      </c>
      <c r="L109" s="341" t="inlineStr">
        <is>
          <t>直接</t>
        </is>
      </c>
      <c r="M109" s="341" t="inlineStr">
        <is>
          <t>国家</t>
        </is>
      </c>
      <c r="N109" s="341" t="inlineStr">
        <is>
          <t>N/A</t>
        </is>
      </c>
      <c r="O109" s="341" t="inlineStr">
        <is>
          <t>03/12/2007</t>
        </is>
      </c>
      <c r="P109" s="341" t="inlineStr">
        <is>
          <t>01/06/2008</t>
        </is>
      </c>
      <c r="Q109" s="341" t="inlineStr">
        <is>
          <t>N/A</t>
        </is>
      </c>
      <c r="R109" s="341" t="inlineStr">
        <is>
          <t>11/10/2021</t>
        </is>
      </c>
      <c r="S109" s="341" t="inlineStr">
        <is>
          <t>2021年10月11日发布GB 16780-2021替代GB 16780-2012，将限定值/准入值/先进值改为1级/2级/3级能耗限额等级体系，收严熟料和水泥综合能耗限额指标，删除节能管理与措施章节。</t>
        </is>
      </c>
      <c r="T109" s="341">
        <f>IF(P109="","生效",IF(P109="N/A","生效",IF(TODAY()&lt;DATE(VALUE(RIGHT(P109,4)),VALUE(MID(P109,4,2)),VALUE(LEFT(P109,2))),"计划实施",IF(Q109="","生效",IF(Q109="N/A","生效",IF(TODAY()&lt;DATE(VALUE(RIGHT(Q109,4)),VALUE(MID(Q109,4,2)),VALUE(LEFT(Q109,2))),"生效","已终止"))))))</f>
        <v/>
      </c>
      <c r="U109" s="341" t="inlineStr">
        <is>
          <t>国家市场监督管理总局；国家标准化管理委员会</t>
        </is>
      </c>
      <c r="V109" s="341" t="inlineStr">
        <is>
          <t>水泥生产系统</t>
        </is>
      </c>
      <c r="W109" s="341" t="inlineStr">
        <is>
          <t>新建；既有</t>
        </is>
      </c>
      <c r="X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Y109" s="341" t="inlineStr">
        <is>
          <t>N/A</t>
        </is>
      </c>
      <c r="Z109" s="341" t="inlineStr">
        <is>
          <t>N/A</t>
        </is>
      </c>
      <c r="AA109" s="341" t="inlineStr">
        <is>
          <t>企业</t>
        </is>
      </c>
      <c r="AB109" s="341" t="inlineStr">
        <is>
          <t>在中国境内运营水泥生产系统的企业。</t>
        </is>
      </c>
      <c r="AC109" s="341" t="inlineStr">
        <is>
          <t>生产</t>
        </is>
      </c>
      <c r="AD109" s="341" t="inlineStr">
        <is>
          <t>水泥生产系统的运行活动。现有企业须达到3级限定值，新建及改扩建企业须达到2级准入值。</t>
        </is>
      </c>
      <c r="AE109" s="341" t="inlineStr">
        <is>
          <t>3级</t>
        </is>
      </c>
      <c r="AF109" s="341" t="inlineStr">
        <is>
          <t>能耗限额等级</t>
        </is>
      </c>
      <c r="AG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H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I109" s="341" t="inlineStr">
        <is>
          <t>N/A</t>
        </is>
      </c>
      <c r="AJ109" s="341" t="inlineStr">
        <is>
          <t>N/A</t>
        </is>
      </c>
      <c r="AK109" s="341" t="inlineStr">
        <is>
          <t>政府机构开展的监督检查；企业能耗数据报告</t>
        </is>
      </c>
      <c r="AL109" s="341" t="inlineStr">
        <is>
          <t>市场监督管理部门和工业和信息化主管部门对水泥生产企业进行能耗限额标准执行情况监督检查；企业须按规定报送年度能源消耗数据，接受节能监察和阶梯电价考核。</t>
        </is>
      </c>
      <c r="AM109" s="341" t="inlineStr">
        <is>
          <t>合规命令；罚款；差别化电价；淘汰关停</t>
        </is>
      </c>
      <c r="AN109" s="341" t="inlineStr">
        <is>
          <t>对不符合强制性能耗限额标准的水泥生产企业，由相关部门责令限期整改，逾期未完成整改或整改后仍不达标的，纳入差别化电价和阶梯电价范围，并依法予以淘汰关停。</t>
        </is>
      </c>
      <c r="AO109" s="341" t="inlineStr">
        <is>
          <t>其他激励或支持</t>
        </is>
      </c>
      <c r="AP109" s="341" t="inlineStr">
        <is>
          <t>国家鼓励水泥生产企业对标1级先进值开展节能降碳改造，推广应用高效粉磨、富氧燃烧、替代燃料等技术，通过节能审查和行业能效领跑者引导和支持先进产能提升。</t>
        </is>
      </c>
      <c r="AQ109" s="341" t="inlineStr">
        <is>
          <t>N/A</t>
        </is>
      </c>
      <c r="AR109" s="341" t="inlineStr">
        <is>
          <t>N/A</t>
        </is>
      </c>
      <c r="AS109" s="341" t="inlineStr">
        <is>
          <t>C23</t>
        </is>
      </c>
      <c r="AT109" s="341" t="inlineStr">
        <is>
          <t>CO2</t>
        </is>
      </c>
      <c r="AU109" s="341" t="inlineStr">
        <is>
          <t>正向</t>
        </is>
      </c>
      <c r="AV109" s="341" t="inlineStr">
        <is>
          <t>节能</t>
        </is>
      </c>
      <c r="AW109" s="341" t="inlineStr">
        <is>
          <t>GB 16780-2021 水泥单位产品能源消耗限额</t>
        </is>
      </c>
      <c r="AX109" s="341" t="inlineStr">
        <is>
          <t>https://openstd.samr.gov.cn/bzgk/std/newGbInfo?hcno=A98F40B6D901C95820E0B5DFDC3FCFF9</t>
        </is>
      </c>
      <c r="AY109" s="341" t="inlineStr">
        <is>
          <t>GB 16780-2012（旧版）：https://openstd.samr.gov.cn/bzgk/std/nd?no=2142</t>
        </is>
      </c>
      <c r="AZ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t>
        </is>
      </c>
      <c r="L110" s="341" t="inlineStr">
        <is>
          <t>直接</t>
        </is>
      </c>
      <c r="M110" s="341" t="inlineStr">
        <is>
          <t>国家</t>
        </is>
      </c>
      <c r="N110" s="341" t="inlineStr">
        <is>
          <t>N/A</t>
        </is>
      </c>
      <c r="O110" s="341" t="inlineStr">
        <is>
          <t>28/04/2014</t>
        </is>
      </c>
      <c r="P110" s="341" t="inlineStr">
        <is>
          <t>01/01/2015</t>
        </is>
      </c>
      <c r="Q110" s="341" t="inlineStr">
        <is>
          <t>N/A</t>
        </is>
      </c>
      <c r="R110" s="341" t="inlineStr">
        <is>
          <t>14/10/2019</t>
        </is>
      </c>
      <c r="S110" s="341" t="inlineStr">
        <is>
          <t>2019年10月14日发布GB 30526-2019替代GB 30526-2014，新增泡沫玻璃产品的能耗限额要求，增加能耗限额等级，将限定值/准入值/先进值改为1级/2级/3级体系，更新烧结墙体材料各级能耗限额指标。</t>
        </is>
      </c>
      <c r="T110" s="341">
        <f>IF(P110="","生效",IF(P110="N/A","生效",IF(TODAY()&lt;DATE(VALUE(RIGHT(P110,4)),VALUE(MID(P110,4,2)),VALUE(LEFT(P110,2))),"计划实施",IF(Q110="","生效",IF(Q110="N/A","生效",IF(TODAY()&lt;DATE(VALUE(RIGHT(Q110,4)),VALUE(MID(Q110,4,2)),VALUE(LEFT(Q110,2))),"生效","已终止"))))))</f>
        <v/>
      </c>
      <c r="U110" s="341" t="inlineStr">
        <is>
          <t>国家市场监督管理总局；国家标准化管理委员会</t>
        </is>
      </c>
      <c r="V110" s="341" t="inlineStr">
        <is>
          <t>烧结墙体材料和泡沫玻璃生产装置</t>
        </is>
      </c>
      <c r="W110" s="341" t="inlineStr">
        <is>
          <t>新建；既有</t>
        </is>
      </c>
      <c r="X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Y110" s="341" t="inlineStr">
        <is>
          <t>N/A</t>
        </is>
      </c>
      <c r="Z110" s="341" t="inlineStr">
        <is>
          <t>N/A</t>
        </is>
      </c>
      <c r="AA110" s="341" t="inlineStr">
        <is>
          <t>企业</t>
        </is>
      </c>
      <c r="AB110" s="341" t="inlineStr">
        <is>
          <t>在中国境内运营烧结墙体材料或泡沫玻璃生产装置的企业。</t>
        </is>
      </c>
      <c r="AC110" s="341" t="inlineStr">
        <is>
          <t>生产</t>
        </is>
      </c>
      <c r="AD110" s="341" t="inlineStr">
        <is>
          <t>烧结墙体材料和泡沫玻璃生产装置的运行活动。现有企业须达到3级限定值，新建及改扩建企业须达到2级准入值。</t>
        </is>
      </c>
      <c r="AE110" s="341" t="inlineStr">
        <is>
          <t>3级</t>
        </is>
      </c>
      <c r="AF110" s="341" t="inlineStr">
        <is>
          <t>能耗限额等级</t>
        </is>
      </c>
      <c r="AG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H110" s="341" t="inlineStr">
        <is>
          <t>1）现有烧结墙体材料和泡沫玻璃生产企业须达到3级限定值方可继续运营，未达标者须限期改造或淘汰；2）新建及改扩建项目须达到2级准入值方可投产；3）1级先进值用于引导行业节能标杆。</t>
        </is>
      </c>
      <c r="AI110" s="341" t="inlineStr">
        <is>
          <t>N/A</t>
        </is>
      </c>
      <c r="AJ110" s="341" t="inlineStr">
        <is>
          <t>N/A</t>
        </is>
      </c>
      <c r="AK110" s="341" t="inlineStr">
        <is>
          <t>政府机构开展的监督检查；企业能耗数据报告</t>
        </is>
      </c>
      <c r="AL110" s="341" t="inlineStr">
        <is>
          <t>市场监督管理部门对烧结墙体材料和泡沫玻璃生产企业进行能耗限额标准执行情况监督检查；企业须按规定报送年度能源消耗数据，接受节能监察。</t>
        </is>
      </c>
      <c r="AM110" s="341" t="inlineStr">
        <is>
          <t>合规命令；罚款；差别化电价；淘汰关停</t>
        </is>
      </c>
      <c r="AN110" s="341" t="inlineStr">
        <is>
          <t>对不符合强制性能耗限额标准的烧结墙体材料或泡沫玻璃生产企业，由相关部门责令限期整改，逾期未完成整改或整改后仍不达标的，纳入差别化电价范围并依法予以淘汰关停。</t>
        </is>
      </c>
      <c r="AO110" s="341" t="inlineStr">
        <is>
          <t>其他激励或支持</t>
        </is>
      </c>
      <c r="AP110" s="341" t="inlineStr">
        <is>
          <t>国家鼓励烧结墙体材料和泡沫玻璃生产企业对标1级先进值开展节能降碳改造，通过节能审查和绿色工厂认定引导和支持先进产能提升。</t>
        </is>
      </c>
      <c r="AQ110" s="341" t="inlineStr">
        <is>
          <t>N/A</t>
        </is>
      </c>
      <c r="AR110" s="341" t="inlineStr">
        <is>
          <t>N/A</t>
        </is>
      </c>
      <c r="AS110" s="341" t="inlineStr">
        <is>
          <t>C23</t>
        </is>
      </c>
      <c r="AT110" s="341" t="inlineStr">
        <is>
          <t>CO2</t>
        </is>
      </c>
      <c r="AU110" s="341" t="inlineStr">
        <is>
          <t>正向</t>
        </is>
      </c>
      <c r="AV110" s="341" t="inlineStr">
        <is>
          <t>节能</t>
        </is>
      </c>
      <c r="AW110" s="341" t="inlineStr">
        <is>
          <t>GB 30526-2019 烧结墙体材料和泡沫玻璃单位产品能源消耗限额</t>
        </is>
      </c>
      <c r="AX110" s="341" t="inlineStr">
        <is>
          <t>https://openstd.samr.gov.cn/bzgk/std/newGbInfo?hcno=6F51EED8D314AC04CFA4642EB9D519AC</t>
        </is>
      </c>
      <c r="AY110" s="341" t="inlineStr">
        <is>
          <t>GB 30526-2014（旧版，仅含烧结墙体材料）：https://openstd.samr.gov.cn/bzgk/std/nd?no=2142</t>
        </is>
      </c>
      <c r="AZ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t>
        </is>
      </c>
      <c r="L111" s="341" t="inlineStr">
        <is>
          <t>直接</t>
        </is>
      </c>
      <c r="M111" s="341" t="inlineStr">
        <is>
          <t>国家</t>
        </is>
      </c>
      <c r="N111" s="341" t="inlineStr">
        <is>
          <t>N/A</t>
        </is>
      </c>
      <c r="O111" s="341" t="inlineStr">
        <is>
          <t>14/10/2019</t>
        </is>
      </c>
      <c r="P111" s="341" t="inlineStr">
        <is>
          <t>01/05/2020</t>
        </is>
      </c>
      <c r="Q111" s="341" t="inlineStr">
        <is>
          <t>N/A</t>
        </is>
      </c>
      <c r="R111" s="341" t="inlineStr">
        <is>
          <t>N/A</t>
        </is>
      </c>
      <c r="S111" s="341" t="inlineStr">
        <is>
          <t>N/A</t>
        </is>
      </c>
      <c r="T111" s="341">
        <f>IF(P111="","生效",IF(P111="N/A","生效",IF(TODAY()&lt;DATE(VALUE(RIGHT(P111,4)),VALUE(MID(P111,4,2)),VALUE(LEFT(P111,2))),"计划实施",IF(Q111="","生效",IF(Q111="N/A","生效",IF(TODAY()&lt;DATE(VALUE(RIGHT(Q111,4)),VALUE(MID(Q111,4,2)),VALUE(LEFT(Q111,2))),"生效","已终止"))))))</f>
        <v/>
      </c>
      <c r="U111" s="341" t="inlineStr">
        <is>
          <t>国家市场监督管理总局；国家标准化管理委员会</t>
        </is>
      </c>
      <c r="V111" s="341" t="inlineStr">
        <is>
          <t>水泥制品生产车间或生产线</t>
        </is>
      </c>
      <c r="W111" s="341" t="inlineStr">
        <is>
          <t>新建；既有</t>
        </is>
      </c>
      <c r="X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Y111" s="341" t="inlineStr">
        <is>
          <t>N/A</t>
        </is>
      </c>
      <c r="Z111" s="341" t="inlineStr">
        <is>
          <t>N/A</t>
        </is>
      </c>
      <c r="AA111" s="341" t="inlineStr">
        <is>
          <t>企业</t>
        </is>
      </c>
      <c r="AB111" s="341" t="inlineStr">
        <is>
          <t>在中国境内运营混凝土管桩、混凝土电杆、预制混凝土构件或钢筋混凝土排水管生产系统的企业。</t>
        </is>
      </c>
      <c r="AC111" s="341" t="inlineStr">
        <is>
          <t>生产</t>
        </is>
      </c>
      <c r="AD111" s="341" t="inlineStr">
        <is>
          <t>水泥制品生产系统的运行活动。现有企业须达到3级限定值，新建及改扩建企业须达到2级准入值。</t>
        </is>
      </c>
      <c r="AE111" s="341" t="inlineStr">
        <is>
          <t>3级</t>
        </is>
      </c>
      <c r="AF111" s="341" t="inlineStr">
        <is>
          <t>能耗限额等级</t>
        </is>
      </c>
      <c r="AG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H111" s="341" t="inlineStr">
        <is>
          <t>1）现有水泥制品生产企业须达到3级限定值方可继续运营，未达标者须限期改造或淘汰；2）新建及改扩建项目须达到2级准入值方可投产；3）1级先进值用于引导行业节能标杆。</t>
        </is>
      </c>
      <c r="AI111" s="341" t="inlineStr">
        <is>
          <t>N/A</t>
        </is>
      </c>
      <c r="AJ111" s="341" t="inlineStr">
        <is>
          <t>N/A</t>
        </is>
      </c>
      <c r="AK111" s="341" t="inlineStr">
        <is>
          <t>政府机构开展的监督检查；企业能耗数据报告</t>
        </is>
      </c>
      <c r="AL111" s="341" t="inlineStr">
        <is>
          <t>市场监督管理部门对水泥制品生产企业进行能耗限额标准执行情况监督检查；企业须按规定报送年度能源消耗数据，接受节能监察。</t>
        </is>
      </c>
      <c r="AM111" s="341" t="inlineStr">
        <is>
          <t>合规命令；罚款；差别化电价；淘汰关停</t>
        </is>
      </c>
      <c r="AN111" s="341" t="inlineStr">
        <is>
          <t>对不符合强制性能耗限额标准的水泥制品生产企业，由相关部门责令限期整改，逾期未完成整改或整改后仍不达标的，纳入差别化电价范围并依法予以淘汰关停。</t>
        </is>
      </c>
      <c r="AO111" s="341" t="inlineStr">
        <is>
          <t>其他激励或支持</t>
        </is>
      </c>
      <c r="AP111" s="341" t="inlineStr">
        <is>
          <t>国家鼓励水泥制品生产企业对标1级先进值开展节能降碳改造，通过节能审查和绿色工厂认定引导和支持先进产能提升。</t>
        </is>
      </c>
      <c r="AQ111" s="341" t="inlineStr">
        <is>
          <t>N/A</t>
        </is>
      </c>
      <c r="AR111" s="341" t="inlineStr">
        <is>
          <t>N/A</t>
        </is>
      </c>
      <c r="AS111" s="341" t="inlineStr">
        <is>
          <t>C23</t>
        </is>
      </c>
      <c r="AT111" s="341" t="inlineStr">
        <is>
          <t>CO2</t>
        </is>
      </c>
      <c r="AU111" s="341" t="inlineStr">
        <is>
          <t>正向</t>
        </is>
      </c>
      <c r="AV111" s="341" t="inlineStr">
        <is>
          <t>节能</t>
        </is>
      </c>
      <c r="AW111" s="341" t="inlineStr">
        <is>
          <t>GB 38263-2019 水泥制品单位产品能源消耗限额</t>
        </is>
      </c>
      <c r="AX111" s="341" t="inlineStr">
        <is>
          <t>https://openstd.samr.gov.cn/bzgk/std/newGbInfo?hcno=7C344F125FEDFB324891860636875FC2</t>
        </is>
      </c>
      <c r="AY111" s="341" t="inlineStr">
        <is>
          <t>N/A</t>
        </is>
      </c>
      <c r="AZ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t>
        </is>
      </c>
      <c r="L112" s="341" t="inlineStr">
        <is>
          <t>直接</t>
        </is>
      </c>
      <c r="M112" s="341" t="inlineStr">
        <is>
          <t>国家</t>
        </is>
      </c>
      <c r="N112" s="341" t="inlineStr">
        <is>
          <t>N/A</t>
        </is>
      </c>
      <c r="O112" s="341" t="inlineStr">
        <is>
          <t>31/12/2012</t>
        </is>
      </c>
      <c r="P112" s="341" t="inlineStr">
        <is>
          <t>01/10/2013</t>
        </is>
      </c>
      <c r="Q112" s="341" t="inlineStr">
        <is>
          <t>N/A</t>
        </is>
      </c>
      <c r="R112" s="341" t="inlineStr">
        <is>
          <t>14/10/2019</t>
        </is>
      </c>
      <c r="S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T112" s="341">
        <f>IF(P112="","生效",IF(P112="N/A","生效",IF(TODAY()&lt;DATE(VALUE(RIGHT(P112,4)),VALUE(MID(P112,4,2)),VALUE(LEFT(P112,2))),"计划实施",IF(Q112="","生效",IF(Q112="N/A","生效",IF(TODAY()&lt;DATE(VALUE(RIGHT(Q112,4)),VALUE(MID(Q112,4,2)),VALUE(LEFT(Q112,2))),"生效","已终止"))))))</f>
        <v/>
      </c>
      <c r="U112" s="341" t="inlineStr">
        <is>
          <t>国家市场监督管理总局；国家标准化管理委员会</t>
        </is>
      </c>
      <c r="V112" s="341" t="inlineStr">
        <is>
          <t>玻璃和铸石生产装置</t>
        </is>
      </c>
      <c r="W112" s="341" t="inlineStr">
        <is>
          <t>新建；既有</t>
        </is>
      </c>
      <c r="X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Y112" s="341" t="inlineStr">
        <is>
          <t>N/A</t>
        </is>
      </c>
      <c r="Z112" s="341" t="inlineStr">
        <is>
          <t>N/A</t>
        </is>
      </c>
      <c r="AA112" s="341" t="inlineStr">
        <is>
          <t>企业</t>
        </is>
      </c>
      <c r="AB112" s="341" t="inlineStr">
        <is>
          <t>在中国境内运营平板玻璃或铸石生产装置的企业。</t>
        </is>
      </c>
      <c r="AC112" s="341" t="inlineStr">
        <is>
          <t>生产</t>
        </is>
      </c>
      <c r="AD112" s="341" t="inlineStr">
        <is>
          <t>玻璃和铸石生产装置的运行活动。现有企业须达到3级限定值，新建及改扩建企业须达到2级准入值。</t>
        </is>
      </c>
      <c r="AE112" s="341" t="inlineStr">
        <is>
          <t>3级</t>
        </is>
      </c>
      <c r="AF112" s="341" t="inlineStr">
        <is>
          <t>能耗限额等级</t>
        </is>
      </c>
      <c r="AG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H112" s="341" t="inlineStr">
        <is>
          <t>1）现有平板玻璃和铸石生产企业须达到3级限定值方可继续运营，未达标者须限期改造或淘汰；2）新建及改扩建项目须达到2级准入值方可投产；3）1级先进值用于引导行业节能标杆。</t>
        </is>
      </c>
      <c r="AI112" s="341" t="inlineStr">
        <is>
          <t>N/A</t>
        </is>
      </c>
      <c r="AJ112" s="341" t="inlineStr">
        <is>
          <t>N/A</t>
        </is>
      </c>
      <c r="AK112" s="341" t="inlineStr">
        <is>
          <t>政府机构开展的监督检查；企业能耗数据报告</t>
        </is>
      </c>
      <c r="AL112" s="341" t="inlineStr">
        <is>
          <t>市场监督管理部门对玻璃和铸石生产企业进行能耗限额标准执行情况监督检查；企业须按规定报送年度能源消耗数据，接受节能监察。</t>
        </is>
      </c>
      <c r="AM112" s="341" t="inlineStr">
        <is>
          <t>合规命令；罚款；差别化电价；淘汰关停</t>
        </is>
      </c>
      <c r="AN112" s="341" t="inlineStr">
        <is>
          <t>对不符合强制性能耗限额标准的平板玻璃或铸石生产企业，由相关部门责令限期整改，逾期未完成整改或整改后仍不达标的，纳入差别化电价范围并依法予以淘汰关停。</t>
        </is>
      </c>
      <c r="AO112" s="341" t="inlineStr">
        <is>
          <t>其他激励或支持</t>
        </is>
      </c>
      <c r="AP112" s="341" t="inlineStr">
        <is>
          <t>国家鼓励平板玻璃和铸石生产企业对标1级先进值开展节能降碳改造，通过节能审查和绿色工厂认定引导和支持先进产能提升。</t>
        </is>
      </c>
      <c r="AQ112" s="341" t="inlineStr">
        <is>
          <t>N/A</t>
        </is>
      </c>
      <c r="AR112" s="341" t="inlineStr">
        <is>
          <t>N/A</t>
        </is>
      </c>
      <c r="AS112" s="341" t="inlineStr">
        <is>
          <t>C23</t>
        </is>
      </c>
      <c r="AT112" s="341" t="inlineStr">
        <is>
          <t>CO2</t>
        </is>
      </c>
      <c r="AU112" s="341" t="inlineStr">
        <is>
          <t>正向</t>
        </is>
      </c>
      <c r="AV112" s="341" t="inlineStr">
        <is>
          <t>节能</t>
        </is>
      </c>
      <c r="AW112" s="341" t="inlineStr">
        <is>
          <t>GB 21340-2019 玻璃和铸石单位产品能源消耗限额</t>
        </is>
      </c>
      <c r="AX112" s="341" t="inlineStr">
        <is>
          <t>https://openstd.samr.gov.cn/bzgk/std/newGbInfo?hcno=5CB1DAEFA1CDE5510AB6E9943A0E6951</t>
        </is>
      </c>
      <c r="AY112" s="341" t="inlineStr">
        <is>
          <t>GB 21340-2013（旧版，平板玻璃）、GB 30252-2013（旧版，光伏压延玻璃）、GB 29451-2012（旧版，铸石）：https://openstd.samr.gov.cn/bzgk/std/nd?no=2142</t>
        </is>
      </c>
      <c r="AZ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t>
        </is>
      </c>
      <c r="L113" s="341" t="inlineStr">
        <is>
          <t>直接</t>
        </is>
      </c>
      <c r="M113" s="341" t="inlineStr">
        <is>
          <t>国家</t>
        </is>
      </c>
      <c r="N113" s="341" t="inlineStr">
        <is>
          <t>N/A</t>
        </is>
      </c>
      <c r="O113" s="341" t="inlineStr">
        <is>
          <t>19/11/2018</t>
        </is>
      </c>
      <c r="P113" s="341" t="inlineStr">
        <is>
          <t>01/12/2019</t>
        </is>
      </c>
      <c r="Q113" s="341" t="inlineStr">
        <is>
          <t>N/A</t>
        </is>
      </c>
      <c r="R113" s="341" t="inlineStr">
        <is>
          <t>N/A</t>
        </is>
      </c>
      <c r="S113" s="341" t="inlineStr">
        <is>
          <t>N/A</t>
        </is>
      </c>
      <c r="T113" s="341">
        <f>IF(P113="","生效",IF(P113="N/A","生效",IF(TODAY()&lt;DATE(VALUE(RIGHT(P113,4)),VALUE(MID(P113,4,2)),VALUE(LEFT(P113,2))),"计划实施",IF(Q113="","生效",IF(Q113="N/A","生效",IF(TODAY()&lt;DATE(VALUE(RIGHT(Q113,4)),VALUE(MID(Q113,4,2)),VALUE(LEFT(Q113,2))),"生效","已终止"))))))</f>
        <v/>
      </c>
      <c r="U113" s="341" t="inlineStr">
        <is>
          <t>国家市场监督管理总局；国家标准化管理委员会</t>
        </is>
      </c>
      <c r="V113" s="341" t="inlineStr">
        <is>
          <t>预拌混凝土搅拌站</t>
        </is>
      </c>
      <c r="W113" s="341" t="inlineStr">
        <is>
          <t>新建；既有</t>
        </is>
      </c>
      <c r="X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Y113" s="341" t="inlineStr">
        <is>
          <t>N/A</t>
        </is>
      </c>
      <c r="Z113" s="341" t="inlineStr">
        <is>
          <t>N/A</t>
        </is>
      </c>
      <c r="AA113" s="341" t="inlineStr">
        <is>
          <t>企业</t>
        </is>
      </c>
      <c r="AB113" s="341" t="inlineStr">
        <is>
          <t>在中国境内运营预拌混凝土搅拌站的企业。</t>
        </is>
      </c>
      <c r="AC113" s="341" t="inlineStr">
        <is>
          <t>生产</t>
        </is>
      </c>
      <c r="AD113" s="341" t="inlineStr">
        <is>
          <t>预拌混凝土搅拌站的运行活动。现有企业须达到3级限定值，新建及改扩建企业须达到2级准入值。</t>
        </is>
      </c>
      <c r="AE113" s="341" t="inlineStr">
        <is>
          <t>3级</t>
        </is>
      </c>
      <c r="AF113" s="341" t="inlineStr">
        <is>
          <t>能耗限额等级</t>
        </is>
      </c>
      <c r="AG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H113" s="341" t="inlineStr">
        <is>
          <t>1）现有预拌混凝土生产企业须达到3级限定值方可继续运营，未达标者须限期改造或淘汰；2）新建及改扩建项目须达到2级准入值方可投产；3）1级先进值用于引导行业节能标杆。</t>
        </is>
      </c>
      <c r="AI113" s="341" t="inlineStr">
        <is>
          <t>N/A</t>
        </is>
      </c>
      <c r="AJ113" s="341" t="inlineStr">
        <is>
          <t>N/A</t>
        </is>
      </c>
      <c r="AK113" s="341" t="inlineStr">
        <is>
          <t>政府机构开展的监督检查；企业能耗数据报告</t>
        </is>
      </c>
      <c r="AL113" s="341" t="inlineStr">
        <is>
          <t>市场监督管理部门对预拌混凝土生产企业进行能耗限额标准执行情况监督检查；企业须按规定报送年度能源消耗数据，接受节能监察。</t>
        </is>
      </c>
      <c r="AM113" s="341" t="inlineStr">
        <is>
          <t>合规命令；罚款；差别化电价；淘汰关停</t>
        </is>
      </c>
      <c r="AN113" s="341" t="inlineStr">
        <is>
          <t>对不符合强制性能耗限额标准的预拌混凝土生产企业，由相关部门责令限期整改，逾期未完成整改或整改后仍不达标的，纳入差别化电价范围并依法予以淘汰关停。</t>
        </is>
      </c>
      <c r="AO113" s="341" t="inlineStr">
        <is>
          <t>其他激励或支持</t>
        </is>
      </c>
      <c r="AP113" s="341" t="inlineStr">
        <is>
          <t>国家鼓励预拌混凝土生产企业对标1级先进值开展节能降碳改造，通过节能审查和绿色工厂认定引导和支持先进产能提升。</t>
        </is>
      </c>
      <c r="AQ113" s="341" t="inlineStr">
        <is>
          <t>N/A</t>
        </is>
      </c>
      <c r="AR113" s="341" t="inlineStr">
        <is>
          <t>N/A</t>
        </is>
      </c>
      <c r="AS113" s="341" t="inlineStr">
        <is>
          <t>C23</t>
        </is>
      </c>
      <c r="AT113" s="341" t="inlineStr">
        <is>
          <t>CO2</t>
        </is>
      </c>
      <c r="AU113" s="341" t="inlineStr">
        <is>
          <t>正向</t>
        </is>
      </c>
      <c r="AV113" s="341" t="inlineStr">
        <is>
          <t>节能</t>
        </is>
      </c>
      <c r="AW113" s="341" t="inlineStr">
        <is>
          <t>GB 36888-2018 预拌混凝土单位产品能源消耗限额</t>
        </is>
      </c>
      <c r="AX113" s="341" t="inlineStr">
        <is>
          <t>https://openstd.samr.gov.cn/bzgk/std/newGbInfo?hcno=1AC950A21CEA5AAF829F02144F352E7C</t>
        </is>
      </c>
      <c r="AY113" s="341" t="inlineStr">
        <is>
          <t>N/A</t>
        </is>
      </c>
      <c r="AZ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t>
        </is>
      </c>
      <c r="L114" s="341" t="inlineStr">
        <is>
          <t>直接</t>
        </is>
      </c>
      <c r="M114" s="341" t="inlineStr">
        <is>
          <t>国家</t>
        </is>
      </c>
      <c r="N114" s="341" t="inlineStr">
        <is>
          <t>N/A</t>
        </is>
      </c>
      <c r="O114" s="341" t="inlineStr">
        <is>
          <t>19/11/2018</t>
        </is>
      </c>
      <c r="P114" s="341" t="inlineStr">
        <is>
          <t>01/12/2019</t>
        </is>
      </c>
      <c r="Q114" s="341" t="inlineStr">
        <is>
          <t>N/A</t>
        </is>
      </c>
      <c r="R114" s="341" t="inlineStr">
        <is>
          <t>N/A</t>
        </is>
      </c>
      <c r="S114" s="341" t="inlineStr">
        <is>
          <t>N/A</t>
        </is>
      </c>
      <c r="T114" s="341">
        <f>IF(P114="","生效",IF(P114="N/A","生效",IF(TODAY()&lt;DATE(VALUE(RIGHT(P114,4)),VALUE(MID(P114,4,2)),VALUE(LEFT(P114,2))),"计划实施",IF(Q114="","生效",IF(Q114="N/A","生效",IF(TODAY()&lt;DATE(VALUE(RIGHT(Q114,4)),VALUE(MID(Q114,4,2)),VALUE(LEFT(Q114,2))),"生效","已终止"))))))</f>
        <v/>
      </c>
      <c r="U114" s="341" t="inlineStr">
        <is>
          <t>国家市场监督管理总局；国家标准化管理委员会</t>
        </is>
      </c>
      <c r="V114" s="341" t="inlineStr">
        <is>
          <t>刚玉冶炼生产装置</t>
        </is>
      </c>
      <c r="W114" s="341" t="inlineStr">
        <is>
          <t>新建；既有</t>
        </is>
      </c>
      <c r="X114" s="341" t="inlineStr">
        <is>
          <t>以铝矾土、氧化铝等为原料，采用电弧炉（包括倾倒式、固定式等）高温熔炼生产棕刚玉、白刚玉、致密刚玉、亚白刚玉等人造刚玉磨料的生产装置，包括原料制备、电弧炉冶炼、冷却、破碎、分级、磁选等主要工序。</t>
        </is>
      </c>
      <c r="Y114" s="341" t="inlineStr">
        <is>
          <t>N/A</t>
        </is>
      </c>
      <c r="Z114" s="341" t="inlineStr">
        <is>
          <t>N/A</t>
        </is>
      </c>
      <c r="AA114" s="341" t="inlineStr">
        <is>
          <t>企业</t>
        </is>
      </c>
      <c r="AB114" s="341" t="inlineStr">
        <is>
          <t>在中国境内运营刚玉冶炼生产装置的企业。</t>
        </is>
      </c>
      <c r="AC114" s="341" t="inlineStr">
        <is>
          <t>生产</t>
        </is>
      </c>
      <c r="AD114" s="341" t="inlineStr">
        <is>
          <t>刚玉冶炼生产装置的运行活动。现有企业须达到3级限定值，新建及改扩建企业须达到2级准入值。</t>
        </is>
      </c>
      <c r="AE114" s="341" t="inlineStr">
        <is>
          <t>3级</t>
        </is>
      </c>
      <c r="AF114" s="341" t="inlineStr">
        <is>
          <t>能耗限额等级</t>
        </is>
      </c>
      <c r="AG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H114" s="341" t="inlineStr">
        <is>
          <t>1）现有刚玉生产企业须达到3级限定值方可继续运营，未达标者须限期改造或淘汰；2）新建及改扩建项目须达到2级准入值方可投产；3）1级先进值用于引导行业节能标杆。</t>
        </is>
      </c>
      <c r="AI114" s="341" t="inlineStr">
        <is>
          <t>N/A</t>
        </is>
      </c>
      <c r="AJ114" s="341" t="inlineStr">
        <is>
          <t>N/A</t>
        </is>
      </c>
      <c r="AK114" s="341" t="inlineStr">
        <is>
          <t>政府机构开展的监督检查；企业能耗数据报告</t>
        </is>
      </c>
      <c r="AL114" s="341" t="inlineStr">
        <is>
          <t>市场监督管理部门对刚玉生产企业进行能耗限额标准执行情况监督检查；企业须按规定报送年度能源消耗数据，接受节能监察。</t>
        </is>
      </c>
      <c r="AM114" s="341" t="inlineStr">
        <is>
          <t>合规命令；罚款；差别化电价；淘汰关停</t>
        </is>
      </c>
      <c r="AN114" s="341" t="inlineStr">
        <is>
          <t>对不符合强制性能耗限额标准的刚玉生产企业，由相关部门责令限期整改，逾期未完成整改或整改后仍不达标的，纳入差别化电价范围并依法予以淘汰关停。</t>
        </is>
      </c>
      <c r="AO114" s="341" t="inlineStr">
        <is>
          <t>其他激励或支持</t>
        </is>
      </c>
      <c r="AP114" s="341" t="inlineStr">
        <is>
          <t>国家鼓励刚玉生产企业对标1级先进值开展节能降碳改造，通过节能审查和绿色工厂认定引导和支持先进产能提升。</t>
        </is>
      </c>
      <c r="AQ114" s="341" t="inlineStr">
        <is>
          <t>N/A</t>
        </is>
      </c>
      <c r="AR114" s="341" t="inlineStr">
        <is>
          <t>N/A</t>
        </is>
      </c>
      <c r="AS114" s="341" t="inlineStr">
        <is>
          <t>C23</t>
        </is>
      </c>
      <c r="AT114" s="341" t="inlineStr">
        <is>
          <t>CO2</t>
        </is>
      </c>
      <c r="AU114" s="341" t="inlineStr">
        <is>
          <t>正向</t>
        </is>
      </c>
      <c r="AV114" s="341" t="inlineStr">
        <is>
          <t>节能</t>
        </is>
      </c>
      <c r="AW114" s="341" t="inlineStr">
        <is>
          <t>GB 36892-2018 刚玉单位产品能源消耗限额</t>
        </is>
      </c>
      <c r="AX114" s="341" t="inlineStr">
        <is>
          <t>https://openstd.samr.gov.cn/bzgk/std/newGbInfo?hcno=E5D583F06BE74D216DBBF633B7B4988B</t>
        </is>
      </c>
      <c r="AY114" s="341" t="inlineStr">
        <is>
          <t>N/A</t>
        </is>
      </c>
      <c r="AZ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t>
        </is>
      </c>
      <c r="L115" s="341" t="inlineStr">
        <is>
          <t>直接</t>
        </is>
      </c>
      <c r="M115" s="341" t="inlineStr">
        <is>
          <t>国家</t>
        </is>
      </c>
      <c r="N115" s="341" t="inlineStr">
        <is>
          <t>N/A</t>
        </is>
      </c>
      <c r="O115" s="341" t="inlineStr">
        <is>
          <t>19/11/2018</t>
        </is>
      </c>
      <c r="P115" s="341" t="inlineStr">
        <is>
          <t>01/12/2019</t>
        </is>
      </c>
      <c r="Q115" s="341" t="inlineStr">
        <is>
          <t>N/A</t>
        </is>
      </c>
      <c r="R115" s="341" t="inlineStr">
        <is>
          <t>N/A</t>
        </is>
      </c>
      <c r="S115" s="341" t="inlineStr">
        <is>
          <t>N/A</t>
        </is>
      </c>
      <c r="T115" s="341">
        <f>IF(P115="","生效",IF(P115="N/A","生效",IF(TODAY()&lt;DATE(VALUE(RIGHT(P115,4)),VALUE(MID(P115,4,2)),VALUE(LEFT(P115,2))),"计划实施",IF(Q115="","生效",IF(Q115="N/A","生效",IF(TODAY()&lt;DATE(VALUE(RIGHT(Q115,4)),VALUE(MID(Q115,4,2)),VALUE(LEFT(Q115,2))),"生效","已终止"))))))</f>
        <v/>
      </c>
      <c r="U115" s="341" t="inlineStr">
        <is>
          <t>国家市场监督管理总局；国家标准化管理委员会</t>
        </is>
      </c>
      <c r="V115" s="341" t="inlineStr">
        <is>
          <t>莫来石生产装置</t>
        </is>
      </c>
      <c r="W115" s="341" t="inlineStr">
        <is>
          <t>新建；既有</t>
        </is>
      </c>
      <c r="X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Y115" s="341" t="inlineStr">
        <is>
          <t>N/A</t>
        </is>
      </c>
      <c r="Z115" s="341" t="inlineStr">
        <is>
          <t>N/A</t>
        </is>
      </c>
      <c r="AA115" s="341" t="inlineStr">
        <is>
          <t>企业</t>
        </is>
      </c>
      <c r="AB115" s="341" t="inlineStr">
        <is>
          <t>在中国境内运营烧结莫来石或电熔莫来石生产装置的企业。</t>
        </is>
      </c>
      <c r="AC115" s="341" t="inlineStr">
        <is>
          <t>生产</t>
        </is>
      </c>
      <c r="AD115" s="341" t="inlineStr">
        <is>
          <t>莫来石生产装置的运行活动。现有企业须达到3级限定值，新建及改扩建企业须达到2级准入值。</t>
        </is>
      </c>
      <c r="AE115" s="341" t="inlineStr">
        <is>
          <t>3级</t>
        </is>
      </c>
      <c r="AF115" s="341" t="inlineStr">
        <is>
          <t>能耗限额等级</t>
        </is>
      </c>
      <c r="AG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H115" s="341" t="inlineStr">
        <is>
          <t>1）现有莫来石生产企业须达到3级限定值方可继续运营，未达标者须限期改造或淘汰；2）新建及改扩建项目须达到2级准入值方可投产；3）1级先进值用于引导行业节能标杆。</t>
        </is>
      </c>
      <c r="AI115" s="341" t="inlineStr">
        <is>
          <t>N/A</t>
        </is>
      </c>
      <c r="AJ115" s="341" t="inlineStr">
        <is>
          <t>N/A</t>
        </is>
      </c>
      <c r="AK115" s="341" t="inlineStr">
        <is>
          <t>政府机构开展的监督检查；企业能耗数据报告</t>
        </is>
      </c>
      <c r="AL115" s="341" t="inlineStr">
        <is>
          <t>市场监督管理部门对莫来石生产企业进行能耗限额标准执行情况监督检查；企业须按规定报送年度能源消耗数据，接受节能监察。</t>
        </is>
      </c>
      <c r="AM115" s="341" t="inlineStr">
        <is>
          <t>合规命令；罚款；差别化电价；淘汰关停</t>
        </is>
      </c>
      <c r="AN115" s="341" t="inlineStr">
        <is>
          <t>对不符合强制性能耗限额标准的莫来石生产企业，由相关部门责令限期整改，逾期未完成整改或整改后仍不达标的，纳入差别化电价范围并依法予以淘汰关停。</t>
        </is>
      </c>
      <c r="AO115" s="341" t="inlineStr">
        <is>
          <t>其他激励或支持</t>
        </is>
      </c>
      <c r="AP115" s="341" t="inlineStr">
        <is>
          <t>国家鼓励莫来石生产企业对标1级先进值开展节能降碳改造，通过节能审查和绿色工厂认定引导和支持先进产能提升。</t>
        </is>
      </c>
      <c r="AQ115" s="341" t="inlineStr">
        <is>
          <t>N/A</t>
        </is>
      </c>
      <c r="AR115" s="341" t="inlineStr">
        <is>
          <t>N/A</t>
        </is>
      </c>
      <c r="AS115" s="341" t="inlineStr">
        <is>
          <t>C23</t>
        </is>
      </c>
      <c r="AT115" s="341" t="inlineStr">
        <is>
          <t>CO2</t>
        </is>
      </c>
      <c r="AU115" s="341" t="inlineStr">
        <is>
          <t>正向</t>
        </is>
      </c>
      <c r="AV115" s="341" t="inlineStr">
        <is>
          <t>节能</t>
        </is>
      </c>
      <c r="AW115" s="341" t="inlineStr">
        <is>
          <t>GB 36891-2018 莫来石单位产品能源消耗限额</t>
        </is>
      </c>
      <c r="AX115" s="341" t="inlineStr">
        <is>
          <t>https://openstd.samr.gov.cn/bzgk/std/newGbInfo?hcno=4F1E3481B46F90E16AA3BA67ACD26E96</t>
        </is>
      </c>
      <c r="AY115" s="341" t="inlineStr">
        <is>
          <t>N/A</t>
        </is>
      </c>
      <c r="AZ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t>
        </is>
      </c>
      <c r="L116" s="341" t="inlineStr">
        <is>
          <t>直接</t>
        </is>
      </c>
      <c r="M116" s="341" t="inlineStr">
        <is>
          <t>国家</t>
        </is>
      </c>
      <c r="N116" s="341" t="inlineStr">
        <is>
          <t>N/A</t>
        </is>
      </c>
      <c r="O116" s="341" t="inlineStr">
        <is>
          <t>19/11/2018</t>
        </is>
      </c>
      <c r="P116" s="341" t="inlineStr">
        <is>
          <t>01/12/2019</t>
        </is>
      </c>
      <c r="Q116" s="341" t="inlineStr">
        <is>
          <t>N/A</t>
        </is>
      </c>
      <c r="R116" s="341" t="inlineStr">
        <is>
          <t>N/A</t>
        </is>
      </c>
      <c r="S116" s="341" t="inlineStr">
        <is>
          <t>N/A</t>
        </is>
      </c>
      <c r="T116" s="341">
        <f>IF(P116="","生效",IF(P116="N/A","生效",IF(TODAY()&lt;DATE(VALUE(RIGHT(P116,4)),VALUE(MID(P116,4,2)),VALUE(LEFT(P116,2))),"计划实施",IF(Q116="","生效",IF(Q116="N/A","生效",IF(TODAY()&lt;DATE(VALUE(RIGHT(Q116,4)),VALUE(MID(Q116,4,2)),VALUE(LEFT(Q116,2))),"生效","已终止"))))))</f>
        <v/>
      </c>
      <c r="U116" s="341" t="inlineStr">
        <is>
          <t>国家市场监督管理总局；国家标准化管理委员会</t>
        </is>
      </c>
      <c r="V116" s="341" t="inlineStr">
        <is>
          <t>日用陶瓷生产装置</t>
        </is>
      </c>
      <c r="W116" s="341" t="inlineStr">
        <is>
          <t>新建；既有</t>
        </is>
      </c>
      <c r="X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Y116" s="341" t="inlineStr">
        <is>
          <t>N/A</t>
        </is>
      </c>
      <c r="Z116" s="341" t="inlineStr">
        <is>
          <t>N/A</t>
        </is>
      </c>
      <c r="AA116" s="341" t="inlineStr">
        <is>
          <t>企业</t>
        </is>
      </c>
      <c r="AB116" s="341" t="inlineStr">
        <is>
          <t>在中国境内运营日用陶瓷生产装置的企业。</t>
        </is>
      </c>
      <c r="AC116" s="341" t="inlineStr">
        <is>
          <t>生产</t>
        </is>
      </c>
      <c r="AD116" s="341" t="inlineStr">
        <is>
          <t>日用陶瓷生产装置的运行活动。现有企业须达到3级限定值，新建及改扩建企业须达到2级准入值。</t>
        </is>
      </c>
      <c r="AE116" s="341" t="inlineStr">
        <is>
          <t>3级</t>
        </is>
      </c>
      <c r="AF116" s="341" t="inlineStr">
        <is>
          <t>能耗限额等级</t>
        </is>
      </c>
      <c r="AG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H116" s="341" t="inlineStr">
        <is>
          <t>1）现有日用陶瓷生产企业须达到3级限定值方可继续运营，未达标者须限期改造或淘汰；2）新建及改扩建项目须达到2级准入值方可投产；3）1级先进值用于引导行业节能标杆。</t>
        </is>
      </c>
      <c r="AI116" s="341" t="inlineStr">
        <is>
          <t>N/A</t>
        </is>
      </c>
      <c r="AJ116" s="341" t="inlineStr">
        <is>
          <t>N/A</t>
        </is>
      </c>
      <c r="AK116" s="341" t="inlineStr">
        <is>
          <t>政府机构开展的监督检查；企业能耗数据报告</t>
        </is>
      </c>
      <c r="AL116" s="341" t="inlineStr">
        <is>
          <t>市场监督管理部门对日用陶瓷生产企业进行能耗限额标准执行情况监督检查；企业须按规定报送年度能源消耗数据，接受节能监察。</t>
        </is>
      </c>
      <c r="AM116" s="341" t="inlineStr">
        <is>
          <t>合规命令；罚款；差别化电价；淘汰关停</t>
        </is>
      </c>
      <c r="AN116" s="341" t="inlineStr">
        <is>
          <t>对不符合强制性能耗限额标准的日用陶瓷生产企业，由相关部门责令限期整改，逾期未完成整改或整改后仍不达标的，纳入差别化电价范围并依法予以淘汰关停。</t>
        </is>
      </c>
      <c r="AO116" s="341" t="inlineStr">
        <is>
          <t>其他激励或支持</t>
        </is>
      </c>
      <c r="AP116" s="341" t="inlineStr">
        <is>
          <t>国家鼓励日用陶瓷生产企业对标1级先进值开展节能降碳改造，通过节能审查和绿色工厂认定引导和支持先进产能提升。</t>
        </is>
      </c>
      <c r="AQ116" s="341" t="inlineStr">
        <is>
          <t>N/A</t>
        </is>
      </c>
      <c r="AR116" s="341" t="inlineStr">
        <is>
          <t>N/A</t>
        </is>
      </c>
      <c r="AS116" s="341" t="inlineStr">
        <is>
          <t>C23</t>
        </is>
      </c>
      <c r="AT116" s="341" t="inlineStr">
        <is>
          <t>CO2</t>
        </is>
      </c>
      <c r="AU116" s="341" t="inlineStr">
        <is>
          <t>正向</t>
        </is>
      </c>
      <c r="AV116" s="341" t="inlineStr">
        <is>
          <t>节能</t>
        </is>
      </c>
      <c r="AW116" s="341" t="inlineStr">
        <is>
          <t>GB 36890-2018 日用陶瓷单位产品能源消耗限额</t>
        </is>
      </c>
      <c r="AX116" s="341" t="inlineStr">
        <is>
          <t>https://openstd.samr.gov.cn/bzgk/std/newGbInfo?hcno=24AAB4E97AF47A1F10329F45AA8F0E0D</t>
        </is>
      </c>
      <c r="AY116" s="341" t="inlineStr">
        <is>
          <t>N/A</t>
        </is>
      </c>
      <c r="AZ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t>
        </is>
      </c>
      <c r="L117" s="341" t="inlineStr">
        <is>
          <t>直接</t>
        </is>
      </c>
      <c r="M117" s="341" t="inlineStr">
        <is>
          <t>国家</t>
        </is>
      </c>
      <c r="N117" s="341" t="inlineStr">
        <is>
          <t>N/A</t>
        </is>
      </c>
      <c r="O117" s="341" t="inlineStr">
        <is>
          <t>19/11/2018</t>
        </is>
      </c>
      <c r="P117" s="341" t="inlineStr">
        <is>
          <t>01/12/2019</t>
        </is>
      </c>
      <c r="Q117" s="341" t="inlineStr">
        <is>
          <t>N/A</t>
        </is>
      </c>
      <c r="R117" s="341" t="inlineStr">
        <is>
          <t>N/A</t>
        </is>
      </c>
      <c r="S117" s="341" t="inlineStr">
        <is>
          <t>N/A</t>
        </is>
      </c>
      <c r="T117" s="341">
        <f>IF(P117="","生效",IF(P117="N/A","生效",IF(TODAY()&lt;DATE(VALUE(RIGHT(P117,4)),VALUE(MID(P117,4,2)),VALUE(LEFT(P117,2))),"计划实施",IF(Q117="","生效",IF(Q117="N/A","生效",IF(TODAY()&lt;DATE(VALUE(RIGHT(Q117,4)),VALUE(MID(Q117,4,2)),VALUE(LEFT(Q117,2))),"生效","已终止"))))))</f>
        <v/>
      </c>
      <c r="U117" s="341" t="inlineStr">
        <is>
          <t>国家市场监督管理总局；国家标准化管理委员会</t>
        </is>
      </c>
      <c r="V117" s="341" t="inlineStr">
        <is>
          <t>合成革生产装置</t>
        </is>
      </c>
      <c r="W117" s="341" t="inlineStr">
        <is>
          <t>新建；既有</t>
        </is>
      </c>
      <c r="X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Y117" s="341" t="inlineStr">
        <is>
          <t>N/A</t>
        </is>
      </c>
      <c r="Z117" s="341" t="inlineStr">
        <is>
          <t>N/A</t>
        </is>
      </c>
      <c r="AA117" s="341" t="inlineStr">
        <is>
          <t>企业</t>
        </is>
      </c>
      <c r="AB117" s="341" t="inlineStr">
        <is>
          <t>在中国境内运营合成革生产装置的企业。</t>
        </is>
      </c>
      <c r="AC117" s="341" t="inlineStr">
        <is>
          <t>生产</t>
        </is>
      </c>
      <c r="AD117" s="341" t="inlineStr">
        <is>
          <t>合成革生产装置的运行活动，包括基础产品生产和DMF回收。现有企业须达到3级限定值，新建及改扩建企业须达到2级准入值。</t>
        </is>
      </c>
      <c r="AE117" s="341" t="inlineStr">
        <is>
          <t>3级</t>
        </is>
      </c>
      <c r="AF117" s="341" t="inlineStr">
        <is>
          <t>能耗限额等级</t>
        </is>
      </c>
      <c r="AG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H117" s="341" t="inlineStr">
        <is>
          <t>1）现有合成革生产企业须达到3级限定值方可继续运营，未达标者须限期改造或淘汰；2）新建及改扩建项目须达到2级准入值方可投产；3）1级先进值用于引导行业节能标杆。</t>
        </is>
      </c>
      <c r="AI117" s="341" t="inlineStr">
        <is>
          <t>N/A</t>
        </is>
      </c>
      <c r="AJ117" s="341" t="inlineStr">
        <is>
          <t>N/A</t>
        </is>
      </c>
      <c r="AK117" s="341" t="inlineStr">
        <is>
          <t>政府机构开展的监督检查；企业能耗数据报告</t>
        </is>
      </c>
      <c r="AL117" s="341" t="inlineStr">
        <is>
          <t>市场监督管理部门对合成革生产企业进行能耗限额标准执行情况监督检查；企业须按规定报送年度能源消耗数据，接受节能监察。</t>
        </is>
      </c>
      <c r="AM117" s="341" t="inlineStr">
        <is>
          <t>合规命令；罚款；差别化电价；淘汰关停</t>
        </is>
      </c>
      <c r="AN117" s="341" t="inlineStr">
        <is>
          <t>对不符合强制性能耗限额标准的合成革生产企业，由相关部门责令限期整改，逾期未完成整改或整改后仍不达标的，纳入差别化电价范围并依法予以淘汰关停。</t>
        </is>
      </c>
      <c r="AO117" s="341" t="inlineStr">
        <is>
          <t>其他激励或支持</t>
        </is>
      </c>
      <c r="AP117" s="341" t="inlineStr">
        <is>
          <t>国家鼓励合成革生产企业对标1级先进值开展节能降碳改造，通过节能审查和绿色工厂认定引导和支持先进产能提升。</t>
        </is>
      </c>
      <c r="AQ117" s="341" t="inlineStr">
        <is>
          <t>N/A</t>
        </is>
      </c>
      <c r="AR117" s="341" t="inlineStr">
        <is>
          <t>N/A</t>
        </is>
      </c>
      <c r="AS117" s="341" t="inlineStr">
        <is>
          <t>C15</t>
        </is>
      </c>
      <c r="AT117" s="341" t="inlineStr">
        <is>
          <t>CO2</t>
        </is>
      </c>
      <c r="AU117" s="341" t="inlineStr">
        <is>
          <t>正向</t>
        </is>
      </c>
      <c r="AV117" s="341" t="inlineStr">
        <is>
          <t>节能</t>
        </is>
      </c>
      <c r="AW117" s="341" t="inlineStr">
        <is>
          <t>GB 36887-2018 合成革单位产品能源消耗限额</t>
        </is>
      </c>
      <c r="AX117" s="341" t="inlineStr">
        <is>
          <t>https://openstd.samr.gov.cn/bzgk/std/newGbInfo?hcno=7997DF7DB4549BEB6A28D6FE0FD65F6A</t>
        </is>
      </c>
      <c r="AY117" s="341" t="inlineStr">
        <is>
          <t>N/A</t>
        </is>
      </c>
      <c r="AZ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t>
        </is>
      </c>
      <c r="L118" s="341" t="inlineStr">
        <is>
          <t>直接</t>
        </is>
      </c>
      <c r="M118" s="341" t="inlineStr">
        <is>
          <t>国家</t>
        </is>
      </c>
      <c r="N118" s="341" t="inlineStr">
        <is>
          <t>N/A</t>
        </is>
      </c>
      <c r="O118" s="341" t="inlineStr">
        <is>
          <t>19/11/2018</t>
        </is>
      </c>
      <c r="P118" s="341" t="inlineStr">
        <is>
          <t>01/12/2019</t>
        </is>
      </c>
      <c r="Q118" s="341" t="inlineStr">
        <is>
          <t>N/A</t>
        </is>
      </c>
      <c r="R118" s="341" t="inlineStr">
        <is>
          <t>N/A</t>
        </is>
      </c>
      <c r="S118" s="341" t="inlineStr">
        <is>
          <t>N/A</t>
        </is>
      </c>
      <c r="T118" s="341">
        <f>IF(P118="","生效",IF(P118="N/A","生效",IF(TODAY()&lt;DATE(VALUE(RIGHT(P118,4)),VALUE(MID(P118,4,2)),VALUE(LEFT(P118,2))),"计划实施",IF(Q118="","生效",IF(Q118="N/A","生效",IF(TODAY()&lt;DATE(VALUE(RIGHT(Q118,4)),VALUE(MID(Q118,4,2)),VALUE(LEFT(Q118,2))),"生效","已终止"))))))</f>
        <v/>
      </c>
      <c r="U118" s="341" t="inlineStr">
        <is>
          <t>国家市场监督管理总局；国家标准化管理委员会</t>
        </is>
      </c>
      <c r="V118" s="341" t="inlineStr">
        <is>
          <t>聚酯涤纶生产装置</t>
        </is>
      </c>
      <c r="W118" s="341" t="inlineStr">
        <is>
          <t>新建；既有</t>
        </is>
      </c>
      <c r="X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Y118" s="341" t="inlineStr">
        <is>
          <t>N/A</t>
        </is>
      </c>
      <c r="Z118" s="341" t="inlineStr">
        <is>
          <t>N/A</t>
        </is>
      </c>
      <c r="AA118" s="341" t="inlineStr">
        <is>
          <t>企业</t>
        </is>
      </c>
      <c r="AB118" s="341" t="inlineStr">
        <is>
          <t>在中国境内运营聚酯涤纶生产装置的企业。</t>
        </is>
      </c>
      <c r="AC118" s="341" t="inlineStr">
        <is>
          <t>生产</t>
        </is>
      </c>
      <c r="AD118" s="341" t="inlineStr">
        <is>
          <t>聚酯涤纶生产装置的运行活动。现有企业须达到3级限定值，新建及改扩建企业须达到2级准入值。</t>
        </is>
      </c>
      <c r="AE118" s="341" t="inlineStr">
        <is>
          <t>3级</t>
        </is>
      </c>
      <c r="AF118" s="341" t="inlineStr">
        <is>
          <t>能耗限额等级</t>
        </is>
      </c>
      <c r="AG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H118" s="341" t="inlineStr">
        <is>
          <t>1）现有聚酯涤纶生产企业须达到3级限定值方可继续运营，未达标者须限期改造或淘汰；2）新建及改扩建项目须达到2级准入值方可投产；3）1级先进值用于引导行业节能标杆。</t>
        </is>
      </c>
      <c r="AI118" s="341" t="inlineStr">
        <is>
          <t>N/A</t>
        </is>
      </c>
      <c r="AJ118" s="341" t="inlineStr">
        <is>
          <t>N/A</t>
        </is>
      </c>
      <c r="AK118" s="341" t="inlineStr">
        <is>
          <t>政府机构开展的监督检查；企业能耗数据报告</t>
        </is>
      </c>
      <c r="AL118" s="341" t="inlineStr">
        <is>
          <t>市场监督管理部门对聚酯涤纶生产企业进行能耗限额标准执行情况监督检查；企业须按规定报送年度能源消耗数据，接受节能监察。</t>
        </is>
      </c>
      <c r="AM118" s="341" t="inlineStr">
        <is>
          <t>合规命令；罚款；差别化电价；淘汰关停</t>
        </is>
      </c>
      <c r="AN118" s="341" t="inlineStr">
        <is>
          <t>对不符合强制性能耗限额标准的聚酯涤纶生产企业，由相关部门责令限期整改，逾期未完成整改或整改后仍不达标的，纳入差别化电价范围并依法予以淘汰关停。</t>
        </is>
      </c>
      <c r="AO118" s="341" t="inlineStr">
        <is>
          <t>其他激励或支持</t>
        </is>
      </c>
      <c r="AP118" s="341" t="inlineStr">
        <is>
          <t>国家鼓励聚酯涤纶生产企业对标1级先进值开展节能降碳改造，通过节能审查和绿色工厂认定引导和支持先进产能提升。</t>
        </is>
      </c>
      <c r="AQ118" s="341" t="inlineStr">
        <is>
          <t>N/A</t>
        </is>
      </c>
      <c r="AR118" s="341" t="inlineStr">
        <is>
          <t>N/A</t>
        </is>
      </c>
      <c r="AS118" s="341" t="inlineStr">
        <is>
          <t>C20</t>
        </is>
      </c>
      <c r="AT118" s="341" t="inlineStr">
        <is>
          <t>CO2</t>
        </is>
      </c>
      <c r="AU118" s="341" t="inlineStr">
        <is>
          <t>正向</t>
        </is>
      </c>
      <c r="AV118" s="341" t="inlineStr">
        <is>
          <t>节能</t>
        </is>
      </c>
      <c r="AW118" s="341" t="inlineStr">
        <is>
          <t>GB 36889-2018 聚酯涤纶单位产品能源消耗限额</t>
        </is>
      </c>
      <c r="AX118" s="341" t="inlineStr">
        <is>
          <t>https://openstd.samr.gov.cn/bzgk/std/newGbInfo?hcno=7AC3075CD35CB4B1E05397BE0A0AC4DE</t>
        </is>
      </c>
      <c r="AY118" s="341" t="inlineStr">
        <is>
          <t>N/A</t>
        </is>
      </c>
      <c r="AZ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t>
        </is>
      </c>
      <c r="L119" s="341" t="inlineStr">
        <is>
          <t>直接</t>
        </is>
      </c>
      <c r="M119" s="341" t="inlineStr">
        <is>
          <t>国家</t>
        </is>
      </c>
      <c r="N119" s="341" t="inlineStr">
        <is>
          <t>N/A</t>
        </is>
      </c>
      <c r="O119" s="341" t="inlineStr">
        <is>
          <t>21/01/2008</t>
        </is>
      </c>
      <c r="P119" s="341" t="inlineStr">
        <is>
          <t>01/06/2008</t>
        </is>
      </c>
      <c r="Q119" s="341" t="inlineStr">
        <is>
          <t>N/A</t>
        </is>
      </c>
      <c r="R119" s="341" t="inlineStr">
        <is>
          <t>01/11/2017</t>
        </is>
      </c>
      <c r="S119" s="341" t="inlineStr">
        <is>
          <t>2017年11月1日发布GB 21370-2017替代GB 21370-2008，增加能耗限额等级（1级/2级/3级），删除先进值，取消电力等价值折算系数、统一采用电力当量值折算系数，完善和简化限额指标计算公式。</t>
        </is>
      </c>
      <c r="T119" s="341">
        <f>IF(P119="","生效",IF(P119="N/A","生效",IF(TODAY()&lt;DATE(VALUE(RIGHT(P119,4)),VALUE(MID(P119,4,2)),VALUE(LEFT(P119,2))),"计划实施",IF(Q119="","生效",IF(Q119="N/A","生效",IF(TODAY()&lt;DATE(VALUE(RIGHT(Q119,4)),VALUE(MID(Q119,4,2)),VALUE(LEFT(Q119,2))),"生效","已终止"))))))</f>
        <v/>
      </c>
      <c r="U119" s="341" t="inlineStr">
        <is>
          <t>国家市场监督管理总局；国家标准化管理委员会</t>
        </is>
      </c>
      <c r="V119" s="341" t="inlineStr">
        <is>
          <t>炭素制品生产装置</t>
        </is>
      </c>
      <c r="W119" s="341" t="inlineStr">
        <is>
          <t>新建；既有</t>
        </is>
      </c>
      <c r="X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Y119" s="341" t="inlineStr">
        <is>
          <t>N/A</t>
        </is>
      </c>
      <c r="Z119" s="341" t="inlineStr">
        <is>
          <t>N/A</t>
        </is>
      </c>
      <c r="AA119" s="341" t="inlineStr">
        <is>
          <t>企业</t>
        </is>
      </c>
      <c r="AB119" s="341" t="inlineStr">
        <is>
          <t>在中国境内运营炭素制品生产装置的企业。</t>
        </is>
      </c>
      <c r="AC119" s="341" t="inlineStr">
        <is>
          <t>生产</t>
        </is>
      </c>
      <c r="AD119" s="341" t="inlineStr">
        <is>
          <t>炭素制品生产装置的运行活动，包括压型、焙烧、浸渍、石墨化和机加工等工序。现有企业须达到3级限定值，新建及改扩建企业须达到2级准入值。</t>
        </is>
      </c>
      <c r="AE119" s="341" t="inlineStr">
        <is>
          <t>3级</t>
        </is>
      </c>
      <c r="AF119" s="341" t="inlineStr">
        <is>
          <t>能耗限额等级</t>
        </is>
      </c>
      <c r="AG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H119" s="341" t="inlineStr">
        <is>
          <t>1）现有炭素制品生产企业须达到3级限定值方可继续运营，未达标者须限期改造或淘汰；2）新建及改扩建项目须达到2级准入值方可投产；3）1级先进值用于引导行业节能标杆。</t>
        </is>
      </c>
      <c r="AI119" s="341" t="inlineStr">
        <is>
          <t>N/A</t>
        </is>
      </c>
      <c r="AJ119" s="341" t="inlineStr">
        <is>
          <t>N/A</t>
        </is>
      </c>
      <c r="AK119" s="341" t="inlineStr">
        <is>
          <t>政府机构开展的监督检查；企业能耗数据报告</t>
        </is>
      </c>
      <c r="AL119" s="341" t="inlineStr">
        <is>
          <t>市场监督管理部门对炭素制品生产企业进行能耗限额标准执行情况监督检查；企业须按规定报送年度能源消耗数据，接受节能监察。</t>
        </is>
      </c>
      <c r="AM119" s="341" t="inlineStr">
        <is>
          <t>合规命令；罚款；差别化电价；淘汰关停</t>
        </is>
      </c>
      <c r="AN119" s="341" t="inlineStr">
        <is>
          <t>对不符合强制性能耗限额标准的炭素制品生产企业，由相关部门责令限期整改，逾期未完成整改或整改后仍不达标的，纳入差别化电价范围并依法予以淘汰关停。</t>
        </is>
      </c>
      <c r="AO119" s="341" t="inlineStr">
        <is>
          <t>其他激励或支持</t>
        </is>
      </c>
      <c r="AP119" s="341" t="inlineStr">
        <is>
          <t>国家鼓励炭素制品生产企业对标1级先进值开展节能降碳改造，通过节能审查和绿色工厂认定引导和支持先进产能提升。</t>
        </is>
      </c>
      <c r="AQ119" s="341" t="inlineStr">
        <is>
          <t>N/A</t>
        </is>
      </c>
      <c r="AR119" s="341" t="inlineStr">
        <is>
          <t>N/A</t>
        </is>
      </c>
      <c r="AS119" s="341" t="inlineStr">
        <is>
          <t>C23</t>
        </is>
      </c>
      <c r="AT119" s="341" t="inlineStr">
        <is>
          <t>CO2</t>
        </is>
      </c>
      <c r="AU119" s="341" t="inlineStr">
        <is>
          <t>正向</t>
        </is>
      </c>
      <c r="AV119" s="341" t="inlineStr">
        <is>
          <t>节能</t>
        </is>
      </c>
      <c r="AW119" s="341" t="inlineStr">
        <is>
          <t>GB 21370-2017 炭素单位产品能源消耗限额</t>
        </is>
      </c>
      <c r="AX119" s="341" t="inlineStr">
        <is>
          <t>https://openstd.samr.gov.cn/bzgk/std/newGbInfo?hcno=0918126625A53D297B2D083FE4E46BD6</t>
        </is>
      </c>
      <c r="AY119" s="341" t="inlineStr">
        <is>
          <t>GB 21370-2008（旧版）：https://openstd.samr.gov.cn/bzgk/std/nd?no=2142</t>
        </is>
      </c>
      <c r="AZ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t>
        </is>
      </c>
      <c r="L120" s="341" t="inlineStr">
        <is>
          <t>直接</t>
        </is>
      </c>
      <c r="M120" s="341" t="inlineStr">
        <is>
          <t>国家</t>
        </is>
      </c>
      <c r="N120" s="341" t="inlineStr">
        <is>
          <t>N/A</t>
        </is>
      </c>
      <c r="O120" s="341" t="inlineStr">
        <is>
          <t>12/05/2017</t>
        </is>
      </c>
      <c r="P120" s="341" t="inlineStr">
        <is>
          <t>01/06/2018</t>
        </is>
      </c>
      <c r="Q120" s="341" t="inlineStr">
        <is>
          <t>N/A</t>
        </is>
      </c>
      <c r="R120" s="341" t="inlineStr">
        <is>
          <t>N/A</t>
        </is>
      </c>
      <c r="S120" s="341" t="inlineStr">
        <is>
          <t>N/A</t>
        </is>
      </c>
      <c r="T120" s="341">
        <f>IF(P120="","生效",IF(P120="N/A","生效",IF(TODAY()&lt;DATE(VALUE(RIGHT(P120,4)),VALUE(MID(P120,4,2)),VALUE(LEFT(P120,2))),"计划实施",IF(Q120="","生效",IF(Q120="N/A","生效",IF(TODAY()&lt;DATE(VALUE(RIGHT(Q120,4)),VALUE(MID(Q120,4,2)),VALUE(LEFT(Q120,2))),"生效","已终止"))))))</f>
        <v/>
      </c>
      <c r="U120" s="341" t="inlineStr">
        <is>
          <t>国家市场监督管理总局；国家标准化管理委员会</t>
        </is>
      </c>
      <c r="V120" s="341" t="inlineStr">
        <is>
          <t>建筑石膏生产装置</t>
        </is>
      </c>
      <c r="W120" s="341" t="inlineStr">
        <is>
          <t>新建；既有</t>
        </is>
      </c>
      <c r="X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Y120" s="341" t="inlineStr">
        <is>
          <t>N/A</t>
        </is>
      </c>
      <c r="Z120" s="341" t="inlineStr">
        <is>
          <t>N/A</t>
        </is>
      </c>
      <c r="AA120" s="341" t="inlineStr">
        <is>
          <t>企业</t>
        </is>
      </c>
      <c r="AB120" s="341" t="inlineStr">
        <is>
          <t>在中国境内运营建筑石膏生产装置的企业。</t>
        </is>
      </c>
      <c r="AC120" s="341" t="inlineStr">
        <is>
          <t>生产</t>
        </is>
      </c>
      <c r="AD120" s="341" t="inlineStr">
        <is>
          <t>建筑石膏生产装置的运行活动。现有企业须达到3级限定值，新建及改扩建企业须达到2级准入值。</t>
        </is>
      </c>
      <c r="AE120" s="341" t="inlineStr">
        <is>
          <t>3级</t>
        </is>
      </c>
      <c r="AF120" s="341" t="inlineStr">
        <is>
          <t>能耗限额等级</t>
        </is>
      </c>
      <c r="AG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H120" s="341" t="inlineStr">
        <is>
          <t>1）现有建筑石膏生产企业须达到3级限定值方可继续运营，未达标者须限期改造或淘汰；2）新建及改扩建项目须达到2级准入值方可投产；3）1级先进值用于引导行业节能标杆。</t>
        </is>
      </c>
      <c r="AI120" s="341" t="inlineStr">
        <is>
          <t>N/A</t>
        </is>
      </c>
      <c r="AJ120" s="341" t="inlineStr">
        <is>
          <t>N/A</t>
        </is>
      </c>
      <c r="AK120" s="341" t="inlineStr">
        <is>
          <t>政府机构开展的监督检查；企业能耗数据报告</t>
        </is>
      </c>
      <c r="AL120" s="341" t="inlineStr">
        <is>
          <t>市场监督管理部门对建筑石膏生产企业进行能耗限额标准执行情况监督检查；企业须按规定报送年度能源消耗数据，接受节能监察。</t>
        </is>
      </c>
      <c r="AM120" s="341" t="inlineStr">
        <is>
          <t>合规命令；罚款；差别化电价；淘汰关停</t>
        </is>
      </c>
      <c r="AN120" s="341" t="inlineStr">
        <is>
          <t>对不符合强制性能耗限额标准的建筑石膏生产企业，由相关部门责令限期整改，逾期未完成整改或整改后仍不达标的，纳入差别化电价范围并依法予以淘汰关停。</t>
        </is>
      </c>
      <c r="AO120" s="341" t="inlineStr">
        <is>
          <t>其他激励或支持</t>
        </is>
      </c>
      <c r="AP120" s="341" t="inlineStr">
        <is>
          <t>国家鼓励建筑石膏生产企业对标1级先进值开展节能降碳改造，通过节能审查和绿色工厂认定引导和支持先进产能提升。</t>
        </is>
      </c>
      <c r="AQ120" s="341" t="inlineStr">
        <is>
          <t>N/A</t>
        </is>
      </c>
      <c r="AR120" s="341" t="inlineStr">
        <is>
          <t>N/A</t>
        </is>
      </c>
      <c r="AS120" s="341" t="inlineStr">
        <is>
          <t>C23</t>
        </is>
      </c>
      <c r="AT120" s="341" t="inlineStr">
        <is>
          <t>CO2</t>
        </is>
      </c>
      <c r="AU120" s="341" t="inlineStr">
        <is>
          <t>正向</t>
        </is>
      </c>
      <c r="AV120" s="341" t="inlineStr">
        <is>
          <t>节能</t>
        </is>
      </c>
      <c r="AW120" s="341" t="inlineStr">
        <is>
          <t>GB 33654-2017 建筑石膏单位产品能源消耗限额</t>
        </is>
      </c>
      <c r="AX120" s="341" t="inlineStr">
        <is>
          <t>https://openstd.samr.gov.cn/bzgk/std/newGbInfo?hcno=71F772D8191CD3A7E05397BE0A0AB82A</t>
        </is>
      </c>
      <c r="AY120" s="341" t="inlineStr">
        <is>
          <t>N/A</t>
        </is>
      </c>
      <c r="AZ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t>
        </is>
      </c>
      <c r="L121" s="341" t="inlineStr">
        <is>
          <t>直接</t>
        </is>
      </c>
      <c r="M121" s="341" t="inlineStr">
        <is>
          <t>国家</t>
        </is>
      </c>
      <c r="N121" s="341" t="inlineStr">
        <is>
          <t>N/A</t>
        </is>
      </c>
      <c r="O121" s="341" t="inlineStr">
        <is>
          <t>11/09/2015</t>
        </is>
      </c>
      <c r="P121" s="341" t="inlineStr">
        <is>
          <t>01/10/2016</t>
        </is>
      </c>
      <c r="Q121" s="341" t="inlineStr">
        <is>
          <t>N/A</t>
        </is>
      </c>
      <c r="R121" s="341" t="inlineStr">
        <is>
          <t>N/A</t>
        </is>
      </c>
      <c r="S121" s="341" t="inlineStr">
        <is>
          <t>N/A</t>
        </is>
      </c>
      <c r="T121" s="341">
        <f>IF(P121="","生效",IF(P121="N/A","生效",IF(TODAY()&lt;DATE(VALUE(RIGHT(P121,4)),VALUE(MID(P121,4,2)),VALUE(LEFT(P121,2))),"计划实施",IF(Q121="","生效",IF(Q121="N/A","生效",IF(TODAY()&lt;DATE(VALUE(RIGHT(Q121,4)),VALUE(MID(Q121,4,2)),VALUE(LEFT(Q121,2))),"生效","已终止"))))))</f>
        <v/>
      </c>
      <c r="U121" s="341" t="inlineStr">
        <is>
          <t>国家市场监督管理总局；国家标准化管理委员会</t>
        </is>
      </c>
      <c r="V121" s="341" t="inlineStr">
        <is>
          <t>制糖生产装置</t>
        </is>
      </c>
      <c r="W121" s="341" t="inlineStr">
        <is>
          <t>新建；既有</t>
        </is>
      </c>
      <c r="X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Y121" s="341" t="inlineStr">
        <is>
          <t>N/A</t>
        </is>
      </c>
      <c r="Z121" s="341" t="inlineStr">
        <is>
          <t>N/A</t>
        </is>
      </c>
      <c r="AA121" s="341" t="inlineStr">
        <is>
          <t>企业</t>
        </is>
      </c>
      <c r="AB121" s="341" t="inlineStr">
        <is>
          <t>在中国境内运营甘蔗制糖、甜菜制糖或炼糖生产装置的企业。</t>
        </is>
      </c>
      <c r="AC121" s="341" t="inlineStr">
        <is>
          <t>生产</t>
        </is>
      </c>
      <c r="AD121" s="341" t="inlineStr">
        <is>
          <t>制糖生产装置的运行活动。现有企业须达到3级限定值，新建及改扩建企业须达到2级准入值。</t>
        </is>
      </c>
      <c r="AE121" s="341" t="inlineStr">
        <is>
          <t>3级</t>
        </is>
      </c>
      <c r="AF121" s="341" t="inlineStr">
        <is>
          <t>能耗限额等级</t>
        </is>
      </c>
      <c r="AG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H121" s="341" t="inlineStr">
        <is>
          <t>1）现有制糖企业须达到3级限定值方可继续运营，未达标者须限期改造或淘汰；2）新建及改扩建项目须达到2级准入值方可投产；3）1级先进值用于引导行业节能标杆。</t>
        </is>
      </c>
      <c r="AI121" s="341" t="inlineStr">
        <is>
          <t>N/A</t>
        </is>
      </c>
      <c r="AJ121" s="341" t="inlineStr">
        <is>
          <t>N/A</t>
        </is>
      </c>
      <c r="AK121" s="341" t="inlineStr">
        <is>
          <t>政府机构开展的监督检查；企业能耗数据报告</t>
        </is>
      </c>
      <c r="AL121" s="341" t="inlineStr">
        <is>
          <t>市场监督管理部门对制糖生产企业进行能耗限额标准执行情况监督检查；企业须按规定报送年度能源消耗数据，接受节能监察。</t>
        </is>
      </c>
      <c r="AM121" s="341" t="inlineStr">
        <is>
          <t>合规命令；罚款；差别化电价；淘汰关停</t>
        </is>
      </c>
      <c r="AN121" s="341" t="inlineStr">
        <is>
          <t>对不符合强制性能耗限额标准的制糖生产企业，由相关部门责令限期整改，逾期未完成整改或整改后仍不达标的，纳入差别化电价范围并依法予以淘汰关停。</t>
        </is>
      </c>
      <c r="AO121" s="341" t="inlineStr">
        <is>
          <t>其他激励或支持</t>
        </is>
      </c>
      <c r="AP121" s="341" t="inlineStr">
        <is>
          <t>国家鼓励制糖生产企业对标1级先进值开展节能降碳改造，通过节能审查和绿色工厂认定引导和支持先进产能提升。</t>
        </is>
      </c>
      <c r="AQ121" s="341" t="inlineStr">
        <is>
          <t>N/A</t>
        </is>
      </c>
      <c r="AR121" s="341" t="inlineStr">
        <is>
          <t>N/A</t>
        </is>
      </c>
      <c r="AS121" s="341" t="inlineStr">
        <is>
          <t>C10</t>
        </is>
      </c>
      <c r="AT121" s="341" t="inlineStr">
        <is>
          <t>CO2</t>
        </is>
      </c>
      <c r="AU121" s="341" t="inlineStr">
        <is>
          <t>正向</t>
        </is>
      </c>
      <c r="AV121" s="341" t="inlineStr">
        <is>
          <t>节能</t>
        </is>
      </c>
      <c r="AW121" s="341" t="inlineStr">
        <is>
          <t>GB 32044-2015 糖单位产品能源消耗限额</t>
        </is>
      </c>
      <c r="AX121" s="341" t="inlineStr">
        <is>
          <t>https://openstd.samr.gov.cn/bzgk/std/newGbInfo?hcno=7FD71F2FE92BC5585DA8C482496D2402</t>
        </is>
      </c>
      <c r="AY121" s="341" t="inlineStr">
        <is>
          <t>N/A</t>
        </is>
      </c>
      <c r="AZ121" s="341" t="inlineStr"/>
    </row>
    <row r="122">
      <c r="A122" s="341" t="inlineStr">
        <is>
          <t>CHNPRFEILI58S000</t>
        </is>
      </c>
      <c r="B122" s="341" t="inlineStr">
        <is>
          <t>工具</t>
        </is>
      </c>
      <c r="C122" s="341" t="inlineStr">
        <is>
          <t>绩效标准</t>
        </is>
      </c>
      <c r="D122" s="341" t="inlineStr">
        <is>
          <t>单位产品能源消耗限额</t>
        </is>
      </c>
      <c r="E122" s="341" t="inlineStr">
        <is>
          <t>工业</t>
        </is>
      </c>
      <c r="F122" s="341" t="inlineStr">
        <is>
          <t>钢铁冶炼</t>
        </is>
      </c>
      <c r="G122" s="341" t="inlineStr">
        <is>
          <t>电弧炉冶炼单位产品能源消耗限额</t>
        </is>
      </c>
      <c r="H122" s="341" t="inlineStr">
        <is>
          <t>Norm of Energy Consumption per Unit Production of Electric Arc Furnace Steelmaking</t>
        </is>
      </c>
      <c r="I122" s="341" t="inlineStr">
        <is>
          <t>N/A</t>
        </is>
      </c>
      <c r="J122"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2" s="341" t="inlineStr">
        <is>
          <t>能源效率</t>
        </is>
      </c>
      <c r="L122" s="341" t="inlineStr">
        <is>
          <t>直接</t>
        </is>
      </c>
      <c r="M122" s="341" t="inlineStr">
        <is>
          <t>国家</t>
        </is>
      </c>
      <c r="N122" s="341" t="inlineStr">
        <is>
          <t>N/A</t>
        </is>
      </c>
      <c r="O122" s="341" t="inlineStr">
        <is>
          <t>11/09/2015</t>
        </is>
      </c>
      <c r="P122" s="341" t="inlineStr">
        <is>
          <t>01/10/2016</t>
        </is>
      </c>
      <c r="Q122" s="341" t="inlineStr">
        <is>
          <t>N/A</t>
        </is>
      </c>
      <c r="R122" s="341" t="inlineStr">
        <is>
          <t>N/A</t>
        </is>
      </c>
      <c r="S122" s="341" t="inlineStr">
        <is>
          <t>N/A</t>
        </is>
      </c>
      <c r="T122" s="341">
        <f>IF(P122="","生效",IF(P122="N/A","生效",IF(TODAY()&lt;DATE(VALUE(RIGHT(P122,4)),VALUE(MID(P122,4,2)),VALUE(LEFT(P122,2))),"计划实施",IF(Q122="","生效",IF(Q122="N/A","生效",IF(TODAY()&lt;DATE(VALUE(RIGHT(Q122,4)),VALUE(MID(Q122,4,2)),VALUE(LEFT(Q122,2))),"生效","已终止"))))))</f>
        <v/>
      </c>
      <c r="U122" s="341" t="inlineStr">
        <is>
          <t>国家市场监督管理总局；国家标准化管理委员会</t>
        </is>
      </c>
      <c r="V122" s="341" t="inlineStr">
        <is>
          <t>电弧炉冶炼设备</t>
        </is>
      </c>
      <c r="W122" s="341" t="inlineStr">
        <is>
          <t>新建；既有</t>
        </is>
      </c>
      <c r="X122"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Y122" s="341" t="inlineStr">
        <is>
          <t>N/A</t>
        </is>
      </c>
      <c r="Z122" s="341" t="inlineStr">
        <is>
          <t>N/A</t>
        </is>
      </c>
      <c r="AA122" s="341" t="inlineStr">
        <is>
          <t>企业</t>
        </is>
      </c>
      <c r="AB122" s="341" t="inlineStr">
        <is>
          <t>在中国境内运营电弧炉冶炼设备的企业。</t>
        </is>
      </c>
      <c r="AC122" s="341" t="inlineStr">
        <is>
          <t>生产</t>
        </is>
      </c>
      <c r="AD122" s="341" t="inlineStr">
        <is>
          <t>电弧炉冶炼设备的运行活动。现有企业须达到3级限定值，新建及改扩建企业须达到2级准入值。</t>
        </is>
      </c>
      <c r="AE122" s="341" t="inlineStr">
        <is>
          <t>3级</t>
        </is>
      </c>
      <c r="AF122" s="341" t="inlineStr">
        <is>
          <t>能耗限额等级</t>
        </is>
      </c>
      <c r="AG122"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H122" s="341" t="inlineStr">
        <is>
          <t>1）现有电弧炉冶炼企业须达到3级限定值方可继续运营，未达标者须限期改造或淘汰；2）新建及改扩建项目须达到2级准入值方可投产；3）1级先进值用于引导行业节能标杆。</t>
        </is>
      </c>
      <c r="AI122" s="341" t="inlineStr">
        <is>
          <t>N/A</t>
        </is>
      </c>
      <c r="AJ122" s="341" t="inlineStr">
        <is>
          <t>N/A</t>
        </is>
      </c>
      <c r="AK122" s="341" t="inlineStr">
        <is>
          <t>政府机构开展的监督检查；企业能耗数据报告</t>
        </is>
      </c>
      <c r="AL122" s="341" t="inlineStr">
        <is>
          <t>市场监督管理部门和工业和信息化主管部门对电弧炉冶炼企业进行能耗限额标准执行情况监督检查；企业须按规定报送年度能源消耗数据，接受节能监察和阶梯电价考核。</t>
        </is>
      </c>
      <c r="AM122" s="341" t="inlineStr">
        <is>
          <t>合规命令；罚款；差别化电价；淘汰关停</t>
        </is>
      </c>
      <c r="AN122" s="341" t="inlineStr">
        <is>
          <t>对不符合强制性能耗限额标准的电弧炉冶炼企业，由相关部门责令限期整改，逾期未完成整改或整改后仍不达标的，纳入差别化电价和阶梯电价范围，并依法予以淘汰关停。</t>
        </is>
      </c>
      <c r="AO122" s="341" t="inlineStr">
        <is>
          <t>其他激励或支持</t>
        </is>
      </c>
      <c r="AP122" s="341" t="inlineStr">
        <is>
          <t>国家鼓励电弧炉冶炼企业对标1级先进值开展节能降碳改造，推广应用废钢预热、烟气余热回收、智能炼钢等技术，通过节能审查和行业能效领跑者引导和支持先进产能提升。</t>
        </is>
      </c>
      <c r="AQ122" s="341" t="inlineStr">
        <is>
          <t>N/A</t>
        </is>
      </c>
      <c r="AR122" s="341" t="inlineStr">
        <is>
          <t>N/A</t>
        </is>
      </c>
      <c r="AS122" s="341" t="inlineStr">
        <is>
          <t>C24</t>
        </is>
      </c>
      <c r="AT122" s="341" t="inlineStr">
        <is>
          <t>CO2</t>
        </is>
      </c>
      <c r="AU122" s="341" t="inlineStr">
        <is>
          <t>正向</t>
        </is>
      </c>
      <c r="AV122" s="341" t="inlineStr">
        <is>
          <t>节能</t>
        </is>
      </c>
      <c r="AW122" s="341" t="inlineStr">
        <is>
          <t>GB 32050-2015 电弧炉冶炼单位产品能源消耗限额</t>
        </is>
      </c>
      <c r="AX122" s="341" t="inlineStr">
        <is>
          <t>https://openstd.samr.gov.cn/bzgk/std/newGbInfo?hcno=634F78D390A985D65D3DEE0438B18A14</t>
        </is>
      </c>
      <c r="AY122" s="341" t="inlineStr">
        <is>
          <t>N/A</t>
        </is>
      </c>
      <c r="AZ122" s="341" t="inlineStr"/>
    </row>
    <row r="123">
      <c r="A123" s="341" t="inlineStr">
        <is>
          <t>CHNPRFEILI59S000</t>
        </is>
      </c>
      <c r="B123" s="341" t="inlineStr">
        <is>
          <t>工具</t>
        </is>
      </c>
      <c r="C123" s="341" t="inlineStr">
        <is>
          <t>绩效标准</t>
        </is>
      </c>
      <c r="D123" s="341" t="inlineStr">
        <is>
          <t>单位产品能源消耗限额</t>
        </is>
      </c>
      <c r="E123" s="341" t="inlineStr">
        <is>
          <t>工业</t>
        </is>
      </c>
      <c r="F123" s="341" t="inlineStr">
        <is>
          <t>摩擦密封材料</t>
        </is>
      </c>
      <c r="G123" s="341" t="inlineStr">
        <is>
          <t>摩擦材料单位产品能源消耗限额</t>
        </is>
      </c>
      <c r="H123" s="341" t="inlineStr">
        <is>
          <t>Norm of Energy Consumption per Unit Production of Friction Materials</t>
        </is>
      </c>
      <c r="I123" s="341" t="inlineStr">
        <is>
          <t>N/A</t>
        </is>
      </c>
      <c r="J123"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3" s="341" t="inlineStr">
        <is>
          <t>能源效率</t>
        </is>
      </c>
      <c r="L123" s="341" t="inlineStr">
        <is>
          <t>直接</t>
        </is>
      </c>
      <c r="M123" s="341" t="inlineStr">
        <is>
          <t>国家</t>
        </is>
      </c>
      <c r="N123" s="341" t="inlineStr">
        <is>
          <t>N/A</t>
        </is>
      </c>
      <c r="O123" s="341" t="inlineStr">
        <is>
          <t>31/12/2013</t>
        </is>
      </c>
      <c r="P123" s="341" t="inlineStr">
        <is>
          <t>01/12/2014</t>
        </is>
      </c>
      <c r="Q123" s="341" t="inlineStr">
        <is>
          <t>N/A</t>
        </is>
      </c>
      <c r="R123" s="341" t="inlineStr">
        <is>
          <t>N/A</t>
        </is>
      </c>
      <c r="S123" s="341" t="inlineStr">
        <is>
          <t>N/A</t>
        </is>
      </c>
      <c r="T123" s="341">
        <f>IF(P123="","生效",IF(P123="N/A","生效",IF(TODAY()&lt;DATE(VALUE(RIGHT(P123,4)),VALUE(MID(P123,4,2)),VALUE(LEFT(P123,2))),"计划实施",IF(Q123="","生效",IF(Q123="N/A","生效",IF(TODAY()&lt;DATE(VALUE(RIGHT(Q123,4)),VALUE(MID(Q123,4,2)),VALUE(LEFT(Q123,2))),"生效","已终止"))))))</f>
        <v/>
      </c>
      <c r="U123" s="341" t="inlineStr">
        <is>
          <t>国家市场监督管理总局；国家标准化管理委员会</t>
        </is>
      </c>
      <c r="V123" s="341" t="inlineStr">
        <is>
          <t>摩擦材料生产装置</t>
        </is>
      </c>
      <c r="W123" s="341" t="inlineStr">
        <is>
          <t>新建；既有</t>
        </is>
      </c>
      <c r="X123"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Y123" s="341" t="inlineStr">
        <is>
          <t>N/A</t>
        </is>
      </c>
      <c r="Z123" s="341" t="inlineStr">
        <is>
          <t>N/A</t>
        </is>
      </c>
      <c r="AA123" s="341" t="inlineStr">
        <is>
          <t>企业</t>
        </is>
      </c>
      <c r="AB123" s="341" t="inlineStr">
        <is>
          <t>在中国境内运营模压型摩擦材料生产装置的企业。</t>
        </is>
      </c>
      <c r="AC123" s="341" t="inlineStr">
        <is>
          <t>生产</t>
        </is>
      </c>
      <c r="AD123" s="341" t="inlineStr">
        <is>
          <t>摩擦材料生产装置的运行活动。现有企业须达到3级限定值，新建及改扩建企业须达到2级准入值。</t>
        </is>
      </c>
      <c r="AE123" s="341" t="inlineStr">
        <is>
          <t>3级</t>
        </is>
      </c>
      <c r="AF123" s="341" t="inlineStr">
        <is>
          <t>能耗限额等级</t>
        </is>
      </c>
      <c r="AG123"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H123" s="341" t="inlineStr">
        <is>
          <t>1）现有摩擦材料生产企业须达到3级限定值方可继续运营，未达标者须限期改造或淘汰；2）新建及改扩建项目须达到2级准入值方可投产；3）1级先进值用于引导行业节能标杆。</t>
        </is>
      </c>
      <c r="AI123" s="341" t="inlineStr">
        <is>
          <t>N/A</t>
        </is>
      </c>
      <c r="AJ123" s="341" t="inlineStr">
        <is>
          <t>N/A</t>
        </is>
      </c>
      <c r="AK123" s="341" t="inlineStr">
        <is>
          <t>政府机构开展的监督检查；企业能耗数据报告</t>
        </is>
      </c>
      <c r="AL123" s="341" t="inlineStr">
        <is>
          <t>市场监督管理部门对摩擦材料生产企业进行能耗限额标准执行情况监督检查；企业须按规定报送年度能源消耗数据，接受节能监察。</t>
        </is>
      </c>
      <c r="AM123" s="341" t="inlineStr">
        <is>
          <t>合规命令；罚款；差别化电价；淘汰关停</t>
        </is>
      </c>
      <c r="AN123" s="341" t="inlineStr">
        <is>
          <t>对不符合强制性能耗限额标准的摩擦材料生产企业，由相关部门责令限期整改，逾期未完成整改或整改后仍不达标的，纳入差别化电价范围并依法予以淘汰关停。</t>
        </is>
      </c>
      <c r="AO123" s="341" t="inlineStr">
        <is>
          <t>其他激励或支持</t>
        </is>
      </c>
      <c r="AP123" s="341" t="inlineStr">
        <is>
          <t>国家鼓励摩擦材料生产企业对标1级先进值开展节能降碳改造，通过节能审查和绿色工厂认定引导和支持先进产能提升。</t>
        </is>
      </c>
      <c r="AQ123" s="341" t="inlineStr">
        <is>
          <t>N/A</t>
        </is>
      </c>
      <c r="AR123" s="341" t="inlineStr">
        <is>
          <t>N/A</t>
        </is>
      </c>
      <c r="AS123" s="341" t="inlineStr">
        <is>
          <t>C29</t>
        </is>
      </c>
      <c r="AT123" s="341" t="inlineStr">
        <is>
          <t>CO2</t>
        </is>
      </c>
      <c r="AU123" s="341" t="inlineStr">
        <is>
          <t>正向</t>
        </is>
      </c>
      <c r="AV123" s="341" t="inlineStr">
        <is>
          <t>节能</t>
        </is>
      </c>
      <c r="AW123" s="341" t="inlineStr">
        <is>
          <t>GB 30182-2013 摩擦材料单位产品能源消耗限额</t>
        </is>
      </c>
      <c r="AX123" s="341" t="inlineStr">
        <is>
          <t>https://openstd.samr.gov.cn/bzgk/std/newGbInfo?hcno=71F772D7E4DED3A7E05397BE0A0AB82A</t>
        </is>
      </c>
      <c r="AY123" s="341" t="inlineStr">
        <is>
          <t>N/A</t>
        </is>
      </c>
      <c r="AZ123" s="341" t="inlineStr"/>
    </row>
    <row r="124">
      <c r="A124" s="341" t="inlineStr">
        <is>
          <t>CHNPRFEILI60S000</t>
        </is>
      </c>
      <c r="B124" s="341" t="inlineStr">
        <is>
          <t>工具</t>
        </is>
      </c>
      <c r="C124" s="341" t="inlineStr">
        <is>
          <t>绩效标准</t>
        </is>
      </c>
      <c r="D124" s="341" t="inlineStr">
        <is>
          <t>单位产品能源消耗限额</t>
        </is>
      </c>
      <c r="E124" s="341" t="inlineStr">
        <is>
          <t>工业</t>
        </is>
      </c>
      <c r="F124" s="341" t="inlineStr">
        <is>
          <t>绝热材料</t>
        </is>
      </c>
      <c r="G124" s="341" t="inlineStr">
        <is>
          <t>岩棉、矿渣棉及其制品单位产品能源消耗限额</t>
        </is>
      </c>
      <c r="H124" s="341" t="inlineStr">
        <is>
          <t>Norm of Energy Consumption per Unit Production of Rock Wool, Slag Wool and Their Products</t>
        </is>
      </c>
      <c r="I124" s="341" t="inlineStr">
        <is>
          <t>N/A</t>
        </is>
      </c>
      <c r="J124"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4" s="341" t="inlineStr">
        <is>
          <t>能源效率</t>
        </is>
      </c>
      <c r="L124" s="341" t="inlineStr">
        <is>
          <t>直接</t>
        </is>
      </c>
      <c r="M124" s="341" t="inlineStr">
        <is>
          <t>国家</t>
        </is>
      </c>
      <c r="N124" s="341" t="inlineStr">
        <is>
          <t>N/A</t>
        </is>
      </c>
      <c r="O124" s="341" t="inlineStr">
        <is>
          <t>31/12/2013</t>
        </is>
      </c>
      <c r="P124" s="341" t="inlineStr">
        <is>
          <t>01/12/2014</t>
        </is>
      </c>
      <c r="Q124" s="341" t="inlineStr">
        <is>
          <t>N/A</t>
        </is>
      </c>
      <c r="R124" s="341" t="inlineStr">
        <is>
          <t>N/A</t>
        </is>
      </c>
      <c r="S124" s="341" t="inlineStr">
        <is>
          <t>N/A</t>
        </is>
      </c>
      <c r="T124" s="341">
        <f>IF(P124="","生效",IF(P124="N/A","生效",IF(TODAY()&lt;DATE(VALUE(RIGHT(P124,4)),VALUE(MID(P124,4,2)),VALUE(LEFT(P124,2))),"计划实施",IF(Q124="","生效",IF(Q124="N/A","生效",IF(TODAY()&lt;DATE(VALUE(RIGHT(Q124,4)),VALUE(MID(Q124,4,2)),VALUE(LEFT(Q124,2))),"生效","已终止"))))))</f>
        <v/>
      </c>
      <c r="U124" s="341" t="inlineStr">
        <is>
          <t>国家市场监督管理总局；国家标准化管理委员会</t>
        </is>
      </c>
      <c r="V124" s="341" t="inlineStr">
        <is>
          <t>岩棉、矿渣棉及其制品生产装置</t>
        </is>
      </c>
      <c r="W124" s="341" t="inlineStr">
        <is>
          <t>新建；既有</t>
        </is>
      </c>
      <c r="X124"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Y124" s="341" t="inlineStr">
        <is>
          <t>N/A</t>
        </is>
      </c>
      <c r="Z124" s="341" t="inlineStr">
        <is>
          <t>N/A</t>
        </is>
      </c>
      <c r="AA124" s="341" t="inlineStr">
        <is>
          <t>企业</t>
        </is>
      </c>
      <c r="AB124" s="341" t="inlineStr">
        <is>
          <t>在中国境内运营岩棉、矿渣棉及其制品生产装置的企业。</t>
        </is>
      </c>
      <c r="AC124" s="341" t="inlineStr">
        <is>
          <t>生产</t>
        </is>
      </c>
      <c r="AD124" s="341" t="inlineStr">
        <is>
          <t>岩棉、矿渣棉及其制品生产装置的运行活动。现有企业须达到3级限定值，新建及改扩建企业须达到2级准入值。</t>
        </is>
      </c>
      <c r="AE124" s="341" t="inlineStr">
        <is>
          <t>3级</t>
        </is>
      </c>
      <c r="AF124" s="341" t="inlineStr">
        <is>
          <t>能耗限额等级</t>
        </is>
      </c>
      <c r="AG124"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H124" s="341" t="inlineStr">
        <is>
          <t>1）现有岩棉、矿渣棉及其制品生产企业须达到3级限定值方可继续运营，未达标者须限期改造或淘汰；2）新建及改扩建项目须达到2级准入值方可投产；3）1级先进值用于引导行业节能标杆。</t>
        </is>
      </c>
      <c r="AI124" s="341" t="inlineStr">
        <is>
          <t>N/A</t>
        </is>
      </c>
      <c r="AJ124" s="341" t="inlineStr">
        <is>
          <t>N/A</t>
        </is>
      </c>
      <c r="AK124" s="341" t="inlineStr">
        <is>
          <t>政府机构开展的监督检查；企业能耗数据报告</t>
        </is>
      </c>
      <c r="AL124" s="341" t="inlineStr">
        <is>
          <t>市场监督管理部门对岩棉、矿渣棉及其制品生产企业进行能耗限额标准执行情况监督检查；企业须按规定报送年度能源消耗数据，接受节能监察。</t>
        </is>
      </c>
      <c r="AM124" s="341" t="inlineStr">
        <is>
          <t>合规命令；罚款；差别化电价；淘汰关停</t>
        </is>
      </c>
      <c r="AN124" s="341" t="inlineStr">
        <is>
          <t>对不符合强制性能耗限额标准的岩棉、矿渣棉及其制品生产企业，由相关部门责令限期整改，逾期未完成整改或整改后仍不达标的，纳入差别化电价范围并依法予以淘汰关停。</t>
        </is>
      </c>
      <c r="AO124" s="341" t="inlineStr">
        <is>
          <t>其他激励或支持</t>
        </is>
      </c>
      <c r="AP124" s="341" t="inlineStr">
        <is>
          <t>国家鼓励岩棉、矿渣棉及其制品生产企业对标1级先进值开展节能降碳改造，通过节能审查和绿色工厂认定引导和支持先进产能提升。</t>
        </is>
      </c>
      <c r="AQ124" s="341" t="inlineStr">
        <is>
          <t>N/A</t>
        </is>
      </c>
      <c r="AR124" s="341" t="inlineStr">
        <is>
          <t>N/A</t>
        </is>
      </c>
      <c r="AS124" s="341" t="inlineStr">
        <is>
          <t>C23</t>
        </is>
      </c>
      <c r="AT124" s="341" t="inlineStr">
        <is>
          <t>CO2</t>
        </is>
      </c>
      <c r="AU124" s="341" t="inlineStr">
        <is>
          <t>正向</t>
        </is>
      </c>
      <c r="AV124" s="341" t="inlineStr">
        <is>
          <t>节能</t>
        </is>
      </c>
      <c r="AW124" s="341" t="inlineStr">
        <is>
          <t>GB 30183-2013 岩棉、矿渣棉及其制品单位产品能源消耗限额</t>
        </is>
      </c>
      <c r="AX124" s="341" t="inlineStr">
        <is>
          <t>https://openstd.samr.gov.cn/bzgk/std/newGbInfo?hcno=0B1014ECF47D43A5F98DD1040B1F2785</t>
        </is>
      </c>
      <c r="AY124" s="341" t="inlineStr">
        <is>
          <t>N/A</t>
        </is>
      </c>
      <c r="AZ124" s="341" t="inlineStr"/>
    </row>
    <row r="125">
      <c r="A125" s="341" t="inlineStr">
        <is>
          <t>CHNPRFEILI61S000</t>
        </is>
      </c>
      <c r="B125" s="341" t="inlineStr">
        <is>
          <t>工具</t>
        </is>
      </c>
      <c r="C125" s="341" t="inlineStr">
        <is>
          <t>绩效标准</t>
        </is>
      </c>
      <c r="D125" s="341" t="inlineStr">
        <is>
          <t>单位产品能源消耗限额</t>
        </is>
      </c>
      <c r="E125" s="341" t="inlineStr">
        <is>
          <t>工业</t>
        </is>
      </c>
      <c r="F125" s="341" t="inlineStr">
        <is>
          <t>防水材料</t>
        </is>
      </c>
      <c r="G125" s="341" t="inlineStr">
        <is>
          <t>沥青基防水卷材单位产品能源消耗限额</t>
        </is>
      </c>
      <c r="H125" s="341" t="inlineStr">
        <is>
          <t>Norm of Energy Consumption per Unit Production of Asphalt-Based Waterproof Membrane</t>
        </is>
      </c>
      <c r="I125" s="341" t="inlineStr">
        <is>
          <t>N/A</t>
        </is>
      </c>
      <c r="J125"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5" s="341" t="inlineStr">
        <is>
          <t>能源效率</t>
        </is>
      </c>
      <c r="L125" s="341" t="inlineStr">
        <is>
          <t>直接</t>
        </is>
      </c>
      <c r="M125" s="341" t="inlineStr">
        <is>
          <t>国家</t>
        </is>
      </c>
      <c r="N125" s="341" t="inlineStr">
        <is>
          <t>N/A</t>
        </is>
      </c>
      <c r="O125" s="341" t="inlineStr">
        <is>
          <t>31/12/2013</t>
        </is>
      </c>
      <c r="P125" s="341" t="inlineStr">
        <is>
          <t>01/12/2014</t>
        </is>
      </c>
      <c r="Q125" s="341" t="inlineStr">
        <is>
          <t>N/A</t>
        </is>
      </c>
      <c r="R125" s="341" t="inlineStr">
        <is>
          <t>N/A</t>
        </is>
      </c>
      <c r="S125" s="341" t="inlineStr">
        <is>
          <t>N/A</t>
        </is>
      </c>
      <c r="T125" s="341">
        <f>IF(P125="","生效",IF(P125="N/A","生效",IF(TODAY()&lt;DATE(VALUE(RIGHT(P125,4)),VALUE(MID(P125,4,2)),VALUE(LEFT(P125,2))),"计划实施",IF(Q125="","生效",IF(Q125="N/A","生效",IF(TODAY()&lt;DATE(VALUE(RIGHT(Q125,4)),VALUE(MID(Q125,4,2)),VALUE(LEFT(Q125,2))),"生效","已终止"))))))</f>
        <v/>
      </c>
      <c r="U125" s="341" t="inlineStr">
        <is>
          <t>国家市场监督管理总局；国家标准化管理委员会</t>
        </is>
      </c>
      <c r="V125" s="341" t="inlineStr">
        <is>
          <t>沥青基防水卷材生产线</t>
        </is>
      </c>
      <c r="W125" s="341" t="inlineStr">
        <is>
          <t>新建；既有</t>
        </is>
      </c>
      <c r="X125"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Y125" s="341" t="inlineStr">
        <is>
          <t>N/A</t>
        </is>
      </c>
      <c r="Z125" s="341" t="inlineStr">
        <is>
          <t>N/A</t>
        </is>
      </c>
      <c r="AA125" s="341" t="inlineStr">
        <is>
          <t>企业</t>
        </is>
      </c>
      <c r="AB125" s="341" t="inlineStr">
        <is>
          <t>在中国境内运营沥青基防水卷材生产线的企业。</t>
        </is>
      </c>
      <c r="AC125" s="341" t="inlineStr">
        <is>
          <t>生产</t>
        </is>
      </c>
      <c r="AD125" s="341" t="inlineStr">
        <is>
          <t>沥青基防水卷材生产线的运行活动。现有企业须达到3级限定值，新建及改扩建企业须达到2级准入值。</t>
        </is>
      </c>
      <c r="AE125" s="341" t="inlineStr">
        <is>
          <t>3级</t>
        </is>
      </c>
      <c r="AF125" s="341" t="inlineStr">
        <is>
          <t>能耗限额等级</t>
        </is>
      </c>
      <c r="AG125"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H125" s="341" t="inlineStr">
        <is>
          <t>1）现有沥青基防水卷材生产企业须达到3级限定值方可继续运营，未达标者须限期改造或淘汰；2）新建及改扩建项目须达到2级准入值方可投产；3）1级先进值用于引导行业节能标杆。</t>
        </is>
      </c>
      <c r="AI125" s="341" t="inlineStr">
        <is>
          <t>N/A</t>
        </is>
      </c>
      <c r="AJ125" s="341" t="inlineStr">
        <is>
          <t>N/A</t>
        </is>
      </c>
      <c r="AK125" s="341" t="inlineStr">
        <is>
          <t>政府机构开展的监督检查；企业能耗数据报告</t>
        </is>
      </c>
      <c r="AL125" s="341" t="inlineStr">
        <is>
          <t>市场监督管理部门对沥青基防水卷材生产企业进行能耗限额标准执行情况监督检查；企业须按规定报送年度能源消耗数据，接受节能监察。</t>
        </is>
      </c>
      <c r="AM125" s="341" t="inlineStr">
        <is>
          <t>合规命令；罚款；差别化电价；淘汰关停</t>
        </is>
      </c>
      <c r="AN125" s="341" t="inlineStr">
        <is>
          <t>对不符合强制性能耗限额标准的沥青基防水卷材生产企业，由相关部门责令限期整改，逾期未完成整改或整改后仍不达标的，纳入差别化电价范围并依法予以淘汰关停。</t>
        </is>
      </c>
      <c r="AO125" s="341" t="inlineStr">
        <is>
          <t>其他激励或支持</t>
        </is>
      </c>
      <c r="AP125" s="341" t="inlineStr">
        <is>
          <t>国家鼓励沥青基防水卷材生产企业对标1级先进值开展节能降碳改造，通过节能审查和绿色工厂认定引导和支持先进产能提升。</t>
        </is>
      </c>
      <c r="AQ125" s="341" t="inlineStr">
        <is>
          <t>N/A</t>
        </is>
      </c>
      <c r="AR125" s="341" t="inlineStr">
        <is>
          <t>N/A</t>
        </is>
      </c>
      <c r="AS125" s="341" t="inlineStr">
        <is>
          <t>C23</t>
        </is>
      </c>
      <c r="AT125" s="341" t="inlineStr">
        <is>
          <t>CO2</t>
        </is>
      </c>
      <c r="AU125" s="341" t="inlineStr">
        <is>
          <t>正向</t>
        </is>
      </c>
      <c r="AV125" s="341" t="inlineStr">
        <is>
          <t>节能</t>
        </is>
      </c>
      <c r="AW125" s="341" t="inlineStr">
        <is>
          <t>GB 30184-2013 沥青基防水卷材单位产品能源消耗限额</t>
        </is>
      </c>
      <c r="AX125" s="341" t="inlineStr">
        <is>
          <t>https://openstd.samr.gov.cn/bzgk/std/newGbInfo?hcno=C385C88F3C0A7B94BB1F91BF80E32211</t>
        </is>
      </c>
      <c r="AY125" s="341" t="inlineStr">
        <is>
          <t>N/A</t>
        </is>
      </c>
      <c r="AZ125" s="341" t="inlineStr"/>
    </row>
    <row r="126">
      <c r="A126" s="341" t="inlineStr">
        <is>
          <t>CHNPRFEILI62S000</t>
        </is>
      </c>
      <c r="B126" s="341" t="inlineStr">
        <is>
          <t>工具</t>
        </is>
      </c>
      <c r="C126" s="341" t="inlineStr">
        <is>
          <t>绩效标准</t>
        </is>
      </c>
      <c r="D126" s="341" t="inlineStr">
        <is>
          <t>单位产品能源消耗限额</t>
        </is>
      </c>
      <c r="E126" s="341" t="inlineStr">
        <is>
          <t>工业</t>
        </is>
      </c>
      <c r="F126" s="341" t="inlineStr">
        <is>
          <t>金属建材</t>
        </is>
      </c>
      <c r="G126" s="341" t="inlineStr">
        <is>
          <t>铝塑板单位产品能源消耗限额</t>
        </is>
      </c>
      <c r="H126" s="341" t="inlineStr">
        <is>
          <t>Norm of Energy Consumption per Unit Production of Aluminium-Plastic Composite Panel</t>
        </is>
      </c>
      <c r="I126" s="341" t="inlineStr">
        <is>
          <t>N/A</t>
        </is>
      </c>
      <c r="J126"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6" s="341" t="inlineStr">
        <is>
          <t>能源效率</t>
        </is>
      </c>
      <c r="L126" s="341" t="inlineStr">
        <is>
          <t>直接</t>
        </is>
      </c>
      <c r="M126" s="341" t="inlineStr">
        <is>
          <t>国家</t>
        </is>
      </c>
      <c r="N126" s="341" t="inlineStr">
        <is>
          <t>N/A</t>
        </is>
      </c>
      <c r="O126" s="341" t="inlineStr">
        <is>
          <t>31/12/2013</t>
        </is>
      </c>
      <c r="P126" s="341" t="inlineStr">
        <is>
          <t>01/12/2014</t>
        </is>
      </c>
      <c r="Q126" s="341" t="inlineStr">
        <is>
          <t>N/A</t>
        </is>
      </c>
      <c r="R126" s="341" t="inlineStr">
        <is>
          <t>28/02/2025</t>
        </is>
      </c>
      <c r="S126" s="341" t="inlineStr">
        <is>
          <t>2025年2月28日发布GB 30185-2025《铝（塑）复合板单位产品能源消耗限额》替代GB 30185-2013，标准名称和适用范围扩大至铝塑复合板、不燃铝复合板和装饰用铝单板，2026年3月1日实施。</t>
        </is>
      </c>
      <c r="T126" s="341">
        <f>IF(P126="","生效",IF(P126="N/A","生效",IF(TODAY()&lt;DATE(VALUE(RIGHT(P126,4)),VALUE(MID(P126,4,2)),VALUE(LEFT(P126,2))),"计划实施",IF(Q126="","生效",IF(Q126="N/A","生效",IF(TODAY()&lt;DATE(VALUE(RIGHT(Q126,4)),VALUE(MID(Q126,4,2)),VALUE(LEFT(Q126,2))),"生效","已终止"))))))</f>
        <v/>
      </c>
      <c r="U126" s="341" t="inlineStr">
        <is>
          <t>国家市场监督管理总局；国家标准化管理委员会</t>
        </is>
      </c>
      <c r="V126" s="341" t="inlineStr">
        <is>
          <t>铝塑板生产线</t>
        </is>
      </c>
      <c r="W126" s="341" t="inlineStr">
        <is>
          <t>新建；既有</t>
        </is>
      </c>
      <c r="X126"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Y126" s="341" t="inlineStr">
        <is>
          <t>N/A</t>
        </is>
      </c>
      <c r="Z126" s="341" t="inlineStr">
        <is>
          <t>N/A</t>
        </is>
      </c>
      <c r="AA126" s="341" t="inlineStr">
        <is>
          <t>企业</t>
        </is>
      </c>
      <c r="AB126" s="341" t="inlineStr">
        <is>
          <t>在中国境内运营铝塑复合板生产线的企业。</t>
        </is>
      </c>
      <c r="AC126" s="341" t="inlineStr">
        <is>
          <t>生产</t>
        </is>
      </c>
      <c r="AD126" s="341" t="inlineStr">
        <is>
          <t>铝塑复合板生产线的运行活动。现有企业须达到3级限定值，新建及改扩建企业须达到2级准入值。</t>
        </is>
      </c>
      <c r="AE126" s="341" t="inlineStr">
        <is>
          <t>3级</t>
        </is>
      </c>
      <c r="AF126" s="341" t="inlineStr">
        <is>
          <t>能耗限额等级</t>
        </is>
      </c>
      <c r="AG126"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H126" s="341" t="inlineStr">
        <is>
          <t>1）现有铝塑板生产企业须达到3级限定值方可继续运营，未达标者须限期改造或淘汰；2）新建及改扩建项目须达到2级准入值方可投产；3）1级先进值用于引导行业节能标杆。</t>
        </is>
      </c>
      <c r="AI126" s="341" t="inlineStr">
        <is>
          <t>N/A</t>
        </is>
      </c>
      <c r="AJ126" s="341" t="inlineStr">
        <is>
          <t>N/A</t>
        </is>
      </c>
      <c r="AK126" s="341" t="inlineStr">
        <is>
          <t>政府机构开展的监督检查；企业能耗数据报告</t>
        </is>
      </c>
      <c r="AL126" s="341" t="inlineStr">
        <is>
          <t>市场监督管理部门对铝塑板生产企业进行能耗限额标准执行情况监督检查；企业须按规定报送年度能源消耗数据，接受节能监察。</t>
        </is>
      </c>
      <c r="AM126" s="341" t="inlineStr">
        <is>
          <t>合规命令；罚款；差别化电价；淘汰关停</t>
        </is>
      </c>
      <c r="AN126" s="341" t="inlineStr">
        <is>
          <t>对不符合强制性能耗限额标准的铝塑板生产企业，由相关部门责令限期整改，逾期未完成整改或整改后仍不达标的，纳入差别化电价范围并依法予以淘汰关停。</t>
        </is>
      </c>
      <c r="AO126" s="341" t="inlineStr">
        <is>
          <t>其他激励或支持</t>
        </is>
      </c>
      <c r="AP126" s="341" t="inlineStr">
        <is>
          <t>国家鼓励铝塑板生产企业对标1级先进值开展节能降碳改造，通过节能审查和绿色工厂认定引导和支持先进产能提升。</t>
        </is>
      </c>
      <c r="AQ126" s="341" t="inlineStr">
        <is>
          <t>N/A</t>
        </is>
      </c>
      <c r="AR126" s="341" t="inlineStr">
        <is>
          <t>N/A</t>
        </is>
      </c>
      <c r="AS126" s="341" t="inlineStr">
        <is>
          <t>C25</t>
        </is>
      </c>
      <c r="AT126" s="341" t="inlineStr">
        <is>
          <t>CO2</t>
        </is>
      </c>
      <c r="AU126" s="341" t="inlineStr">
        <is>
          <t>正向</t>
        </is>
      </c>
      <c r="AV126" s="341" t="inlineStr">
        <is>
          <t>节能</t>
        </is>
      </c>
      <c r="AW126" s="341" t="inlineStr">
        <is>
          <t>GB 30185-2013 铝塑板单位产品能源消耗限额</t>
        </is>
      </c>
      <c r="AX126" s="341" t="inlineStr">
        <is>
          <t>https://openstd.samr.gov.cn/bzgk/std/newGbInfo?hcno=6748E505890163484CE72741CF7D8D3A</t>
        </is>
      </c>
      <c r="AY126" s="341" t="inlineStr">
        <is>
          <t>GB 30185-2013（旧版）：https://openstd.samr.gov.cn/bzgk/std/newGbInfo?hcno=560D51C1E285DC30D8E67E5B5CFB6C0F</t>
        </is>
      </c>
      <c r="AZ126" s="341" t="inlineStr"/>
    </row>
    <row r="127">
      <c r="A127" s="341" t="inlineStr">
        <is>
          <t>CHNPRFEILI63S000</t>
        </is>
      </c>
      <c r="B127" s="341" t="inlineStr">
        <is>
          <t>工具</t>
        </is>
      </c>
      <c r="C127" s="341" t="inlineStr">
        <is>
          <t>绩效标准</t>
        </is>
      </c>
      <c r="D127" s="341" t="inlineStr">
        <is>
          <t>单位产品能源消耗限额</t>
        </is>
      </c>
      <c r="E127" s="341" t="inlineStr">
        <is>
          <t>工业</t>
        </is>
      </c>
      <c r="F127" s="341" t="inlineStr">
        <is>
          <t>稀土冶炼</t>
        </is>
      </c>
      <c r="G127" s="341" t="inlineStr">
        <is>
          <t>稀土冶炼企业单位产品能源消耗限额</t>
        </is>
      </c>
      <c r="H127" s="341" t="inlineStr">
        <is>
          <t>Norm of Energy Consumption per Unit Production of Rare Earth Metallurgical Enterprise</t>
        </is>
      </c>
      <c r="I127" s="341" t="inlineStr">
        <is>
          <t>N/A</t>
        </is>
      </c>
      <c r="J127"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7" s="341" t="inlineStr">
        <is>
          <t>能源效率</t>
        </is>
      </c>
      <c r="L127" s="341" t="inlineStr">
        <is>
          <t>直接</t>
        </is>
      </c>
      <c r="M127" s="341" t="inlineStr">
        <is>
          <t>国家</t>
        </is>
      </c>
      <c r="N127" s="341" t="inlineStr">
        <is>
          <t>N/A</t>
        </is>
      </c>
      <c r="O127" s="341" t="inlineStr">
        <is>
          <t>31/12/2012</t>
        </is>
      </c>
      <c r="P127" s="341" t="inlineStr">
        <is>
          <t>01/10/2013</t>
        </is>
      </c>
      <c r="Q127" s="341" t="inlineStr">
        <is>
          <t>N/A</t>
        </is>
      </c>
      <c r="R127" s="341" t="inlineStr">
        <is>
          <t>31/12/2025</t>
        </is>
      </c>
      <c r="S127"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T127" s="341">
        <f>IF(P127="","生效",IF(P127="N/A","生效",IF(TODAY()&lt;DATE(VALUE(RIGHT(P127,4)),VALUE(MID(P127,4,2)),VALUE(LEFT(P127,2))),"计划实施",IF(Q127="","生效",IF(Q127="N/A","生效",IF(TODAY()&lt;DATE(VALUE(RIGHT(Q127,4)),VALUE(MID(Q127,4,2)),VALUE(LEFT(Q127,2))),"生效","已终止"))))))</f>
        <v/>
      </c>
      <c r="U127" s="341" t="inlineStr">
        <is>
          <t>国家市场监督管理总局；国家标准化管理委员会</t>
        </is>
      </c>
      <c r="V127" s="341" t="inlineStr">
        <is>
          <t>稀土冶炼生产装置</t>
        </is>
      </c>
      <c r="W127" s="341" t="inlineStr">
        <is>
          <t>新建；既有</t>
        </is>
      </c>
      <c r="X127"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Y127" s="341" t="inlineStr">
        <is>
          <t>N/A</t>
        </is>
      </c>
      <c r="Z127" s="341" t="inlineStr">
        <is>
          <t>N/A</t>
        </is>
      </c>
      <c r="AA127" s="341" t="inlineStr">
        <is>
          <t>企业</t>
        </is>
      </c>
      <c r="AB127" s="341" t="inlineStr">
        <is>
          <t>在中国境内运营稀土冶炼加工生产装置的企业。</t>
        </is>
      </c>
      <c r="AC127" s="341" t="inlineStr">
        <is>
          <t>生产</t>
        </is>
      </c>
      <c r="AD127" s="341" t="inlineStr">
        <is>
          <t>稀土冶炼加工生产装置的运行活动。现有企业须达到3级限定值，新建及改扩建企业须达到2级准入值。</t>
        </is>
      </c>
      <c r="AE127" s="341" t="inlineStr">
        <is>
          <t>3级</t>
        </is>
      </c>
      <c r="AF127" s="341" t="inlineStr">
        <is>
          <t>能耗限额等级</t>
        </is>
      </c>
      <c r="AG127"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H127" s="341" t="inlineStr">
        <is>
          <t>1）现有稀土冶炼加工企业须达到3级限定值方可继续运营，未达标者须限期改造或淘汰；2）新建及改扩建项目须达到2级准入值方可投产；3）1级先进值用于引导行业节能标杆。</t>
        </is>
      </c>
      <c r="AI127" s="341" t="inlineStr">
        <is>
          <t>N/A</t>
        </is>
      </c>
      <c r="AJ127" s="341" t="inlineStr">
        <is>
          <t>N/A</t>
        </is>
      </c>
      <c r="AK127" s="341" t="inlineStr">
        <is>
          <t>政府机构开展的监督检查；企业能耗数据报告</t>
        </is>
      </c>
      <c r="AL127" s="341" t="inlineStr">
        <is>
          <t>市场监督管理部门对稀土冶炼加工企业进行能耗限额标准执行情况监督检查；企业须按规定报送年度能源消耗数据，接受节能监察。</t>
        </is>
      </c>
      <c r="AM127" s="341" t="inlineStr">
        <is>
          <t>合规命令；罚款；差别化电价；淘汰关停</t>
        </is>
      </c>
      <c r="AN127" s="341" t="inlineStr">
        <is>
          <t>对不符合强制性能耗限额标准的稀土冶炼加工企业，由相关部门责令限期整改，逾期未完成整改或整改后仍不达标的，纳入差别化电价范围并依法予以淘汰关停。</t>
        </is>
      </c>
      <c r="AO127" s="341" t="inlineStr">
        <is>
          <t>其他激励或支持</t>
        </is>
      </c>
      <c r="AP127" s="341" t="inlineStr">
        <is>
          <t>国家鼓励稀土冶炼加工企业对标1级先进值开展节能降碳改造，通过节能审查和绿色工厂认定引导和支持先进产能提升。</t>
        </is>
      </c>
      <c r="AQ127" s="341" t="inlineStr">
        <is>
          <t>N/A</t>
        </is>
      </c>
      <c r="AR127" s="341" t="inlineStr">
        <is>
          <t>N/A</t>
        </is>
      </c>
      <c r="AS127" s="341" t="inlineStr">
        <is>
          <t>C24</t>
        </is>
      </c>
      <c r="AT127" s="341" t="inlineStr">
        <is>
          <t>CO2</t>
        </is>
      </c>
      <c r="AU127" s="341" t="inlineStr">
        <is>
          <t>正向</t>
        </is>
      </c>
      <c r="AV127" s="341" t="inlineStr">
        <is>
          <t>节能</t>
        </is>
      </c>
      <c r="AW127" s="341" t="inlineStr">
        <is>
          <t>GB 29435-2025 稀土冶炼企业单位产品能源消耗限额</t>
        </is>
      </c>
      <c r="AX127" s="341" t="inlineStr">
        <is>
          <t>https://openstd.samr.gov.cn/bzgk/std/newGbInfo?hcno=A5998295FAC676B7C86391356A185816</t>
        </is>
      </c>
      <c r="AY127" s="341" t="inlineStr">
        <is>
          <t>https://openstd.samr.gov.cn/bzgk/std/newGbInfo?hcno=282C52397EB468D6D2B5DCED27B0BF71</t>
        </is>
      </c>
      <c r="AZ127" s="341" t="inlineStr"/>
    </row>
    <row r="128">
      <c r="A128" s="341" t="inlineStr">
        <is>
          <t>CHNPRFEILI64S000</t>
        </is>
      </c>
      <c r="B128" s="341" t="inlineStr">
        <is>
          <t>工具</t>
        </is>
      </c>
      <c r="C128" s="341" t="inlineStr">
        <is>
          <t>绩效标准</t>
        </is>
      </c>
      <c r="D128" s="341" t="inlineStr">
        <is>
          <t>单位产品能源消耗限额</t>
        </is>
      </c>
      <c r="E128" s="341" t="inlineStr">
        <is>
          <t>工业</t>
        </is>
      </c>
      <c r="F128" s="341" t="inlineStr">
        <is>
          <t>工程塑料</t>
        </is>
      </c>
      <c r="G128" s="341" t="inlineStr">
        <is>
          <t>聚甲醛单位产品能源消耗限额</t>
        </is>
      </c>
      <c r="H128" s="341" t="inlineStr">
        <is>
          <t>Norm of Energy Consumption per Unit Production of Polyoxymethylene</t>
        </is>
      </c>
      <c r="I128" s="341" t="inlineStr">
        <is>
          <t>N/A</t>
        </is>
      </c>
      <c r="J128"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8" s="341" t="inlineStr">
        <is>
          <t>能源效率</t>
        </is>
      </c>
      <c r="L128" s="341" t="inlineStr">
        <is>
          <t>直接</t>
        </is>
      </c>
      <c r="M128" s="341" t="inlineStr">
        <is>
          <t>国家</t>
        </is>
      </c>
      <c r="N128" s="341" t="inlineStr">
        <is>
          <t>N/A</t>
        </is>
      </c>
      <c r="O128" s="341" t="inlineStr">
        <is>
          <t>31/12/2012</t>
        </is>
      </c>
      <c r="P128" s="341" t="inlineStr">
        <is>
          <t>01/10/2013</t>
        </is>
      </c>
      <c r="Q128" s="341" t="inlineStr">
        <is>
          <t>N/A</t>
        </is>
      </c>
      <c r="R128" s="341" t="inlineStr">
        <is>
          <t>N/A</t>
        </is>
      </c>
      <c r="S128" s="341" t="inlineStr">
        <is>
          <t>N/A</t>
        </is>
      </c>
      <c r="T128" s="341">
        <f>IF(P128="","生效",IF(P128="N/A","生效",IF(TODAY()&lt;DATE(VALUE(RIGHT(P128,4)),VALUE(MID(P128,4,2)),VALUE(LEFT(P128,2))),"计划实施",IF(Q128="","生效",IF(Q128="N/A","生效",IF(TODAY()&lt;DATE(VALUE(RIGHT(Q128,4)),VALUE(MID(Q128,4,2)),VALUE(LEFT(Q128,2))),"生效","已终止"))))))</f>
        <v/>
      </c>
      <c r="U128" s="341" t="inlineStr">
        <is>
          <t>国家市场监督管理总局；国家标准化管理委员会</t>
        </is>
      </c>
      <c r="V128" s="341" t="inlineStr">
        <is>
          <t>聚甲醛生产装置</t>
        </is>
      </c>
      <c r="W128" s="341" t="inlineStr">
        <is>
          <t>新建；既有</t>
        </is>
      </c>
      <c r="X128"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Y128" s="341" t="inlineStr">
        <is>
          <t>N/A</t>
        </is>
      </c>
      <c r="Z128" s="341" t="inlineStr">
        <is>
          <t>N/A</t>
        </is>
      </c>
      <c r="AA128" s="341" t="inlineStr">
        <is>
          <t>企业</t>
        </is>
      </c>
      <c r="AB128" s="341" t="inlineStr">
        <is>
          <t>在中国境内运营聚甲醛生产装置的企业。</t>
        </is>
      </c>
      <c r="AC128" s="341" t="inlineStr">
        <is>
          <t>生产</t>
        </is>
      </c>
      <c r="AD128" s="341" t="inlineStr">
        <is>
          <t>聚甲醛生产装置的运行活动。现有企业须达到3级限定值，新建及改扩建企业须达到2级准入值。</t>
        </is>
      </c>
      <c r="AE128" s="341" t="inlineStr">
        <is>
          <t>3级</t>
        </is>
      </c>
      <c r="AF128" s="341" t="inlineStr">
        <is>
          <t>能耗限额等级</t>
        </is>
      </c>
      <c r="AG128" s="341" t="inlineStr">
        <is>
          <t>能耗限额等级分为3级（1级最低即最先进），3级为限定值（存量企业最低要求），2级为准入值（新建及改扩建项目要求），1级为先进值。以单位产品综合能耗（kgce/t）为评价指标。共聚甲醛（POM-C）：3级≤850，2级≤720，1级≤620 kgce/t。</t>
        </is>
      </c>
      <c r="AH128" s="341" t="inlineStr">
        <is>
          <t>1）现有聚甲醛生产企业须达到3级限定值方可继续运营，未达标者须限期改造或淘汰；2）新建及改扩建项目须达到2级准入值方可投产；3）1级先进值用于引导行业节能标杆。</t>
        </is>
      </c>
      <c r="AI128" s="341" t="inlineStr">
        <is>
          <t>N/A</t>
        </is>
      </c>
      <c r="AJ128" s="341" t="inlineStr">
        <is>
          <t>N/A</t>
        </is>
      </c>
      <c r="AK128" s="341" t="inlineStr">
        <is>
          <t>政府机构开展的监督检查；企业能耗数据报告</t>
        </is>
      </c>
      <c r="AL128" s="341" t="inlineStr">
        <is>
          <t>市场监督管理部门对聚甲醛生产企业进行能耗限额标准执行情况监督检查；企业须按规定报送年度能源消耗数据，接受节能监察。</t>
        </is>
      </c>
      <c r="AM128" s="341" t="inlineStr">
        <is>
          <t>合规命令；罚款；差别化电价；淘汰关停</t>
        </is>
      </c>
      <c r="AN128" s="341" t="inlineStr">
        <is>
          <t>对不符合强制性能耗限额标准的聚甲醛生产企业，由相关部门责令限期整改，逾期未完成整改或整改后仍不达标的，纳入差别化电价范围并依法予以淘汰关停。</t>
        </is>
      </c>
      <c r="AO128" s="341" t="inlineStr">
        <is>
          <t>其他激励或支持</t>
        </is>
      </c>
      <c r="AP128" s="341" t="inlineStr">
        <is>
          <t>国家鼓励聚甲醛生产企业对标1级先进值开展节能降碳改造，通过节能审查和绿色工厂认定引导和支持先进产能提升。</t>
        </is>
      </c>
      <c r="AQ128" s="341" t="inlineStr">
        <is>
          <t>N/A</t>
        </is>
      </c>
      <c r="AR128" s="341" t="inlineStr">
        <is>
          <t>N/A</t>
        </is>
      </c>
      <c r="AS128" s="341" t="inlineStr">
        <is>
          <t>C20</t>
        </is>
      </c>
      <c r="AT128" s="341" t="inlineStr">
        <is>
          <t>CO2</t>
        </is>
      </c>
      <c r="AU128" s="341" t="inlineStr">
        <is>
          <t>正向</t>
        </is>
      </c>
      <c r="AV128" s="341" t="inlineStr">
        <is>
          <t>节能</t>
        </is>
      </c>
      <c r="AW128" s="341" t="inlineStr">
        <is>
          <t>GB 29438-2012 聚甲醛单位产品能源消耗限额</t>
        </is>
      </c>
      <c r="AX128" s="341" t="inlineStr">
        <is>
          <t>https://openstd.samr.gov.cn/bzgk/std/newGbInfo?hcno=BBA6E10119D86112C749CD218AFCD1F7</t>
        </is>
      </c>
      <c r="AY128" s="341" t="inlineStr">
        <is>
          <t>N/A</t>
        </is>
      </c>
      <c r="AZ128" s="341" t="inlineStr"/>
    </row>
    <row r="129">
      <c r="A129" s="341" t="inlineStr">
        <is>
          <t>CHNPRFEILI65S000</t>
        </is>
      </c>
      <c r="B129" s="341" t="inlineStr">
        <is>
          <t>工具</t>
        </is>
      </c>
      <c r="C129" s="341" t="inlineStr">
        <is>
          <t>绩效标准</t>
        </is>
      </c>
      <c r="D129" s="341" t="inlineStr">
        <is>
          <t>单位产品能源消耗限额</t>
        </is>
      </c>
      <c r="E129" s="341" t="inlineStr">
        <is>
          <t>工业</t>
        </is>
      </c>
      <c r="F129" s="341" t="inlineStr">
        <is>
          <t>煤炭开采</t>
        </is>
      </c>
      <c r="G129" s="341" t="inlineStr">
        <is>
          <t>煤炭井工开采单位产品能源消耗限额</t>
        </is>
      </c>
      <c r="H129" s="341" t="inlineStr">
        <is>
          <t>Norm of Energy Consumption per Unit Production of Coal Underground Mining</t>
        </is>
      </c>
      <c r="I129" s="341" t="inlineStr">
        <is>
          <t>N/A</t>
        </is>
      </c>
      <c r="J129"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29" s="341" t="inlineStr">
        <is>
          <t>能源效率</t>
        </is>
      </c>
      <c r="L129" s="341" t="inlineStr">
        <is>
          <t>直接</t>
        </is>
      </c>
      <c r="M129" s="341" t="inlineStr">
        <is>
          <t>国家</t>
        </is>
      </c>
      <c r="N129" s="341" t="inlineStr">
        <is>
          <t>N/A</t>
        </is>
      </c>
      <c r="O129" s="341" t="inlineStr">
        <is>
          <t>31/12/2012</t>
        </is>
      </c>
      <c r="P129" s="341" t="inlineStr">
        <is>
          <t>01/10/2013</t>
        </is>
      </c>
      <c r="Q129" s="341" t="inlineStr">
        <is>
          <t>N/A</t>
        </is>
      </c>
      <c r="R129" s="341" t="inlineStr">
        <is>
          <t>N/A</t>
        </is>
      </c>
      <c r="S129" s="341" t="inlineStr">
        <is>
          <t>N/A</t>
        </is>
      </c>
      <c r="T129" s="341">
        <f>IF(P129="","生效",IF(P129="N/A","生效",IF(TODAY()&lt;DATE(VALUE(RIGHT(P129,4)),VALUE(MID(P129,4,2)),VALUE(LEFT(P129,2))),"计划实施",IF(Q129="","生效",IF(Q129="N/A","生效",IF(TODAY()&lt;DATE(VALUE(RIGHT(Q129,4)),VALUE(MID(Q129,4,2)),VALUE(LEFT(Q129,2))),"生效","已终止"))))))</f>
        <v/>
      </c>
      <c r="U129" s="341" t="inlineStr">
        <is>
          <t>国家市场监督管理总局；国家标准化管理委员会</t>
        </is>
      </c>
      <c r="V129" s="341" t="inlineStr">
        <is>
          <t>煤炭井工开采矿井</t>
        </is>
      </c>
      <c r="W129" s="341" t="inlineStr">
        <is>
          <t>新建；既有</t>
        </is>
      </c>
      <c r="X129"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Y129" s="341" t="inlineStr">
        <is>
          <t>N/A</t>
        </is>
      </c>
      <c r="Z129" s="341" t="inlineStr">
        <is>
          <t>N/A</t>
        </is>
      </c>
      <c r="AA129" s="341" t="inlineStr">
        <is>
          <t>企业</t>
        </is>
      </c>
      <c r="AB129" s="341" t="inlineStr">
        <is>
          <t>在中国境内运营煤炭井工开采矿井的企业。</t>
        </is>
      </c>
      <c r="AC129" s="341" t="inlineStr">
        <is>
          <t>生产</t>
        </is>
      </c>
      <c r="AD129" s="341" t="inlineStr">
        <is>
          <t>煤炭井工开采矿井的生产运行活动，包括井下采掘、运输提升、通风、排水、瓦斯抽采等主要生产环节和地面辅助生产系统。现有企业须达到3级限定值，新建及改扩建矿井须达到2级准入值。</t>
        </is>
      </c>
      <c r="AE129" s="341" t="inlineStr">
        <is>
          <t>3级</t>
        </is>
      </c>
      <c r="AF129" s="341" t="inlineStr">
        <is>
          <t>能耗限额等级</t>
        </is>
      </c>
      <c r="AG129"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H129" s="341" t="inlineStr">
        <is>
          <t>1）现有煤炭井工开采企业须达到3级限定值方可继续运营，未达标者须限期改造或淘汰；2）新建及改扩建矿井须达到2级准入值方可投产；3）1级先进值用于引导行业节能标杆。</t>
        </is>
      </c>
      <c r="AI129" s="341" t="inlineStr">
        <is>
          <t>N/A</t>
        </is>
      </c>
      <c r="AJ129" s="341" t="inlineStr">
        <is>
          <t>N/A</t>
        </is>
      </c>
      <c r="AK129" s="341" t="inlineStr">
        <is>
          <t>政府机构开展的监督检查；企业能耗数据报告</t>
        </is>
      </c>
      <c r="AL129" s="341" t="inlineStr">
        <is>
          <t>市场监督管理部门和煤炭行业主管部门对煤炭井工开采企业进行能耗限额标准执行情况监督检查；企业须按规定报送年度能源消耗数据，接受节能监察。</t>
        </is>
      </c>
      <c r="AM129" s="341" t="inlineStr">
        <is>
          <t>合规命令；罚款；差别化电价；淘汰关停</t>
        </is>
      </c>
      <c r="AN129" s="341" t="inlineStr">
        <is>
          <t>对不符合强制性能耗限额标准的煤炭井工开采企业，由相关部门责令限期整改，逾期未完成整改或整改后仍不达标的，纳入差别化电价范围并依法予以淘汰关停。</t>
        </is>
      </c>
      <c r="AO129" s="341" t="inlineStr">
        <is>
          <t>其他激励或支持</t>
        </is>
      </c>
      <c r="AP129" s="341" t="inlineStr">
        <is>
          <t>国家鼓励煤炭井工开采企业对标1级先进值开展节能降碳改造，推广应用高效采掘设备、智慧矿山系统、瓦斯抽采利用、余热回收等技术，通过节能审查和绿色矿山认定引导和支持先进产能提升。</t>
        </is>
      </c>
      <c r="AQ129" s="341" t="inlineStr">
        <is>
          <t>N/A</t>
        </is>
      </c>
      <c r="AR129" s="341" t="inlineStr">
        <is>
          <t>N/A</t>
        </is>
      </c>
      <c r="AS129" s="341" t="inlineStr">
        <is>
          <t>B05</t>
        </is>
      </c>
      <c r="AT129" s="341" t="inlineStr">
        <is>
          <t>CO2</t>
        </is>
      </c>
      <c r="AU129" s="341" t="inlineStr">
        <is>
          <t>正向</t>
        </is>
      </c>
      <c r="AV129" s="341" t="inlineStr">
        <is>
          <t>节能</t>
        </is>
      </c>
      <c r="AW129" s="341" t="inlineStr">
        <is>
          <t>GB 29444-2012 煤炭井工开采单位产品能源消耗限额</t>
        </is>
      </c>
      <c r="AX129" s="341" t="inlineStr">
        <is>
          <t>https://openstd.samr.gov.cn/bzgk/std/newGbInfo?hcno=F2264FE27AD4688868A72C4DD87F77B0</t>
        </is>
      </c>
      <c r="AY129" s="341" t="inlineStr">
        <is>
          <t>N/A</t>
        </is>
      </c>
      <c r="AZ129" s="341" t="inlineStr"/>
    </row>
    <row r="130">
      <c r="A130" s="341" t="inlineStr">
        <is>
          <t>CHNPRFEILI66S000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煤炭露天开采单位产品能源消耗限额</t>
        </is>
      </c>
      <c r="H130" s="341" t="inlineStr">
        <is>
          <t>Norm of Energy Consumption per Unit Production of Coal Surface Mining</t>
        </is>
      </c>
      <c r="I130" s="341" t="inlineStr">
        <is>
          <t>N/A</t>
        </is>
      </c>
      <c r="J130"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0" s="341" t="inlineStr">
        <is>
          <t>能源效率</t>
        </is>
      </c>
      <c r="L130" s="341" t="inlineStr">
        <is>
          <t>直接</t>
        </is>
      </c>
      <c r="M130" s="341" t="inlineStr">
        <is>
          <t>国家</t>
        </is>
      </c>
      <c r="N130" s="341" t="inlineStr">
        <is>
          <t>N/A</t>
        </is>
      </c>
      <c r="O130" s="341" t="inlineStr">
        <is>
          <t>31/12/2012</t>
        </is>
      </c>
      <c r="P130" s="341" t="inlineStr">
        <is>
          <t>01/10/2013</t>
        </is>
      </c>
      <c r="Q130" s="341" t="inlineStr">
        <is>
          <t>N/A</t>
        </is>
      </c>
      <c r="R130" s="341" t="inlineStr">
        <is>
          <t>N/A</t>
        </is>
      </c>
      <c r="S130" s="341" t="inlineStr">
        <is>
          <t>N/A</t>
        </is>
      </c>
      <c r="T130" s="341">
        <f>IF(P130="","生效",IF(P130="N/A","生效",IF(TODAY()&lt;DATE(VALUE(RIGHT(P130,4)),VALUE(MID(P130,4,2)),VALUE(LEFT(P130,2))),"计划实施",IF(Q130="","生效",IF(Q130="N/A","生效",IF(TODAY()&lt;DATE(VALUE(RIGHT(Q130,4)),VALUE(MID(Q130,4,2)),VALUE(LEFT(Q130,2))),"生效","已终止"))))))</f>
        <v/>
      </c>
      <c r="U130" s="341" t="inlineStr">
        <is>
          <t>国家市场监督管理总局；国家标准化管理委员会</t>
        </is>
      </c>
      <c r="V130" s="341" t="inlineStr">
        <is>
          <t>煤炭露天开采矿山</t>
        </is>
      </c>
      <c r="W130" s="341" t="inlineStr">
        <is>
          <t>新建；既有</t>
        </is>
      </c>
      <c r="X130"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Y130" s="341" t="inlineStr">
        <is>
          <t>N/A</t>
        </is>
      </c>
      <c r="Z130" s="341" t="inlineStr">
        <is>
          <t>N/A</t>
        </is>
      </c>
      <c r="AA130" s="341" t="inlineStr">
        <is>
          <t>企业</t>
        </is>
      </c>
      <c r="AB130" s="341" t="inlineStr">
        <is>
          <t>在中国境内运营煤炭露天开采矿山的企业。</t>
        </is>
      </c>
      <c r="AC130" s="341" t="inlineStr">
        <is>
          <t>生产</t>
        </is>
      </c>
      <c r="AD130" s="341" t="inlineStr">
        <is>
          <t>煤炭露天开采矿山的生产运行活动，包括剥离、采煤、运输、排土等主要生产环节和地面辅助生产系统。现有企业须达到3级限定值，新建及改扩建矿山须达到2级准入值。</t>
        </is>
      </c>
      <c r="AE130" s="341" t="inlineStr">
        <is>
          <t>3级</t>
        </is>
      </c>
      <c r="AF130" s="341" t="inlineStr">
        <is>
          <t>能耗限额等级</t>
        </is>
      </c>
      <c r="AG130"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H130" s="341" t="inlineStr">
        <is>
          <t>1）现有煤炭露天开采企业须达到3级限定值方可继续运营，未达标者须限期改造或淘汰；2）新建及改扩建露天煤矿须达到2级准入值方可投产；3）1级先进值用于引导行业节能标杆。</t>
        </is>
      </c>
      <c r="AI130" s="341" t="inlineStr">
        <is>
          <t>N/A</t>
        </is>
      </c>
      <c r="AJ130" s="341" t="inlineStr">
        <is>
          <t>N/A</t>
        </is>
      </c>
      <c r="AK130" s="341" t="inlineStr">
        <is>
          <t>政府机构开展的监督检查；企业能耗数据报告</t>
        </is>
      </c>
      <c r="AL130" s="341" t="inlineStr">
        <is>
          <t>市场监督管理部门和煤炭行业主管部门对煤炭露天开采企业进行能耗限额标准执行情况监督检查；企业须按规定报送年度能源消耗数据，接受节能监察。</t>
        </is>
      </c>
      <c r="AM130" s="341" t="inlineStr">
        <is>
          <t>合规命令；罚款；差别化电价；淘汰关停</t>
        </is>
      </c>
      <c r="AN130" s="341" t="inlineStr">
        <is>
          <t>对不符合强制性能耗限额标准的煤炭露天开采企业，由相关部门责令限期整改，逾期未完成整改或整改后仍不达标的，纳入差别化电价范围并依法予以淘汰关停。</t>
        </is>
      </c>
      <c r="AO130" s="341" t="inlineStr">
        <is>
          <t>其他激励或支持</t>
        </is>
      </c>
      <c r="AP130" s="341" t="inlineStr">
        <is>
          <t>国家鼓励煤炭露天开采企业对标1级先进值开展节能降碳改造，推广应用大型高效采掘运输设备、连续化运输系统、矿山智慧化等技术，通过节能审查和绿色矿山认定引导和支持先进产能提升。</t>
        </is>
      </c>
      <c r="AQ130" s="341" t="inlineStr">
        <is>
          <t>N/A</t>
        </is>
      </c>
      <c r="AR130" s="341" t="inlineStr">
        <is>
          <t>N/A</t>
        </is>
      </c>
      <c r="AS130" s="341" t="inlineStr">
        <is>
          <t>B05</t>
        </is>
      </c>
      <c r="AT130" s="341" t="inlineStr">
        <is>
          <t>CO2</t>
        </is>
      </c>
      <c r="AU130" s="341" t="inlineStr">
        <is>
          <t>正向</t>
        </is>
      </c>
      <c r="AV130" s="341" t="inlineStr">
        <is>
          <t>节能</t>
        </is>
      </c>
      <c r="AW130" s="341" t="inlineStr">
        <is>
          <t>GB 29445-2012 煤炭露天开采单位产品能源消耗限额</t>
        </is>
      </c>
      <c r="AX130" s="341" t="inlineStr">
        <is>
          <t>https://openstd.samr.gov.cn/bzgk/std/newGbInfo?hcno=7C2A5E9D8333A6111451DDFEBECF6A64</t>
        </is>
      </c>
      <c r="AY130" s="341" t="inlineStr">
        <is>
          <t>N/A</t>
        </is>
      </c>
      <c r="AZ130" s="341" t="inlineStr"/>
    </row>
    <row r="131">
      <c r="A131" s="341" t="inlineStr">
        <is>
          <t>CHNPRFEILI67S000</t>
        </is>
      </c>
      <c r="B131" s="341" t="inlineStr">
        <is>
          <t>工具</t>
        </is>
      </c>
      <c r="C131" s="341" t="inlineStr">
        <is>
          <t>绩效标准</t>
        </is>
      </c>
      <c r="D131" s="341" t="inlineStr">
        <is>
          <t>单位产品能源消耗限额</t>
        </is>
      </c>
      <c r="E131" s="341" t="inlineStr">
        <is>
          <t>工业</t>
        </is>
      </c>
      <c r="F131" s="341" t="inlineStr">
        <is>
          <t>玻璃纤维制造</t>
        </is>
      </c>
      <c r="G131" s="341" t="inlineStr">
        <is>
          <t>玻璃纤维单位产品能源消耗限额</t>
        </is>
      </c>
      <c r="H131" s="341" t="inlineStr">
        <is>
          <t>Norm of Energy Consumption per Unit Production of Glass Fiber</t>
        </is>
      </c>
      <c r="I131" s="341" t="inlineStr">
        <is>
          <t>N/A</t>
        </is>
      </c>
      <c r="J131"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1" s="341" t="inlineStr">
        <is>
          <t>能源效率</t>
        </is>
      </c>
      <c r="L131" s="341" t="inlineStr">
        <is>
          <t>直接</t>
        </is>
      </c>
      <c r="M131" s="341" t="inlineStr">
        <is>
          <t>国家</t>
        </is>
      </c>
      <c r="N131" s="341" t="inlineStr">
        <is>
          <t>N/A</t>
        </is>
      </c>
      <c r="O131" s="341" t="inlineStr">
        <is>
          <t>31/12/2012</t>
        </is>
      </c>
      <c r="P131" s="341" t="inlineStr">
        <is>
          <t>01/10/2013</t>
        </is>
      </c>
      <c r="Q131" s="341" t="inlineStr">
        <is>
          <t>N/A</t>
        </is>
      </c>
      <c r="R131" s="341" t="inlineStr">
        <is>
          <t>N/A</t>
        </is>
      </c>
      <c r="S131" s="341" t="inlineStr">
        <is>
          <t>N/A</t>
        </is>
      </c>
      <c r="T131" s="341">
        <f>IF(P131="","生效",IF(P131="N/A","生效",IF(TODAY()&lt;DATE(VALUE(RIGHT(P131,4)),VALUE(MID(P131,4,2)),VALUE(LEFT(P131,2))),"计划实施",IF(Q131="","生效",IF(Q131="N/A","生效",IF(TODAY()&lt;DATE(VALUE(RIGHT(Q131,4)),VALUE(MID(Q131,4,2)),VALUE(LEFT(Q131,2))),"生效","已终止"))))))</f>
        <v/>
      </c>
      <c r="U131" s="341" t="inlineStr">
        <is>
          <t>国家市场监督管理总局；国家标准化管理委员会</t>
        </is>
      </c>
      <c r="V131" s="341" t="inlineStr">
        <is>
          <t>玻璃纤维生产装置</t>
        </is>
      </c>
      <c r="W131" s="341" t="inlineStr">
        <is>
          <t>新建；既有</t>
        </is>
      </c>
      <c r="X131"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Y131" s="341" t="inlineStr">
        <is>
          <t>N/A</t>
        </is>
      </c>
      <c r="Z131" s="341" t="inlineStr">
        <is>
          <t>N/A</t>
        </is>
      </c>
      <c r="AA131" s="341" t="inlineStr">
        <is>
          <t>企业</t>
        </is>
      </c>
      <c r="AB131" s="341" t="inlineStr">
        <is>
          <t>在中国境内运营玻璃纤维生产装置的企业。</t>
        </is>
      </c>
      <c r="AC131" s="341" t="inlineStr">
        <is>
          <t>生产</t>
        </is>
      </c>
      <c r="AD131" s="341" t="inlineStr">
        <is>
          <t>玻璃纤维生产装置的运行活动。现有企业须达到3级限定值，新建及改扩建企业须达到2级准入值。</t>
        </is>
      </c>
      <c r="AE131" s="341" t="inlineStr">
        <is>
          <t>3级</t>
        </is>
      </c>
      <c r="AF131" s="341" t="inlineStr">
        <is>
          <t>能耗限额等级</t>
        </is>
      </c>
      <c r="AG131"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H131" s="341" t="inlineStr">
        <is>
          <t>1）现有玻璃纤维生产企业须达到3级限定值方可继续运营，未达标者须限期改造或淘汰；2）新建及改扩建项目须达到2级准入值方可投产；3）1级先进值用于引导行业节能标杆。</t>
        </is>
      </c>
      <c r="AI131" s="341" t="inlineStr">
        <is>
          <t>N/A</t>
        </is>
      </c>
      <c r="AJ131" s="341" t="inlineStr">
        <is>
          <t>N/A</t>
        </is>
      </c>
      <c r="AK131" s="341" t="inlineStr">
        <is>
          <t>政府机构开展的监督检查；企业能耗数据报告</t>
        </is>
      </c>
      <c r="AL131" s="341" t="inlineStr">
        <is>
          <t>市场监督管理部门对玻璃纤维生产企业进行能耗限额标准执行情况监督检查；企业须按规定报送年度能源消耗数据，接受节能监察。</t>
        </is>
      </c>
      <c r="AM131" s="341" t="inlineStr">
        <is>
          <t>合规命令；罚款；差别化电价；淘汰关停</t>
        </is>
      </c>
      <c r="AN131" s="341" t="inlineStr">
        <is>
          <t>对不符合强制性能耗限额标准的玻璃纤维生产企业，由相关部门责令限期整改，逾期未完成整改或整改后仍不达标的，纳入差别化电价范围并依法予以淘汰关停。</t>
        </is>
      </c>
      <c r="AO131" s="341" t="inlineStr">
        <is>
          <t>其他激励或支持</t>
        </is>
      </c>
      <c r="AP131" s="341" t="inlineStr">
        <is>
          <t>国家鼓励玻璃纤维生产企业对标1级先进值开展节能降碳改造，通过节能审查和绿色工厂认定引导和支持先进产能提升。</t>
        </is>
      </c>
      <c r="AQ131" s="341" t="inlineStr">
        <is>
          <t>N/A</t>
        </is>
      </c>
      <c r="AR131" s="341" t="inlineStr">
        <is>
          <t>N/A</t>
        </is>
      </c>
      <c r="AS131" s="341" t="inlineStr">
        <is>
          <t>C23</t>
        </is>
      </c>
      <c r="AT131" s="341" t="inlineStr">
        <is>
          <t>CO2</t>
        </is>
      </c>
      <c r="AU131" s="341" t="inlineStr">
        <is>
          <t>正向</t>
        </is>
      </c>
      <c r="AV131" s="341" t="inlineStr">
        <is>
          <t>节能</t>
        </is>
      </c>
      <c r="AW131" s="341" t="inlineStr">
        <is>
          <t>GB 29450-2012 玻璃纤维单位产品能源消耗限额</t>
        </is>
      </c>
      <c r="AX131" s="341" t="inlineStr">
        <is>
          <t>https://openstd.samr.gov.cn/bzgk/std/newGbInfo?hcno=349A9A98C0090B738FD1F541DCBDA5AC</t>
        </is>
      </c>
      <c r="AY131" s="341" t="inlineStr">
        <is>
          <t>N/A</t>
        </is>
      </c>
      <c r="AZ131" s="341" t="inlineStr"/>
    </row>
    <row r="132">
      <c r="A132" s="341" t="inlineStr">
        <is>
          <t>CHNPRFEILI68S000</t>
        </is>
      </c>
      <c r="B132" s="341" t="inlineStr">
        <is>
          <t>工具</t>
        </is>
      </c>
      <c r="C132" s="341" t="inlineStr">
        <is>
          <t>绩效标准</t>
        </is>
      </c>
      <c r="D132" s="341" t="inlineStr">
        <is>
          <t>单位产品能源消耗限额</t>
        </is>
      </c>
      <c r="E132" s="341" t="inlineStr">
        <is>
          <t>工业</t>
        </is>
      </c>
      <c r="F132" s="341" t="inlineStr">
        <is>
          <t>光伏</t>
        </is>
      </c>
      <c r="G132" s="341" t="inlineStr">
        <is>
          <t>硅多晶和锗单位产品能源消耗限额</t>
        </is>
      </c>
      <c r="H132" s="341" t="inlineStr">
        <is>
          <t>Norm of Energy Consumption per Unit Products of Polysilicon and Germanium</t>
        </is>
      </c>
      <c r="I132" s="341" t="inlineStr">
        <is>
          <t>N/A</t>
        </is>
      </c>
      <c r="J132"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2" s="341" t="inlineStr">
        <is>
          <t>能源效率；产业发展</t>
        </is>
      </c>
      <c r="L132" s="341" t="inlineStr">
        <is>
          <t>直接</t>
        </is>
      </c>
      <c r="M132" s="341" t="inlineStr">
        <is>
          <t>国家</t>
        </is>
      </c>
      <c r="N132" s="341" t="inlineStr">
        <is>
          <t>N/A</t>
        </is>
      </c>
      <c r="O132" s="341" t="inlineStr">
        <is>
          <t>31/12/2012</t>
        </is>
      </c>
      <c r="P132" s="341" t="inlineStr">
        <is>
          <t>01/10/2013</t>
        </is>
      </c>
      <c r="Q132" s="341" t="inlineStr">
        <is>
          <t>N/A</t>
        </is>
      </c>
      <c r="R132" s="341" t="inlineStr">
        <is>
          <t>27/06/2026</t>
        </is>
      </c>
      <c r="S132"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T132" s="341">
        <f>IF(P132="","生效",IF(P132="N/A","生效",IF(TODAY()&lt;DATE(VALUE(RIGHT(P132,4)),VALUE(MID(P132,4,2)),VALUE(LEFT(P132,2))),"计划实施",IF(Q132="","生效",IF(Q132="N/A","生效",IF(TODAY()&lt;DATE(VALUE(RIGHT(Q132,4)),VALUE(MID(Q132,4,2)),VALUE(LEFT(Q132,2))),"生效","已终止"))))))</f>
        <v/>
      </c>
      <c r="U132" s="341" t="inlineStr">
        <is>
          <t>国家市场监督管理总局；国家标准化管理委员会</t>
        </is>
      </c>
      <c r="V132" s="341" t="inlineStr">
        <is>
          <t>硅多晶和锗生产装置</t>
        </is>
      </c>
      <c r="W132" s="341" t="inlineStr">
        <is>
          <t>新建；既有</t>
        </is>
      </c>
      <c r="X132"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Y132" s="341" t="inlineStr">
        <is>
          <t>N/A</t>
        </is>
      </c>
      <c r="Z132" s="341" t="inlineStr">
        <is>
          <t>N/A</t>
        </is>
      </c>
      <c r="AA132" s="341" t="inlineStr">
        <is>
          <t>企业</t>
        </is>
      </c>
      <c r="AB132" s="341" t="inlineStr">
        <is>
          <t>在中国境内运营硅多晶（光伏级）或锗产品生产装置的企业。</t>
        </is>
      </c>
      <c r="AC132" s="341" t="inlineStr">
        <is>
          <t>生产</t>
        </is>
      </c>
      <c r="AD132" s="341" t="inlineStr">
        <is>
          <t>硅多晶和锗产品生产装置的运行活动。现有企业须达到3级限定值方可继续运营，未达标者限期整改或淘汰关停；新建和改扩建项目须达到2级准入值方可投产。</t>
        </is>
      </c>
      <c r="AE132" s="341" t="inlineStr">
        <is>
          <t>3级</t>
        </is>
      </c>
      <c r="AF132" s="341" t="inlineStr">
        <is>
          <t>能耗限额等级</t>
        </is>
      </c>
      <c r="AG132"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H132" s="341" t="inlineStr">
        <is>
          <t>1）现有硅多晶和锗生产企业须达到3级限定值方可继续运营，未达标者限期整改或淘汰关停；2）新建和改扩建项目须达到2级准入值方可投产；3）1级先进值供企业对标和行业能效领跑者评选参考。</t>
        </is>
      </c>
      <c r="AI132" s="341" t="inlineStr">
        <is>
          <t>N/A</t>
        </is>
      </c>
      <c r="AJ132" s="341" t="inlineStr">
        <is>
          <t>N/A</t>
        </is>
      </c>
      <c r="AK132" s="341" t="inlineStr">
        <is>
          <t>政府机构开展的监督检查；企业能耗数据报告</t>
        </is>
      </c>
      <c r="AL132" s="341" t="inlineStr">
        <is>
          <t>市场监督管理部门对硅多晶和锗生产企业进行能耗限额标准执行情况监督检查；企业须按规定报送能源消耗数据，接受节能监察和能源审计。</t>
        </is>
      </c>
      <c r="AM132" s="341" t="inlineStr">
        <is>
          <t>合规命令；罚款；差别化电价；淘汰关停</t>
        </is>
      </c>
      <c r="AN132" s="341" t="inlineStr">
        <is>
          <t>对不符合强制性能耗限额标准的硅多晶和锗生产企业，由相关部门责令限期整改；整改逾期仍未达标的，纳入差别化电价范围或依法责令淘汰关停。</t>
        </is>
      </c>
      <c r="AO132" s="341" t="inlineStr">
        <is>
          <t>其他激励或支持</t>
        </is>
      </c>
      <c r="AP132" s="341" t="inlineStr">
        <is>
          <t>国家鼓励硅多晶和锗生产企业对标1级先进值开展节能降碳改造，通过节能技术改造奖励、绿色工厂认定等政策措施支持先进节能技术应用。</t>
        </is>
      </c>
      <c r="AQ132" s="341" t="inlineStr">
        <is>
          <t>N/A</t>
        </is>
      </c>
      <c r="AR132" s="341" t="inlineStr">
        <is>
          <t>N/A</t>
        </is>
      </c>
      <c r="AS132" s="341" t="inlineStr">
        <is>
          <t>C20</t>
        </is>
      </c>
      <c r="AT132" s="341" t="inlineStr">
        <is>
          <t>CO2</t>
        </is>
      </c>
      <c r="AU132" s="341" t="inlineStr">
        <is>
          <t>正向</t>
        </is>
      </c>
      <c r="AV132" s="341" t="inlineStr">
        <is>
          <t>节能；污染防治</t>
        </is>
      </c>
      <c r="AW132" s="341" t="inlineStr">
        <is>
          <t>GB 29447-2026 硅多晶和锗单位产品能源消耗限额</t>
        </is>
      </c>
      <c r="AX132" s="341" t="inlineStr">
        <is>
          <t>https://openstd.samr.gov.cn/bzgk/std/newGbInfo?hcno=840273B02BDE1AD43E3CE1E707F3D386</t>
        </is>
      </c>
      <c r="AY132" s="341" t="inlineStr">
        <is>
          <t>N/A</t>
        </is>
      </c>
      <c r="AZ132" s="341" t="inlineStr"/>
    </row>
    <row r="133">
      <c r="A133" s="341" t="inlineStr">
        <is>
          <t>CHNPRFEILI69S000</t>
        </is>
      </c>
      <c r="B133" s="341" t="inlineStr">
        <is>
          <t>工具</t>
        </is>
      </c>
      <c r="C133" s="341" t="inlineStr">
        <is>
          <t>绩效标准</t>
        </is>
      </c>
      <c r="D133" s="341" t="inlineStr">
        <is>
          <t>单位产品能源消耗限额</t>
        </is>
      </c>
      <c r="E133" s="341" t="inlineStr">
        <is>
          <t>工业</t>
        </is>
      </c>
      <c r="F133" s="341" t="inlineStr">
        <is>
          <t>光伏</t>
        </is>
      </c>
      <c r="G133" s="341" t="inlineStr">
        <is>
          <t>硅单晶单位产品能源消耗限额</t>
        </is>
      </c>
      <c r="H133" s="341" t="inlineStr">
        <is>
          <t>Norm of Energy Consumption per Unit Products of Monocrystalline Silicon</t>
        </is>
      </c>
      <c r="I133" s="341" t="inlineStr">
        <is>
          <t>N/A</t>
        </is>
      </c>
      <c r="J133"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3" s="341" t="inlineStr">
        <is>
          <t>能源效率</t>
        </is>
      </c>
      <c r="L133" s="341" t="inlineStr">
        <is>
          <t>直接</t>
        </is>
      </c>
      <c r="M133" s="341" t="inlineStr">
        <is>
          <t>国家</t>
        </is>
      </c>
      <c r="N133" s="341" t="inlineStr">
        <is>
          <t>N/A</t>
        </is>
      </c>
      <c r="O133" s="341" t="inlineStr">
        <is>
          <t>27/06/2026</t>
        </is>
      </c>
      <c r="P133" s="341" t="inlineStr">
        <is>
          <t>01/01/2027</t>
        </is>
      </c>
      <c r="Q133" s="341" t="inlineStr">
        <is>
          <t>N/A</t>
        </is>
      </c>
      <c r="R133" s="341" t="inlineStr">
        <is>
          <t>N/A</t>
        </is>
      </c>
      <c r="S133" s="341" t="inlineStr">
        <is>
          <t>N/A</t>
        </is>
      </c>
      <c r="T133" s="341">
        <f>IF(P133="","生效",IF(P133="N/A","生效",IF(TODAY()&lt;DATE(VALUE(RIGHT(P133,4)),VALUE(MID(P133,4,2)),VALUE(LEFT(P133,2))),"计划实施",IF(Q133="","生效",IF(Q133="N/A","生效",IF(TODAY()&lt;DATE(VALUE(RIGHT(Q133,4)),VALUE(MID(Q133,4,2)),VALUE(LEFT(Q133,2))),"生效","已终止"))))))</f>
        <v/>
      </c>
      <c r="U133" s="341" t="inlineStr">
        <is>
          <t>国家市场监督管理总局；国家标准化管理委员会</t>
        </is>
      </c>
      <c r="V133" s="341" t="inlineStr">
        <is>
          <t>硅单晶生产装置</t>
        </is>
      </c>
      <c r="W133" s="341" t="inlineStr">
        <is>
          <t>新建；既有</t>
        </is>
      </c>
      <c r="X133" s="341" t="inlineStr">
        <is>
          <t>以直拉法（Czochralski法）制造太阳能电池用硅单晶（方棒）的拉晶炉及配套设备，以及将硅单晶方棒加工为硅单晶片的切割、研磨、抛光等设备。不适用于半导体级硅单晶生产装置。</t>
        </is>
      </c>
      <c r="Y133" s="341" t="inlineStr">
        <is>
          <t>N/A</t>
        </is>
      </c>
      <c r="Z133" s="341" t="inlineStr">
        <is>
          <t>N/A</t>
        </is>
      </c>
      <c r="AA133" s="341" t="inlineStr">
        <is>
          <t>企业</t>
        </is>
      </c>
      <c r="AB133" s="341" t="inlineStr">
        <is>
          <t>在中国境内运营硅单晶（太阳能级）拉晶和切片生产装置的企业。</t>
        </is>
      </c>
      <c r="AC133" s="341" t="inlineStr">
        <is>
          <t>生产</t>
        </is>
      </c>
      <c r="AD133" s="341" t="inlineStr">
        <is>
          <t>硅单晶方棒拉晶和硅单晶片加工的生产运行活动。现有企业须达到3级限定值方可继续运营，未达标者限期整改或淘汰关停；新建和改扩建项目须达到2级准入值方可投产。</t>
        </is>
      </c>
      <c r="AE133" s="341" t="inlineStr">
        <is>
          <t>3级</t>
        </is>
      </c>
      <c r="AF133" s="341" t="inlineStr">
        <is>
          <t>能耗限额等级</t>
        </is>
      </c>
      <c r="AG133"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H133" s="341" t="inlineStr">
        <is>
          <t>1）现有硅单晶生产企业须达到3级限定值方可继续运营，未达标者限期整改或淘汰关停；2）新建和改扩建项目须达到2级准入值方可投产；3）1级先进值供企业对标和行业能效领跑者评选参考。</t>
        </is>
      </c>
      <c r="AI133" s="341" t="inlineStr">
        <is>
          <t>N/A</t>
        </is>
      </c>
      <c r="AJ133" s="341" t="inlineStr">
        <is>
          <t>N/A</t>
        </is>
      </c>
      <c r="AK133" s="341" t="inlineStr">
        <is>
          <t>政府机构开展的监督检查；企业能耗数据报告</t>
        </is>
      </c>
      <c r="AL133" s="341" t="inlineStr">
        <is>
          <t>市场监督管理部门对硅单晶生产企业进行能耗限额标准执行情况监督检查；企业须按规定报送能源消耗数据，接受节能监察和能源审计。</t>
        </is>
      </c>
      <c r="AM133" s="341" t="inlineStr">
        <is>
          <t>合规命令；罚款；差别化电价；淘汰关停</t>
        </is>
      </c>
      <c r="AN133" s="341" t="inlineStr">
        <is>
          <t>对不符合强制性能耗限额标准的硅单晶生产企业，由相关部门责令限期整改；整改逾期仍未达标的，纳入差别化电价范围或依法责令淘汰关停。</t>
        </is>
      </c>
      <c r="AO133" s="341" t="inlineStr">
        <is>
          <t>其他激励或支持</t>
        </is>
      </c>
      <c r="AP133" s="341" t="inlineStr">
        <is>
          <t>国家鼓励硅单晶生产企业对标1级先进值开展节能降碳改造，通过节能技术改造奖励、绿色工厂认定等政策措施支持先进节能技术应用。</t>
        </is>
      </c>
      <c r="AQ133" s="341" t="inlineStr">
        <is>
          <t>N/A</t>
        </is>
      </c>
      <c r="AR133" s="341" t="inlineStr">
        <is>
          <t>N/A</t>
        </is>
      </c>
      <c r="AS133" s="341" t="inlineStr">
        <is>
          <t>C27</t>
        </is>
      </c>
      <c r="AT133" s="341" t="inlineStr">
        <is>
          <t>CO2</t>
        </is>
      </c>
      <c r="AU133" s="341" t="inlineStr">
        <is>
          <t>正向</t>
        </is>
      </c>
      <c r="AV133" s="341" t="inlineStr">
        <is>
          <t>节能；污染防治</t>
        </is>
      </c>
      <c r="AW133" s="341" t="inlineStr">
        <is>
          <t>GB 47835-2026 硅单晶单位产品能源消耗限额</t>
        </is>
      </c>
      <c r="AX133" s="341" t="inlineStr">
        <is>
          <t>https://openstd.samr.gov.cn/bzgk/std/newGbInfo?hcno=A2E81D5AC2AF63D51C603E31C61DE7C5</t>
        </is>
      </c>
      <c r="AY133" s="341" t="inlineStr">
        <is>
          <t>N/A</t>
        </is>
      </c>
      <c r="AZ133" s="341" t="inlineStr"/>
    </row>
    <row r="134">
      <c r="A134" s="341" t="inlineStr">
        <is>
          <t>CHNPRFMITI01S000</t>
        </is>
      </c>
      <c r="B134" s="341" t="inlineStr">
        <is>
          <t>工具</t>
        </is>
      </c>
      <c r="C134" s="341" t="inlineStr">
        <is>
          <t>绩效标准</t>
        </is>
      </c>
      <c r="D134" s="341" t="inlineStr">
        <is>
          <t>工业热工设备最低能源绩效标准（MEPS）</t>
        </is>
      </c>
      <c r="E134" s="341" t="inlineStr">
        <is>
          <t>工业</t>
        </is>
      </c>
      <c r="F134" s="341" t="inlineStr">
        <is>
          <t>工业供热</t>
        </is>
      </c>
      <c r="G134" s="341" t="inlineStr">
        <is>
          <t>工业锅炉能效限定值及能效等级</t>
        </is>
      </c>
      <c r="H134" s="341" t="inlineStr">
        <is>
          <t>Minimum Allowable Values of Energy Efficiency and Energy Efficiency Grades of Industrial Boilers</t>
        </is>
      </c>
      <c r="I134" s="341" t="inlineStr">
        <is>
          <t>N/A</t>
        </is>
      </c>
      <c r="J134"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4" s="341" t="inlineStr">
        <is>
          <t>能源效率</t>
        </is>
      </c>
      <c r="L134" s="341" t="inlineStr">
        <is>
          <t>直接</t>
        </is>
      </c>
      <c r="M134" s="341" t="inlineStr">
        <is>
          <t>国家</t>
        </is>
      </c>
      <c r="N134" s="341" t="inlineStr">
        <is>
          <t>N/A</t>
        </is>
      </c>
      <c r="O134" s="341" t="inlineStr">
        <is>
          <t>01/06/2009</t>
        </is>
      </c>
      <c r="P134" s="341" t="inlineStr">
        <is>
          <t>01/01/2010</t>
        </is>
      </c>
      <c r="Q134" s="341" t="inlineStr">
        <is>
          <t>N/A</t>
        </is>
      </c>
      <c r="R134" s="341" t="inlineStr">
        <is>
          <t>29/05/2020</t>
        </is>
      </c>
      <c r="S134" s="341" t="inlineStr">
        <is>
          <t>2020年5月29日发布GB 24500-2020替代GB 24500-2009，提高各级能效指标，扩大燃料和热源类型覆盖范围。</t>
        </is>
      </c>
      <c r="T134" s="341">
        <f>IF(P134="","生效",IF(P134="N/A","生效",IF(TODAY()&lt;DATE(VALUE(RIGHT(P134,4)),VALUE(MID(P134,4,2)),VALUE(LEFT(P134,2))),"计划实施",IF(Q134="","生效",IF(Q134="N/A","生效",IF(TODAY()&lt;DATE(VALUE(RIGHT(Q134,4)),VALUE(MID(Q134,4,2)),VALUE(LEFT(Q134,2))),"生效","已终止"))))))</f>
        <v/>
      </c>
      <c r="U134" s="341" t="inlineStr">
        <is>
          <t>国家市场监督管理总局；国家标准化管理委员会</t>
        </is>
      </c>
      <c r="V134" s="341" t="inlineStr">
        <is>
          <t>工业锅炉</t>
        </is>
      </c>
      <c r="W134" s="341" t="inlineStr">
        <is>
          <t>新建</t>
        </is>
      </c>
      <c r="X134"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Y134" s="341" t="inlineStr">
        <is>
          <t>N/A</t>
        </is>
      </c>
      <c r="Z134" s="341" t="inlineStr">
        <is>
          <t>N/A</t>
        </is>
      </c>
      <c r="AA134" s="341" t="inlineStr">
        <is>
          <t>企业</t>
        </is>
      </c>
      <c r="AB134" s="341" t="inlineStr">
        <is>
          <t>在中国境内生产、进口或销售工业锅炉的生产企业和进口商。</t>
        </is>
      </c>
      <c r="AC134" s="341" t="inlineStr">
        <is>
          <t>生产；销售；进口</t>
        </is>
      </c>
      <c r="AD134" s="341" t="inlineStr">
        <is>
          <t>工业锅炉的生产、进口和销售活动。产品须达到标准规定的能效限定值方可进入市场。</t>
        </is>
      </c>
      <c r="AE134" s="341" t="inlineStr">
        <is>
          <t>3级</t>
        </is>
      </c>
      <c r="AF134" s="341" t="inlineStr">
        <is>
          <t>能效等级</t>
        </is>
      </c>
      <c r="AG134" s="341" t="inlineStr">
        <is>
          <t>能效等级分为3级（1级最高），3级为能效限定值即市场准入最低要求。以热效率（%）为评价指标，按燃料类型（煤/天然气/油/生物质/电）、锅炉类型（蒸汽/热水/有机热载体）和额定出力分级设定限值。</t>
        </is>
      </c>
      <c r="AH134" s="341" t="inlineStr">
        <is>
          <t>1）工业锅炉须达到标准规定的能效限定值（3级）方可生产、进口或销售；2）产品须标注能效等级标识；3）能效等级分为1级（最高）、2级、3级，3级为市场准入最低要求。</t>
        </is>
      </c>
      <c r="AI134" s="341" t="inlineStr">
        <is>
          <t>N/A</t>
        </is>
      </c>
      <c r="AJ134" s="341" t="inlineStr">
        <is>
          <t>N/A</t>
        </is>
      </c>
      <c r="AK134" s="341" t="inlineStr">
        <is>
          <t>政府机构开展的监督检查</t>
        </is>
      </c>
      <c r="AL134" s="341" t="inlineStr">
        <is>
          <t>市场监督管理部门对工业锅炉产品进行能效标识监督检查和产品质量监督抽查。</t>
        </is>
      </c>
      <c r="AM134" s="341" t="inlineStr">
        <is>
          <t>合规命令；罚款</t>
        </is>
      </c>
      <c r="AN134" s="341" t="inlineStr">
        <is>
          <t>对生产、进口、销售不符合强制性能效标准的工业锅炉产品的，由市场监督管理部门责令停止生产、进口、销售，没收违法所得，并处罚款；情节严重的，吊销营业执照。</t>
        </is>
      </c>
      <c r="AO134" s="341" t="inlineStr">
        <is>
          <t>其他激励或支持</t>
        </is>
      </c>
      <c r="AP134" s="341" t="inlineStr">
        <is>
          <t>国家鼓励生产和使用1级、2级高效工业锅炉；通过节能产品认证和锅炉绿色低碳高质量发展行动推广高效锅炉。</t>
        </is>
      </c>
      <c r="AQ134" s="341" t="inlineStr">
        <is>
          <t>N/A</t>
        </is>
      </c>
      <c r="AR134" s="341" t="inlineStr">
        <is>
          <t>N/A</t>
        </is>
      </c>
      <c r="AS134" s="341" t="inlineStr">
        <is>
          <t>C25; C27</t>
        </is>
      </c>
      <c r="AT134" s="341" t="inlineStr">
        <is>
          <t>CO2</t>
        </is>
      </c>
      <c r="AU134" s="341" t="inlineStr">
        <is>
          <t>正向</t>
        </is>
      </c>
      <c r="AV134" s="341" t="inlineStr">
        <is>
          <t>节能；产业发展</t>
        </is>
      </c>
      <c r="AW134" s="341" t="inlineStr">
        <is>
          <t>GB 24500-2020 工业锅炉能效限定值及能效等级</t>
        </is>
      </c>
      <c r="AX134" s="341" t="inlineStr">
        <is>
          <t>https://openstd.samr.gov.cn/bzgk/std/newGbInfo?hcno=B31C8D212ACEEC023E752DF6260B63B7</t>
        </is>
      </c>
      <c r="AY134" s="341" t="inlineStr">
        <is>
          <t>GB 24500-2009（旧版）：https://openstd.samr.gov.cn/bzgk/std/newGbInfo?hcno=B9C0C088E809479E048045355B04A62A</t>
        </is>
      </c>
      <c r="AZ134" s="341" t="inlineStr"/>
    </row>
    <row r="135">
      <c r="A135" s="341" t="inlineStr">
        <is>
          <t>CHNPRFMITI02S000</t>
        </is>
      </c>
      <c r="B135" s="341" t="inlineStr">
        <is>
          <t>工具</t>
        </is>
      </c>
      <c r="C135" s="341" t="inlineStr">
        <is>
          <t>绩效标准</t>
        </is>
      </c>
      <c r="D135" s="341" t="inlineStr">
        <is>
          <t>工业热工设备最低能源绩效标准（MEPS）</t>
        </is>
      </c>
      <c r="E135" s="341" t="inlineStr">
        <is>
          <t>工业</t>
        </is>
      </c>
      <c r="F135" s="341" t="inlineStr">
        <is>
          <t>钢铁行业加热工序</t>
        </is>
      </c>
      <c r="G135" s="341" t="inlineStr">
        <is>
          <t>蓄热式轧钢加热炉能效限定值及能效等级</t>
        </is>
      </c>
      <c r="H135" s="341" t="inlineStr">
        <is>
          <t>Minimum Allowable Values of Energy Efficiency and Energy Efficiency Grades of Regenerative Rolling Reheating Furnaces</t>
        </is>
      </c>
      <c r="I135" s="341" t="inlineStr">
        <is>
          <t>N/A</t>
        </is>
      </c>
      <c r="J135"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5" s="341" t="inlineStr">
        <is>
          <t>能源效率</t>
        </is>
      </c>
      <c r="L135" s="341" t="inlineStr">
        <is>
          <t>直接</t>
        </is>
      </c>
      <c r="M135" s="341" t="inlineStr">
        <is>
          <t>国家</t>
        </is>
      </c>
      <c r="N135" s="341" t="inlineStr">
        <is>
          <t>N/A</t>
        </is>
      </c>
      <c r="O135" s="341" t="inlineStr">
        <is>
          <t>31/12/2019</t>
        </is>
      </c>
      <c r="P135" s="341" t="inlineStr">
        <is>
          <t>01/07/2020</t>
        </is>
      </c>
      <c r="Q135" s="341" t="inlineStr">
        <is>
          <t>N/A</t>
        </is>
      </c>
      <c r="R135" s="341" t="inlineStr">
        <is>
          <t>N/A</t>
        </is>
      </c>
      <c r="S135" s="341" t="inlineStr">
        <is>
          <t>N/A</t>
        </is>
      </c>
      <c r="T135" s="341">
        <f>IF(P135="","生效",IF(P135="N/A","生效",IF(TODAY()&lt;DATE(VALUE(RIGHT(P135,4)),VALUE(MID(P135,4,2)),VALUE(LEFT(P135,2))),"计划实施",IF(Q135="","生效",IF(Q135="N/A","生效",IF(TODAY()&lt;DATE(VALUE(RIGHT(Q135,4)),VALUE(MID(Q135,4,2)),VALUE(LEFT(Q135,2))),"生效","已终止"))))))</f>
        <v/>
      </c>
      <c r="U135" s="341" t="inlineStr">
        <is>
          <t>国家市场监督管理总局；国家标准化管理委员会</t>
        </is>
      </c>
      <c r="V135" s="341" t="inlineStr">
        <is>
          <t>蓄热式轧钢加热炉</t>
        </is>
      </c>
      <c r="W135" s="341" t="inlineStr">
        <is>
          <t>新建</t>
        </is>
      </c>
      <c r="X135" s="341" t="inlineStr">
        <is>
          <t>以高炉煤气、混合煤气为燃料的连续运行的蓄热式轧钢加热炉，包括推钢式加热炉、步进式加热炉和转底式加热炉。</t>
        </is>
      </c>
      <c r="Y135" s="341" t="inlineStr">
        <is>
          <t>N/A</t>
        </is>
      </c>
      <c r="Z135" s="341" t="inlineStr">
        <is>
          <t>N/A</t>
        </is>
      </c>
      <c r="AA135" s="341" t="inlineStr">
        <is>
          <t>企业</t>
        </is>
      </c>
      <c r="AB135" s="341" t="inlineStr">
        <is>
          <t>在中国境内生产、进口或销售蓄热式轧钢加热炉的生产企业和进口商。</t>
        </is>
      </c>
      <c r="AC135" s="341" t="inlineStr">
        <is>
          <t>生产；销售；进口</t>
        </is>
      </c>
      <c r="AD135" s="341" t="inlineStr">
        <is>
          <t>蓄热式轧钢加热炉的生产、进口和销售活动。产品须达到标准规定的能效限定值方可进入市场。</t>
        </is>
      </c>
      <c r="AE135" s="341" t="inlineStr">
        <is>
          <t>3级</t>
        </is>
      </c>
      <c r="AF135" s="341" t="inlineStr">
        <is>
          <t>能效等级</t>
        </is>
      </c>
      <c r="AG135" s="341" t="inlineStr">
        <is>
          <t>能效等级分为3级（1级最高），3级为能效限定值即市场准入最低要求。以单位产品能源消耗量（GJ/t）为评价指标，计算时乘以钢种修正系数（K₁）和温度修正系数（K₂）。</t>
        </is>
      </c>
      <c r="AH135" s="341" t="inlineStr">
        <is>
          <t>1）蓄热式轧钢加热炉须达到标准规定的能效限定值（3级）方可生产、进口或销售；2）产品须标注能效等级标识；3）能效等级分为1级（最高）、2级、3级，3级为市场准入最低要求。</t>
        </is>
      </c>
      <c r="AI135" s="341" t="inlineStr">
        <is>
          <t>N/A</t>
        </is>
      </c>
      <c r="AJ135" s="341" t="inlineStr">
        <is>
          <t>N/A</t>
        </is>
      </c>
      <c r="AK135" s="341" t="inlineStr">
        <is>
          <t>政府机构开展的监督检查</t>
        </is>
      </c>
      <c r="AL135" s="341" t="inlineStr">
        <is>
          <t>市场监督管理部门对蓄热式轧钢加热炉产品进行能效标识监督检查和产品质量监督抽查。</t>
        </is>
      </c>
      <c r="AM135" s="341" t="inlineStr">
        <is>
          <t>合规命令；罚款</t>
        </is>
      </c>
      <c r="AN135" s="341" t="inlineStr">
        <is>
          <t>对生产、进口、销售不符合强制性能效标准的蓄热式轧钢加热炉产品的，由市场监督管理部门责令停止生产、进口、销售，没收违法所得，并处罚款；情节严重的，吊销营业执照。</t>
        </is>
      </c>
      <c r="AO135" s="341" t="inlineStr">
        <is>
          <t>其他激励或支持</t>
        </is>
      </c>
      <c r="AP135" s="341" t="inlineStr">
        <is>
          <t>国家鼓励生产和使用1级、2级高效轧钢加热炉；通过节能产品认证和钢铁行业节能降碳行动推广高效加热炉。</t>
        </is>
      </c>
      <c r="AQ135" s="341" t="inlineStr">
        <is>
          <t>N/A</t>
        </is>
      </c>
      <c r="AR135" s="341" t="inlineStr">
        <is>
          <t>N/A</t>
        </is>
      </c>
      <c r="AS135" s="341" t="inlineStr">
        <is>
          <t>C24</t>
        </is>
      </c>
      <c r="AT135" s="341" t="inlineStr">
        <is>
          <t>CO2</t>
        </is>
      </c>
      <c r="AU135" s="341" t="inlineStr">
        <is>
          <t>正向</t>
        </is>
      </c>
      <c r="AV135" s="341" t="inlineStr">
        <is>
          <t>节能；产业发展</t>
        </is>
      </c>
      <c r="AW135" s="341" t="inlineStr">
        <is>
          <t>GB 38449-2019 蓄热式轧钢加热炉能效限定值及能效等级</t>
        </is>
      </c>
      <c r="AX135" s="341" t="inlineStr">
        <is>
          <t>https://openstd.samr.gov.cn/bzgk/std/newGbInfo?hcno=1915535B628A6A85B423EAFAE46ECBF8</t>
        </is>
      </c>
      <c r="AY135" s="341" t="inlineStr">
        <is>
          <t>N/A</t>
        </is>
      </c>
      <c r="AZ135" s="341" t="inlineStr"/>
    </row>
    <row r="136">
      <c r="A136" s="341" t="inlineStr">
        <is>
          <t>CHNPRFMITI03S000</t>
        </is>
      </c>
      <c r="B136" s="341" t="inlineStr">
        <is>
          <t>工具</t>
        </is>
      </c>
      <c r="C136" s="341" t="inlineStr">
        <is>
          <t>绩效标准</t>
        </is>
      </c>
      <c r="D136" s="341" t="inlineStr">
        <is>
          <t>工业热工设备最低能源绩效标准（MEPS）</t>
        </is>
      </c>
      <c r="E136" s="341" t="inlineStr">
        <is>
          <t>工业</t>
        </is>
      </c>
      <c r="F136" s="341" t="inlineStr">
        <is>
          <t>石油工业加热</t>
        </is>
      </c>
      <c r="G136" s="341" t="inlineStr">
        <is>
          <t>石油工业用加热炉能效限定值及能效等级</t>
        </is>
      </c>
      <c r="H136" s="341" t="inlineStr">
        <is>
          <t>Minimum Allowable Values of Energy Efficiency and Energy Efficiency Grades for Heaters of the Petroleum Industry</t>
        </is>
      </c>
      <c r="I136" s="341" t="inlineStr">
        <is>
          <t>N/A</t>
        </is>
      </c>
      <c r="J136"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6" s="341" t="inlineStr">
        <is>
          <t>能源效率</t>
        </is>
      </c>
      <c r="L136" s="341" t="inlineStr">
        <is>
          <t>直接</t>
        </is>
      </c>
      <c r="M136" s="341" t="inlineStr">
        <is>
          <t>国家</t>
        </is>
      </c>
      <c r="N136" s="341" t="inlineStr">
        <is>
          <t>N/A</t>
        </is>
      </c>
      <c r="O136" s="341" t="inlineStr">
        <is>
          <t>30/06/2010</t>
        </is>
      </c>
      <c r="P136" s="341" t="inlineStr">
        <is>
          <t>01/12/2010</t>
        </is>
      </c>
      <c r="Q136" s="341" t="inlineStr">
        <is>
          <t>N/A</t>
        </is>
      </c>
      <c r="R136" s="341" t="inlineStr">
        <is>
          <t>N/A</t>
        </is>
      </c>
      <c r="S136" s="341" t="inlineStr">
        <is>
          <t>N/A</t>
        </is>
      </c>
      <c r="T136" s="341">
        <f>IF(P136="","生效",IF(P136="N/A","生效",IF(TODAY()&lt;DATE(VALUE(RIGHT(P136,4)),VALUE(MID(P136,4,2)),VALUE(LEFT(P136,2))),"计划实施",IF(Q136="","生效",IF(Q136="N/A","生效",IF(TODAY()&lt;DATE(VALUE(RIGHT(Q136,4)),VALUE(MID(Q136,4,2)),VALUE(LEFT(Q136,2))),"生效","已终止"))))))</f>
        <v/>
      </c>
      <c r="U136" s="341" t="inlineStr">
        <is>
          <t>国家市场监督管理总局；国家标准化管理委员会</t>
        </is>
      </c>
      <c r="V136" s="341" t="inlineStr">
        <is>
          <t>石油工业用加热炉</t>
        </is>
      </c>
      <c r="W136" s="341" t="inlineStr">
        <is>
          <t>新建</t>
        </is>
      </c>
      <c r="X136" s="341" t="inlineStr">
        <is>
          <t>海拔3500 m以下、陆上油气田和长输管道使用的以气体或液体（油）能源为燃料、额定热负荷在40 kW～12000 kW范围内的石油工业用加热炉。不适用于以固体能源为燃料的加热炉。</t>
        </is>
      </c>
      <c r="Y136" s="341" t="inlineStr">
        <is>
          <t>N/A</t>
        </is>
      </c>
      <c r="Z136" s="341" t="inlineStr">
        <is>
          <t>N/A</t>
        </is>
      </c>
      <c r="AA136" s="341" t="inlineStr">
        <is>
          <t>企业</t>
        </is>
      </c>
      <c r="AB136" s="341" t="inlineStr">
        <is>
          <t>在中国境内生产、进口或销售石油工业用加热炉的生产企业和进口商。</t>
        </is>
      </c>
      <c r="AC136" s="341" t="inlineStr">
        <is>
          <t>生产；销售；进口</t>
        </is>
      </c>
      <c r="AD136" s="341" t="inlineStr">
        <is>
          <t>石油工业用加热炉的生产、进口和销售活动。产品须达到标准规定的能效限定值方可进入市场。</t>
        </is>
      </c>
      <c r="AE136" s="341" t="inlineStr">
        <is>
          <t>3级</t>
        </is>
      </c>
      <c r="AF136" s="341" t="inlineStr">
        <is>
          <t>能效等级</t>
        </is>
      </c>
      <c r="AG136" s="341" t="inlineStr">
        <is>
          <t>能效等级分为3级（1级最高），3级为能效限定值即市场准入最低要求。以热效率（%）为评价指标，按额定热负荷和燃料类型分级设定限值。标准规定了能效限定值和目标能效限定值两项强制性条款。</t>
        </is>
      </c>
      <c r="AH136" s="341" t="inlineStr">
        <is>
          <t>1）石油工业用加热炉须达到标准规定的能效限定值（3级）方可生产、进口或销售；2）产品须标注能效等级标识；3）能效等级分为1级（最高）、2级、3级，3级为市场准入最低要求。</t>
        </is>
      </c>
      <c r="AI136" s="341" t="inlineStr">
        <is>
          <t>N/A</t>
        </is>
      </c>
      <c r="AJ136" s="341" t="inlineStr">
        <is>
          <t>N/A</t>
        </is>
      </c>
      <c r="AK136" s="341" t="inlineStr">
        <is>
          <t>政府机构开展的监督检查</t>
        </is>
      </c>
      <c r="AL136" s="341" t="inlineStr">
        <is>
          <t>市场监督管理部门对石油工业用加热炉产品进行能效标识监督检查和产品质量监督抽查。</t>
        </is>
      </c>
      <c r="AM136" s="341" t="inlineStr">
        <is>
          <t>合规命令；罚款</t>
        </is>
      </c>
      <c r="AN136" s="341" t="inlineStr">
        <is>
          <t>对生产、进口、销售不符合强制性能效标准的石油工业用加热炉产品的，由市场监督管理部门责令停止生产、进口、销售，没收违法所得，并处罚款；情节严重的，吊销营业执照。</t>
        </is>
      </c>
      <c r="AO136" s="341" t="inlineStr">
        <is>
          <t>其他激励或支持</t>
        </is>
      </c>
      <c r="AP136" s="341" t="inlineStr">
        <is>
          <t>国家鼓励生产和使用1级、2级高效石油工业用加热炉；通过节能产品认证和油气行业节能降碳行动推广高效加热设备。</t>
        </is>
      </c>
      <c r="AQ136" s="341" t="inlineStr">
        <is>
          <t>N/A</t>
        </is>
      </c>
      <c r="AR136" s="341" t="inlineStr">
        <is>
          <t>N/A</t>
        </is>
      </c>
      <c r="AS136" s="341" t="inlineStr">
        <is>
          <t>B06; C19</t>
        </is>
      </c>
      <c r="AT136" s="341" t="inlineStr">
        <is>
          <t>CO2</t>
        </is>
      </c>
      <c r="AU136" s="341" t="inlineStr">
        <is>
          <t>正向</t>
        </is>
      </c>
      <c r="AV136" s="341" t="inlineStr">
        <is>
          <t>节能；产业发展</t>
        </is>
      </c>
      <c r="AW136" s="341" t="inlineStr">
        <is>
          <t>GB 24848-2010 石油工业用加热炉能效限定值及能效等级</t>
        </is>
      </c>
      <c r="AX136" s="341" t="inlineStr">
        <is>
          <t>https://openstd.samr.gov.cn/bzgk/std/newGbInfo?hcno=D5CF87EDA655CE977D8CAAAE2CEA0A8E</t>
        </is>
      </c>
      <c r="AY136" s="341" t="inlineStr">
        <is>
          <t>N/A</t>
        </is>
      </c>
      <c r="AZ136" s="341" t="inlineStr"/>
    </row>
    <row r="137">
      <c r="A137" s="341" t="inlineStr">
        <is>
          <t>CHNPRFMEBI01S000</t>
        </is>
      </c>
      <c r="B137" s="341" t="inlineStr">
        <is>
          <t>工具</t>
        </is>
      </c>
      <c r="C137" s="341" t="inlineStr">
        <is>
          <t>绩效标准</t>
        </is>
      </c>
      <c r="D137" s="341" t="inlineStr">
        <is>
          <t>建筑最低能源绩效标准（MEPS）</t>
        </is>
      </c>
      <c r="E137" s="341" t="inlineStr">
        <is>
          <t>建筑</t>
        </is>
      </c>
      <c r="F137" s="341" t="inlineStr">
        <is>
          <t>新建建筑；既有建筑改造；可再生能源建筑应用</t>
        </is>
      </c>
      <c r="G137" s="341" t="inlineStr">
        <is>
          <t>建筑节能与可再生能源利用通用规范</t>
        </is>
      </c>
      <c r="H137" s="341" t="inlineStr">
        <is>
          <t>General Code for Energy Efficiency and Renewable Energy Application in Buildings</t>
        </is>
      </c>
      <c r="I137" s="341" t="inlineStr">
        <is>
          <t>N/A</t>
        </is>
      </c>
      <c r="J137"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7" s="341" t="inlineStr">
        <is>
          <t>能源效率</t>
        </is>
      </c>
      <c r="L137" s="341" t="inlineStr">
        <is>
          <t>直接</t>
        </is>
      </c>
      <c r="M137" s="341" t="inlineStr">
        <is>
          <t>国家</t>
        </is>
      </c>
      <c r="N137" s="341" t="inlineStr">
        <is>
          <t>N/A</t>
        </is>
      </c>
      <c r="O137" s="341" t="inlineStr">
        <is>
          <t>08/09/2021</t>
        </is>
      </c>
      <c r="P137" s="341" t="inlineStr">
        <is>
          <t>01/04/2022</t>
        </is>
      </c>
      <c r="Q137" s="341" t="inlineStr">
        <is>
          <t>N/A</t>
        </is>
      </c>
      <c r="R137" s="341" t="inlineStr">
        <is>
          <t>N/A</t>
        </is>
      </c>
      <c r="S137" s="341" t="inlineStr">
        <is>
          <t>N/A</t>
        </is>
      </c>
      <c r="T137" s="341">
        <f>IF(P137="","生效",IF(P137="N/A","生效",IF(TODAY()&lt;DATE(VALUE(RIGHT(P137,4)),VALUE(MID(P137,4,2)),VALUE(LEFT(P137,2))),"计划实施",IF(Q137="","生效",IF(Q137="N/A","生效",IF(TODAY()&lt;DATE(VALUE(RIGHT(Q137,4)),VALUE(MID(Q137,4,2)),VALUE(LEFT(Q137,2))),"生效","已终止"))))))</f>
        <v/>
      </c>
      <c r="U137" s="341" t="inlineStr">
        <is>
          <t>住房和城乡建设部；国家市场监督管理总局；国家标准化管理委员会</t>
        </is>
      </c>
      <c r="V137" s="341" t="inlineStr">
        <is>
          <t>新建、扩建和改建的民用建筑和工业建筑</t>
        </is>
      </c>
      <c r="W137" s="341" t="inlineStr">
        <is>
          <t>新建；既有</t>
        </is>
      </c>
      <c r="X137"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Y137" s="341" t="inlineStr">
        <is>
          <t>N/A</t>
        </is>
      </c>
      <c r="Z137" s="341" t="inlineStr">
        <is>
          <t>N/A</t>
        </is>
      </c>
      <c r="AA137" s="341" t="inlineStr">
        <is>
          <t>企业；政府</t>
        </is>
      </c>
      <c r="AB137" s="341" t="inlineStr">
        <is>
          <t>建筑建设单位（开发商）、设计单位、施工单位、监理单位、施工图审查机构和建筑业主（包括公共机构建筑的政府业主）。</t>
        </is>
      </c>
      <c r="AC137" s="341" t="inlineStr">
        <is>
          <t>新建；改建；扩建；运行</t>
        </is>
      </c>
      <c r="AD137"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E137" s="341" t="inlineStr">
        <is>
          <t>N/A</t>
        </is>
      </c>
      <c r="AF137" s="341" t="inlineStr">
        <is>
          <t>N/A</t>
        </is>
      </c>
      <c r="AG137"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H137"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I137" s="341" t="inlineStr">
        <is>
          <t>N/A</t>
        </is>
      </c>
      <c r="AJ137" s="341" t="inlineStr">
        <is>
          <t>N/A</t>
        </is>
      </c>
      <c r="AK137" s="341" t="inlineStr">
        <is>
          <t>政府机构开展的监督检查或第三方审计</t>
        </is>
      </c>
      <c r="AL137"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M137" s="341" t="inlineStr">
        <is>
          <t>合规命令；罚款</t>
        </is>
      </c>
      <c r="AN137"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O137" s="341" t="inlineStr">
        <is>
          <t>其他激励或支持</t>
        </is>
      </c>
      <c r="AP137"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Q137"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R137" s="341" t="inlineStr">
        <is>
          <t>22.1%（来源：同上；占全国能源相关碳排放比例；该规范为全文强制性工程建设规范，覆盖全部新建及改建民用与工业建筑）</t>
        </is>
      </c>
      <c r="AS137" s="341" t="inlineStr">
        <is>
          <t>F41; F42; F43; M71; M72</t>
        </is>
      </c>
      <c r="AT137" s="341" t="inlineStr">
        <is>
          <t>CO2</t>
        </is>
      </c>
      <c r="AU137" s="341" t="inlineStr">
        <is>
          <t>正向</t>
        </is>
      </c>
      <c r="AV137" s="341" t="inlineStr">
        <is>
          <t>节能；可再生能源发展</t>
        </is>
      </c>
      <c r="AW137" s="341" t="inlineStr">
        <is>
          <t>GB 55015-2021 建筑节能与可再生能源利用通用规范</t>
        </is>
      </c>
      <c r="AX137" s="341" t="inlineStr">
        <is>
          <t>https://www.mohurd.gov.cn/gongkai/zc/wjk/art/2021/art_17339_762460.html</t>
        </is>
      </c>
      <c r="AY137" s="341" t="inlineStr">
        <is>
          <t>N/A</t>
        </is>
      </c>
      <c r="AZ137" s="341" t="inlineStr"/>
    </row>
    <row r="138">
      <c r="A138" s="341" t="inlineStr">
        <is>
          <t>CHNPRFMEBI02S000</t>
        </is>
      </c>
      <c r="B138" s="341" t="inlineStr">
        <is>
          <t>工具</t>
        </is>
      </c>
      <c r="C138" s="341" t="inlineStr">
        <is>
          <t>绩效标准</t>
        </is>
      </c>
      <c r="D138" s="341" t="inlineStr">
        <is>
          <t>建筑最低能源绩效标准（MEPS）</t>
        </is>
      </c>
      <c r="E138" s="341" t="inlineStr">
        <is>
          <t>建筑</t>
        </is>
      </c>
      <c r="F138" s="341" t="inlineStr">
        <is>
          <t>数据中心；信息通信基础设施</t>
        </is>
      </c>
      <c r="G138" s="341" t="inlineStr">
        <is>
          <t>数据中心能效限定值及能效等级</t>
        </is>
      </c>
      <c r="H138" s="341" t="inlineStr">
        <is>
          <t>Minimum Allowable Values of Energy Efficiency and Energy Efficiency Grades for Data Centers</t>
        </is>
      </c>
      <c r="I138" s="341" t="inlineStr">
        <is>
          <t>N/A</t>
        </is>
      </c>
      <c r="J138"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8" s="341" t="inlineStr">
        <is>
          <t>能源效率</t>
        </is>
      </c>
      <c r="L138" s="341" t="inlineStr">
        <is>
          <t>直接</t>
        </is>
      </c>
      <c r="M138" s="341" t="inlineStr">
        <is>
          <t>国家</t>
        </is>
      </c>
      <c r="N138" s="341" t="inlineStr">
        <is>
          <t>N/A</t>
        </is>
      </c>
      <c r="O138" s="341" t="inlineStr">
        <is>
          <t>11/10/2021</t>
        </is>
      </c>
      <c r="P138" s="341" t="inlineStr">
        <is>
          <t>01/11/2022</t>
        </is>
      </c>
      <c r="Q138" s="341" t="inlineStr">
        <is>
          <t>N/A</t>
        </is>
      </c>
      <c r="R138" s="341" t="inlineStr">
        <is>
          <t>N/A</t>
        </is>
      </c>
      <c r="S138" s="341" t="inlineStr">
        <is>
          <t>2025年4月30日，国家标准化管理委员会下达修订计划（计划号20251056-Q-469），主要起草单位为中国标准化研究院、中国信息通信研究院、中国移动通信集团有限公司等，项目周期19个月，目前处于起草阶段。</t>
        </is>
      </c>
      <c r="T138" s="341">
        <f>IF(P138="","生效",IF(P138="N/A","生效",IF(TODAY()&lt;DATE(VALUE(RIGHT(P138,4)),VALUE(MID(P138,4,2)),VALUE(LEFT(P138,2))),"计划实施",IF(Q138="","生效",IF(Q138="N/A","生效",IF(TODAY()&lt;DATE(VALUE(RIGHT(Q138,4)),VALUE(MID(Q138,4,2)),VALUE(LEFT(Q138,2))),"生效","已终止"))))))</f>
        <v/>
      </c>
      <c r="U138" s="341" t="inlineStr">
        <is>
          <t>国家市场监督管理总局；国家标准化管理委员会；工业和信息化部</t>
        </is>
      </c>
      <c r="V138" s="341" t="inlineStr">
        <is>
          <t>数据中心</t>
        </is>
      </c>
      <c r="W138" s="341" t="inlineStr">
        <is>
          <t>新建；既有</t>
        </is>
      </c>
      <c r="X138"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Y138" s="341" t="inlineStr">
        <is>
          <t>N/A</t>
        </is>
      </c>
      <c r="Z138" s="341" t="inlineStr">
        <is>
          <t>PUE ≤ 1.50（3级，能效限定值）；PUE ≤ 1.30（2级）；PUE ≤ 1.20（1级）</t>
        </is>
      </c>
      <c r="AA138" s="341" t="inlineStr">
        <is>
          <t>企业；政府</t>
        </is>
      </c>
      <c r="AB138" s="341" t="inlineStr">
        <is>
          <t>数据中心运营企业（包括电信运营商、互联网企业、云服务提供商和第三方IDC运营商），以及政府机构和事业单位自建数据中心的运维部门。</t>
        </is>
      </c>
      <c r="AC138" s="341" t="inlineStr">
        <is>
          <t>新建；运行</t>
        </is>
      </c>
      <c r="AD138"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E138" s="341" t="inlineStr">
        <is>
          <t>3级（PUE ≤ 1.50）</t>
        </is>
      </c>
      <c r="AF138" s="341" t="inlineStr">
        <is>
          <t>能效等级（PUE）</t>
        </is>
      </c>
      <c r="AG138"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H138"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I138" s="341" t="inlineStr">
        <is>
          <t>电能使用效率（PUE）= 数据中心总耗电量 / 信息设备耗电量（按标准附录A方法测量计算）</t>
        </is>
      </c>
      <c r="AJ138" s="341" t="inlineStr">
        <is>
          <t>N/A</t>
        </is>
      </c>
      <c r="AK138" s="341" t="inlineStr">
        <is>
          <t>政府机构开展的监督检查或第三方审计</t>
        </is>
      </c>
      <c r="AL138"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M138" s="341" t="inlineStr">
        <is>
          <t>合规命令；罚款</t>
        </is>
      </c>
      <c r="AN138" s="341" t="inlineStr">
        <is>
          <t>对PUE超过限定值的数据中心，由工业和信息化主管部门责令限期整改；逾期不整改或整改后仍不达标的，处以罚款并限制其新建项目审批；情节严重的，责令关闭或迁移。</t>
        </is>
      </c>
      <c r="AO138" s="341" t="inlineStr">
        <is>
          <t>其他激励或支持</t>
        </is>
      </c>
      <c r="AP138"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Q138" s="341" t="inlineStr">
        <is>
          <t>0.859亿吨CO₂（来源：中国信息通信研究院《绿色算力发展研究报告（2025年）》，2024年数据中心用电相关碳排放；标准适用于除单体规模不超过100个标准机架边缘数据中心外的全部新建及既有数据中心）</t>
        </is>
      </c>
      <c r="AR138" s="341" t="inlineStr">
        <is>
          <t>约1.68%（来源：同上；数据中心用电占全社会用电量比例；标准适用于除边缘数据中心外的全部数据中心）</t>
        </is>
      </c>
      <c r="AS138" s="341" t="inlineStr">
        <is>
          <t>J61; J63</t>
        </is>
      </c>
      <c r="AT138" s="341" t="inlineStr">
        <is>
          <t>CO2</t>
        </is>
      </c>
      <c r="AU138" s="341" t="inlineStr">
        <is>
          <t>正向</t>
        </is>
      </c>
      <c r="AV138" s="341" t="inlineStr">
        <is>
          <t>节能；产业发展</t>
        </is>
      </c>
      <c r="AW138" s="341" t="inlineStr">
        <is>
          <t>GB 40879-2021 数据中心能效限定值及能效等级</t>
        </is>
      </c>
      <c r="AX138" s="341" t="inlineStr">
        <is>
          <t>https://openstd.samr.gov.cn/bzgk/std/newGbInfo?hcno=4AAF5CA9387980A1FEA1FA47ABA503BA</t>
        </is>
      </c>
      <c r="AY138" s="341" t="inlineStr">
        <is>
          <t>N/A</t>
        </is>
      </c>
      <c r="AZ138" s="341" t="inlineStr"/>
    </row>
    <row r="139">
      <c r="A139" s="341" t="inlineStr">
        <is>
          <t>CHNPRFMWHI01S000</t>
        </is>
      </c>
      <c r="B139" s="341" t="inlineStr">
        <is>
          <t>工具</t>
        </is>
      </c>
      <c r="C139" s="341" t="inlineStr">
        <is>
          <t>绩效标准</t>
        </is>
      </c>
      <c r="D139" s="341" t="inlineStr">
        <is>
          <t>热水系统最低能源绩效标准（MEPS）</t>
        </is>
      </c>
      <c r="E139" s="341" t="inlineStr">
        <is>
          <t>建筑</t>
        </is>
      </c>
      <c r="F139" s="341" t="inlineStr">
        <is>
          <t>建筑热水</t>
        </is>
      </c>
      <c r="G139" s="341" t="inlineStr">
        <is>
          <t>家用太阳能热水系统能效限定值及能效等级</t>
        </is>
      </c>
      <c r="H139" s="341" t="inlineStr">
        <is>
          <t>Minimum Allowable Values of Energy Efficiency and Energy Efficiency Grades for Domestic Solar Water Heating Systems</t>
        </is>
      </c>
      <c r="I139" s="341" t="inlineStr">
        <is>
          <t>N/A</t>
        </is>
      </c>
      <c r="J139"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39" s="341" t="inlineStr">
        <is>
          <t>能源效率</t>
        </is>
      </c>
      <c r="L139" s="341" t="inlineStr">
        <is>
          <t>直接</t>
        </is>
      </c>
      <c r="M139" s="341" t="inlineStr">
        <is>
          <t>国家</t>
        </is>
      </c>
      <c r="N139" s="341" t="inlineStr">
        <is>
          <t>N/A</t>
        </is>
      </c>
      <c r="O139" s="341" t="inlineStr">
        <is>
          <t>19/07/2011</t>
        </is>
      </c>
      <c r="P139" s="341" t="inlineStr">
        <is>
          <t>01/08/2012</t>
        </is>
      </c>
      <c r="Q139" s="341" t="inlineStr">
        <is>
          <t>N/A</t>
        </is>
      </c>
      <c r="R139" s="341" t="inlineStr">
        <is>
          <t>01/08/2025</t>
        </is>
      </c>
      <c r="S139" s="341" t="inlineStr">
        <is>
          <t>2025年8月1日发布GB 26969-2025替代GB 26969-2011，将于2026年8月1日实施。新版标准更新了能效等级指标和试验方法。</t>
        </is>
      </c>
      <c r="T139" s="341">
        <f>IF(P139="","生效",IF(P139="N/A","生效",IF(TODAY()&lt;DATE(VALUE(RIGHT(P139,4)),VALUE(MID(P139,4,2)),VALUE(LEFT(P139,2))),"计划实施",IF(Q139="","生效",IF(Q139="N/A","生效",IF(TODAY()&lt;DATE(VALUE(RIGHT(Q139,4)),VALUE(MID(Q139,4,2)),VALUE(LEFT(Q139,2))),"生效","已终止"))))))</f>
        <v/>
      </c>
      <c r="U139" s="341" t="inlineStr">
        <is>
          <t>国家市场监督管理总局；国家标准化管理委员会</t>
        </is>
      </c>
      <c r="V139" s="341" t="inlineStr">
        <is>
          <t>家用太阳能热水系统</t>
        </is>
      </c>
      <c r="W139" s="341" t="inlineStr">
        <is>
          <t>新建</t>
        </is>
      </c>
      <c r="X139" s="341" t="inlineStr">
        <is>
          <t>贮热水箱容积不大于0.6 m³的太阳能热水系统。</t>
        </is>
      </c>
      <c r="Y139" s="341" t="inlineStr">
        <is>
          <t>N/A</t>
        </is>
      </c>
      <c r="Z139" s="341" t="inlineStr">
        <is>
          <t>N/A</t>
        </is>
      </c>
      <c r="AA139" s="341" t="inlineStr">
        <is>
          <t>企业</t>
        </is>
      </c>
      <c r="AB139" s="341" t="inlineStr">
        <is>
          <t>在中国境内生产、进口或销售家用太阳能热水系统的生产企业和进口商。</t>
        </is>
      </c>
      <c r="AC139" s="341" t="inlineStr">
        <is>
          <t>生产；销售；进口</t>
        </is>
      </c>
      <c r="AD139" s="341" t="inlineStr">
        <is>
          <t>家用太阳能热水系统的生产、进口和销售活动。产品须达到标准规定的能效限定值方可进入市场。</t>
        </is>
      </c>
      <c r="AE139" s="341" t="inlineStr">
        <is>
          <t>3级</t>
        </is>
      </c>
      <c r="AF139" s="341" t="inlineStr">
        <is>
          <t>能效等级</t>
        </is>
      </c>
      <c r="AG139" s="341" t="inlineStr">
        <is>
          <t>能效等级分为3级（1级最高），3级为能效限定值即市场准入最低要求。以日有用得热量和平均热损因数为评价指标，按贮热水箱容积分级设定限值。</t>
        </is>
      </c>
      <c r="AH139" s="341" t="inlineStr">
        <is>
          <t>1）家用太阳能热水系统须达到标准规定的能效限定值（3级）方可生产、进口或销售；2）产品须标注能效等级标识；3）能效等级分为1级（最高）、2级、3级，3级为市场准入最低要求。</t>
        </is>
      </c>
      <c r="AI139" s="341" t="inlineStr">
        <is>
          <t>N/A</t>
        </is>
      </c>
      <c r="AJ139" s="341" t="inlineStr">
        <is>
          <t>N/A</t>
        </is>
      </c>
      <c r="AK139" s="341" t="inlineStr">
        <is>
          <t>政府机构开展的监督检查</t>
        </is>
      </c>
      <c r="AL139" s="341" t="inlineStr">
        <is>
          <t>市场监督管理部门对家用太阳能热水系统产品进行能效标识监督检查和产品质量监督抽查。</t>
        </is>
      </c>
      <c r="AM139" s="341" t="inlineStr">
        <is>
          <t>合规命令；罚款</t>
        </is>
      </c>
      <c r="AN139" s="341" t="inlineStr">
        <is>
          <t>对生产、进口、销售不符合强制性能效标准的家用太阳能热水系统产品的，由市场监督管理部门责令停止生产、进口、销售，没收违法所得，并处罚款；情节严重的，吊销营业执照。</t>
        </is>
      </c>
      <c r="AO139" s="341" t="inlineStr">
        <is>
          <t>其他激励或支持</t>
        </is>
      </c>
      <c r="AP139" s="341" t="inlineStr">
        <is>
          <t>国家鼓励生产和使用1级、2级高效家用太阳能热水系统；通过节能产品认证和可再生能源建筑应用推广引导高效太阳能热水产品市场应用。</t>
        </is>
      </c>
      <c r="AQ139" s="341" t="inlineStr">
        <is>
          <t>N/A</t>
        </is>
      </c>
      <c r="AR139" s="341" t="inlineStr">
        <is>
          <t>N/A</t>
        </is>
      </c>
      <c r="AS139" s="341" t="inlineStr">
        <is>
          <t>C27</t>
        </is>
      </c>
      <c r="AT139" s="341" t="inlineStr">
        <is>
          <t>CO2</t>
        </is>
      </c>
      <c r="AU139" s="341" t="inlineStr">
        <is>
          <t>正向</t>
        </is>
      </c>
      <c r="AV139" s="341" t="inlineStr">
        <is>
          <t>可再生能源发展；节能</t>
        </is>
      </c>
      <c r="AW139" s="341" t="inlineStr">
        <is>
          <t>GB 26969-2011 家用太阳能热水系统能效限定值及能效等级</t>
        </is>
      </c>
      <c r="AX139" s="341" t="inlineStr">
        <is>
          <t>https://openstd.samr.gov.cn/bzgk/std/newGbInfo?hcno=1A15DA50EE92BFDCC34B5B269E68292B</t>
        </is>
      </c>
      <c r="AY139" s="341" t="inlineStr">
        <is>
          <t>GB 26969-2025（新版，2026年8月1日实施）：https://openstd.samr.gov.cn/bzgk/std/newGbInfo?hcno=509A441DA661725B635FFAC80723E2FA</t>
        </is>
      </c>
      <c r="AZ139" s="341" t="inlineStr"/>
    </row>
    <row r="140">
      <c r="A140" s="341" t="inlineStr">
        <is>
          <t>CHNPRFMWHI02S000</t>
        </is>
      </c>
      <c r="B140" s="341" t="inlineStr">
        <is>
          <t>工具</t>
        </is>
      </c>
      <c r="C140" s="341" t="inlineStr">
        <is>
          <t>绩效标准</t>
        </is>
      </c>
      <c r="D140" s="341" t="inlineStr">
        <is>
          <t>热水系统最低能源绩效标准（MEPS）</t>
        </is>
      </c>
      <c r="E140" s="341" t="inlineStr">
        <is>
          <t>建筑</t>
        </is>
      </c>
      <c r="F140" s="341" t="inlineStr">
        <is>
          <t>建筑热水；建筑供暖</t>
        </is>
      </c>
      <c r="G140" s="341" t="inlineStr">
        <is>
          <t>家用燃气快速热水器和燃气采暖热水炉能效限定值及能效等级</t>
        </is>
      </c>
      <c r="H140" s="341" t="inlineStr">
        <is>
          <t>Minimum Allowable Values of Energy Efficiency and Energy Efficiency Grades for Domestic Gas Instantaneous Water Heaters and Gas Fired Heating and Hot Water Combi-Boilers</t>
        </is>
      </c>
      <c r="I140" s="341" t="inlineStr">
        <is>
          <t>N/A</t>
        </is>
      </c>
      <c r="J140"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0" s="341" t="inlineStr">
        <is>
          <t>能源效率</t>
        </is>
      </c>
      <c r="L140" s="341" t="inlineStr">
        <is>
          <t>直接</t>
        </is>
      </c>
      <c r="M140" s="341" t="inlineStr">
        <is>
          <t>国家</t>
        </is>
      </c>
      <c r="N140" s="341" t="inlineStr">
        <is>
          <t>N/A</t>
        </is>
      </c>
      <c r="O140" s="341" t="inlineStr">
        <is>
          <t>01/06/2006</t>
        </is>
      </c>
      <c r="P140" s="341" t="inlineStr">
        <is>
          <t>01/01/2007</t>
        </is>
      </c>
      <c r="Q140" s="341" t="inlineStr">
        <is>
          <t>N/A</t>
        </is>
      </c>
      <c r="R140" s="341" t="inlineStr">
        <is>
          <t>15/05/2015</t>
        </is>
      </c>
      <c r="S140" s="341" t="inlineStr">
        <is>
          <t>2015年5月15日发布GB 20665-2015替代GB 20665-2006，能效等级指标由固定单一限值改为限定较大值下限和较小值下限。</t>
        </is>
      </c>
      <c r="T140" s="341">
        <f>IF(P140="","生效",IF(P140="N/A","生效",IF(TODAY()&lt;DATE(VALUE(RIGHT(P140,4)),VALUE(MID(P140,4,2)),VALUE(LEFT(P140,2))),"计划实施",IF(Q140="","生效",IF(Q140="N/A","生效",IF(TODAY()&lt;DATE(VALUE(RIGHT(Q140,4)),VALUE(MID(Q140,4,2)),VALUE(LEFT(Q140,2))),"生效","已终止"))))))</f>
        <v/>
      </c>
      <c r="U140" s="341" t="inlineStr">
        <is>
          <t>国家市场监督管理总局；国家标准化管理委员会</t>
        </is>
      </c>
      <c r="V140" s="341" t="inlineStr">
        <is>
          <t>家用燃气快速热水器和燃气采暖热水炉</t>
        </is>
      </c>
      <c r="W140" s="341" t="inlineStr">
        <is>
          <t>新建</t>
        </is>
      </c>
      <c r="X140" s="341" t="inlineStr">
        <is>
          <t>仅以燃气作为能源、热负荷不大于70 kW的家用燃气快速热水器（含冷凝式）和燃气采暖热水炉（含冷凝式燃气暖浴两用炉）。不适用于燃气容积式热水器。</t>
        </is>
      </c>
      <c r="Y140" s="341" t="inlineStr">
        <is>
          <t>N/A</t>
        </is>
      </c>
      <c r="Z140" s="341" t="inlineStr">
        <is>
          <t>N/A</t>
        </is>
      </c>
      <c r="AA140" s="341" t="inlineStr">
        <is>
          <t>企业</t>
        </is>
      </c>
      <c r="AB140" s="341" t="inlineStr">
        <is>
          <t>在中国境内生产、进口或销售家用燃气快速热水器和燃气采暖热水炉的生产企业和进口商。</t>
        </is>
      </c>
      <c r="AC140" s="341" t="inlineStr">
        <is>
          <t>生产；销售；进口</t>
        </is>
      </c>
      <c r="AD140" s="341" t="inlineStr">
        <is>
          <t>家用燃气快速热水器和燃气采暖热水炉的生产、进口和销售活动。产品须达到标准规定的能效限定值方可进入市场。</t>
        </is>
      </c>
      <c r="AE140" s="341" t="inlineStr">
        <is>
          <t>3级</t>
        </is>
      </c>
      <c r="AF140" s="341" t="inlineStr">
        <is>
          <t>能效等级</t>
        </is>
      </c>
      <c r="AG140" s="341" t="inlineStr">
        <is>
          <t>能效等级分为3级（1级最高），3级为能效限定值即市场准入最低要求。以热效率（%）为评价指标，按产品类型和额定热负荷分级设定热水和供暖热效率限值。</t>
        </is>
      </c>
      <c r="AH140" s="341" t="inlineStr">
        <is>
          <t>1）家用燃气快速热水器和燃气采暖热水炉须达到标准规定的能效限定值（3级）方可生产、进口或销售；2）产品须标注能效等级标识；3）能效等级分为1级（最高）、2级、3级，3级为市场准入最低要求。</t>
        </is>
      </c>
      <c r="AI140" s="341" t="inlineStr">
        <is>
          <t>N/A</t>
        </is>
      </c>
      <c r="AJ140" s="341" t="inlineStr">
        <is>
          <t>N/A</t>
        </is>
      </c>
      <c r="AK140" s="341" t="inlineStr">
        <is>
          <t>政府机构开展的监督检查</t>
        </is>
      </c>
      <c r="AL140" s="341" t="inlineStr">
        <is>
          <t>市场监督管理部门对家用燃气快速热水器和燃气采暖热水炉产品进行能效标识监督检查和产品质量监督抽查。</t>
        </is>
      </c>
      <c r="AM140" s="341" t="inlineStr">
        <is>
          <t>合规命令；罚款</t>
        </is>
      </c>
      <c r="AN140" s="341" t="inlineStr">
        <is>
          <t>对生产、进口、销售不符合强制性能效标准的家用燃气快速热水器和燃气采暖热水炉产品的，由市场监督管理部门责令停止生产、进口、销售，没收违法所得，并处罚款；情节严重的，吊销营业执照。</t>
        </is>
      </c>
      <c r="AO140" s="341" t="inlineStr">
        <is>
          <t>其他激励或支持</t>
        </is>
      </c>
      <c r="AP140" s="341" t="inlineStr">
        <is>
          <t>国家鼓励生产和使用1级、2级高效燃气热水器和采暖炉；通过节能产品认证引导高效燃气具市场推广。</t>
        </is>
      </c>
      <c r="AQ140" s="341" t="inlineStr">
        <is>
          <t>N/A</t>
        </is>
      </c>
      <c r="AR140" s="341" t="inlineStr">
        <is>
          <t>N/A</t>
        </is>
      </c>
      <c r="AS140" s="341" t="inlineStr">
        <is>
          <t>C27</t>
        </is>
      </c>
      <c r="AT140" s="341" t="inlineStr">
        <is>
          <t>CO2</t>
        </is>
      </c>
      <c r="AU140" s="341" t="inlineStr">
        <is>
          <t>正向</t>
        </is>
      </c>
      <c r="AV140" s="341" t="inlineStr">
        <is>
          <t>节能；产业发展</t>
        </is>
      </c>
      <c r="AW140" s="341" t="inlineStr">
        <is>
          <t>GB 20665-2015 家用燃气快速热水器和燃气采暖热水炉能效限定值及能效等级</t>
        </is>
      </c>
      <c r="AX140" s="341" t="inlineStr">
        <is>
          <t>https://openstd.samr.gov.cn/bzgk/std/newGbInfo?hcno=75D38814EF3EE95E56E53DC00CF759C6</t>
        </is>
      </c>
      <c r="AY140" s="341" t="inlineStr">
        <is>
          <t>GB 20665-2006（旧版）：https://openstd.samr.gov.cn/bzgk/std/newGbInfo?hcno=D64EC2F5A23E36B0BC4B8B9E1E8E391A</t>
        </is>
      </c>
      <c r="AZ140" s="341" t="inlineStr"/>
    </row>
    <row r="141">
      <c r="A141" s="341" t="inlineStr">
        <is>
          <t>CHNPRFMWHI03S000</t>
        </is>
      </c>
      <c r="B141" s="341" t="inlineStr">
        <is>
          <t>工具</t>
        </is>
      </c>
      <c r="C141" s="341" t="inlineStr">
        <is>
          <t>绩效标准</t>
        </is>
      </c>
      <c r="D141" s="341" t="inlineStr">
        <is>
          <t>热水系统最低能源绩效标准（MEPS）</t>
        </is>
      </c>
      <c r="E141" s="341" t="inlineStr">
        <is>
          <t>建筑</t>
        </is>
      </c>
      <c r="F141" s="341" t="inlineStr">
        <is>
          <t>建筑热水</t>
        </is>
      </c>
      <c r="G141" s="341" t="inlineStr">
        <is>
          <t>热泵热水机（器）能效限定值及能效等级</t>
        </is>
      </c>
      <c r="H141" s="341" t="inlineStr">
        <is>
          <t>Minimum Allowable Values of Energy Efficiency and Energy Efficiency Grades for Heat Pump Water Heaters</t>
        </is>
      </c>
      <c r="I141" s="341" t="inlineStr">
        <is>
          <t>N/A</t>
        </is>
      </c>
      <c r="J141"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1" s="341" t="inlineStr">
        <is>
          <t>能源效率</t>
        </is>
      </c>
      <c r="L141" s="341" t="inlineStr">
        <is>
          <t>直接</t>
        </is>
      </c>
      <c r="M141" s="341" t="inlineStr">
        <is>
          <t>国家</t>
        </is>
      </c>
      <c r="N141" s="341" t="inlineStr">
        <is>
          <t>N/A</t>
        </is>
      </c>
      <c r="O141" s="341" t="inlineStr">
        <is>
          <t>09/06/2013</t>
        </is>
      </c>
      <c r="P141" s="341" t="inlineStr">
        <is>
          <t>01/10/2013</t>
        </is>
      </c>
      <c r="Q141" s="341" t="inlineStr">
        <is>
          <t>N/A</t>
        </is>
      </c>
      <c r="R141" s="341" t="inlineStr">
        <is>
          <t>N/A</t>
        </is>
      </c>
      <c r="S141" s="341" t="inlineStr">
        <is>
          <t>N/A</t>
        </is>
      </c>
      <c r="T141" s="341">
        <f>IF(P141="","生效",IF(P141="N/A","生效",IF(TODAY()&lt;DATE(VALUE(RIGHT(P141,4)),VALUE(MID(P141,4,2)),VALUE(LEFT(P141,2))),"计划实施",IF(Q141="","生效",IF(Q141="N/A","生效",IF(TODAY()&lt;DATE(VALUE(RIGHT(Q141,4)),VALUE(MID(Q141,4,2)),VALUE(LEFT(Q141,2))),"生效","已终止"))))))</f>
        <v/>
      </c>
      <c r="U141" s="341" t="inlineStr">
        <is>
          <t>国家市场监督管理总局；国家标准化管理委员会</t>
        </is>
      </c>
      <c r="V141" s="341" t="inlineStr">
        <is>
          <t>热泵热水机（器）</t>
        </is>
      </c>
      <c r="W141" s="341" t="inlineStr">
        <is>
          <t>新建</t>
        </is>
      </c>
      <c r="X141" s="341" t="inlineStr">
        <is>
          <t>以电动机驱动、采用蒸气压缩制冷循环、以空气为热源、提供热水为目的的热水机（器）。暂不适用于水源式热泵热水机（器）。</t>
        </is>
      </c>
      <c r="Y141" s="341" t="inlineStr">
        <is>
          <t>N/A</t>
        </is>
      </c>
      <c r="Z141" s="341" t="inlineStr">
        <is>
          <t>N/A</t>
        </is>
      </c>
      <c r="AA141" s="341" t="inlineStr">
        <is>
          <t>企业</t>
        </is>
      </c>
      <c r="AB141" s="341" t="inlineStr">
        <is>
          <t>在中国境内生产、进口或销售热泵热水机（器）的生产企业和进口商。</t>
        </is>
      </c>
      <c r="AC141" s="341" t="inlineStr">
        <is>
          <t>生产；销售；进口</t>
        </is>
      </c>
      <c r="AD141" s="341" t="inlineStr">
        <is>
          <t>热泵热水机（器）的生产、进口和销售活动。产品须达到标准规定的能效限定值方可进入市场。</t>
        </is>
      </c>
      <c r="AE141" s="341" t="inlineStr">
        <is>
          <t>5级</t>
        </is>
      </c>
      <c r="AF141" s="341" t="inlineStr">
        <is>
          <t>能效等级</t>
        </is>
      </c>
      <c r="AG141" s="341" t="inlineStr">
        <is>
          <t>能效等级分为5级（1级最高），5级为能效限定值即市场准入最低要求。以性能系数（COP）为评价指标，按产品类型（一次加热式/循环加热式/静态加热式）和制热量分级设定限值。</t>
        </is>
      </c>
      <c r="AH141" s="341" t="inlineStr">
        <is>
          <t>1）热泵热水机（器）须达到标准规定的能效限定值（5级）方可生产、进口或销售；2）产品须标注能效等级标识；3）能效等级分为1级（最高）至5级，5级为市场准入最低要求。</t>
        </is>
      </c>
      <c r="AI141" s="341" t="inlineStr">
        <is>
          <t>N/A</t>
        </is>
      </c>
      <c r="AJ141" s="341" t="inlineStr">
        <is>
          <t>N/A</t>
        </is>
      </c>
      <c r="AK141" s="341" t="inlineStr">
        <is>
          <t>政府机构开展的监督检查</t>
        </is>
      </c>
      <c r="AL141" s="341" t="inlineStr">
        <is>
          <t>市场监督管理部门对热泵热水机（器）产品进行能效标识监督检查和产品质量监督抽查。</t>
        </is>
      </c>
      <c r="AM141" s="341" t="inlineStr">
        <is>
          <t>合规命令；罚款</t>
        </is>
      </c>
      <c r="AN141" s="341" t="inlineStr">
        <is>
          <t>对生产、进口、销售不符合强制性能效标准的热泵热水机（器）产品的，由市场监督管理部门责令停止生产、进口、销售，没收违法所得，并处罚款；情节严重的，吊销营业执照。</t>
        </is>
      </c>
      <c r="AO141" s="341" t="inlineStr">
        <is>
          <t>其他激励或支持</t>
        </is>
      </c>
      <c r="AP141" s="341" t="inlineStr">
        <is>
          <t>国家鼓励生产和使用1级、2级高效热泵热水机（器）；通过节能产品认证引导高效热泵热水产品市场推广。</t>
        </is>
      </c>
      <c r="AQ141" s="341" t="inlineStr">
        <is>
          <t>N/A</t>
        </is>
      </c>
      <c r="AR141" s="341" t="inlineStr">
        <is>
          <t>N/A</t>
        </is>
      </c>
      <c r="AS141" s="341" t="inlineStr">
        <is>
          <t>C27</t>
        </is>
      </c>
      <c r="AT141" s="341" t="inlineStr">
        <is>
          <t>CO2</t>
        </is>
      </c>
      <c r="AU141" s="341" t="inlineStr">
        <is>
          <t>正向</t>
        </is>
      </c>
      <c r="AV141" s="341" t="inlineStr">
        <is>
          <t>可再生能源发展；节能；产业发展</t>
        </is>
      </c>
      <c r="AW141" s="341" t="inlineStr">
        <is>
          <t>GB 29541-2013 热泵热水机（器）能效限定值及能效等级</t>
        </is>
      </c>
      <c r="AX141" s="341" t="inlineStr">
        <is>
          <t>https://openstd.samr.gov.cn/bzgk/std/newGbInfo?hcno=7126B1BAD015F37BAFBFE1EC5242B55C</t>
        </is>
      </c>
      <c r="AY141" s="341" t="inlineStr">
        <is>
          <t>N/A</t>
        </is>
      </c>
      <c r="AZ141" s="341" t="inlineStr"/>
    </row>
    <row r="142">
      <c r="A142" s="341" t="inlineStr">
        <is>
          <t>CHNPRFMWHI04S000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储水式电热水器能效限定值及能效等级</t>
        </is>
      </c>
      <c r="H142" s="341" t="inlineStr">
        <is>
          <t>Minimum Allowable Values of Energy Efficiency and Energy Efficiency Grades for Electrical Storage Water Heaters</t>
        </is>
      </c>
      <c r="I142" s="341" t="inlineStr">
        <is>
          <t>N/A</t>
        </is>
      </c>
      <c r="J142"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2" s="341" t="inlineStr">
        <is>
          <t>能源效率</t>
        </is>
      </c>
      <c r="L142" s="341" t="inlineStr">
        <is>
          <t>直接</t>
        </is>
      </c>
      <c r="M142" s="341" t="inlineStr">
        <is>
          <t>国家</t>
        </is>
      </c>
      <c r="N142" s="341" t="inlineStr">
        <is>
          <t>N/A</t>
        </is>
      </c>
      <c r="O142" s="341" t="inlineStr">
        <is>
          <t>01/04/2008</t>
        </is>
      </c>
      <c r="P142" s="341" t="inlineStr">
        <is>
          <t>01/11/2008</t>
        </is>
      </c>
      <c r="Q142" s="341" t="inlineStr">
        <is>
          <t>N/A</t>
        </is>
      </c>
      <c r="R142" s="341" t="inlineStr">
        <is>
          <t>N/A</t>
        </is>
      </c>
      <c r="S142" s="341" t="inlineStr">
        <is>
          <t>N/A</t>
        </is>
      </c>
      <c r="T142" s="341">
        <f>IF(P142="","生效",IF(P142="N/A","生效",IF(TODAY()&lt;DATE(VALUE(RIGHT(P142,4)),VALUE(MID(P142,4,2)),VALUE(LEFT(P142,2))),"计划实施",IF(Q142="","生效",IF(Q142="N/A","生效",IF(TODAY()&lt;DATE(VALUE(RIGHT(Q142,4)),VALUE(MID(Q142,4,2)),VALUE(LEFT(Q142,2))),"生效","已终止"))))))</f>
        <v/>
      </c>
      <c r="U142" s="341" t="inlineStr">
        <is>
          <t>国家市场监督管理总局；国家标准化管理委员会</t>
        </is>
      </c>
      <c r="V142" s="341" t="inlineStr">
        <is>
          <t>储水式电热水器</t>
        </is>
      </c>
      <c r="W142" s="341" t="inlineStr">
        <is>
          <t>新建</t>
        </is>
      </c>
      <c r="X142" s="341" t="inlineStr">
        <is>
          <t>储水式电热水器产品。</t>
        </is>
      </c>
      <c r="Y142" s="341" t="inlineStr">
        <is>
          <t>N/A</t>
        </is>
      </c>
      <c r="Z142" s="341" t="inlineStr">
        <is>
          <t>N/A</t>
        </is>
      </c>
      <c r="AA142" s="341" t="inlineStr">
        <is>
          <t>企业</t>
        </is>
      </c>
      <c r="AB142" s="341" t="inlineStr">
        <is>
          <t>在中国境内生产、进口或销售储水式电热水器的生产企业和进口商。</t>
        </is>
      </c>
      <c r="AC142" s="341" t="inlineStr">
        <is>
          <t>生产；销售；进口</t>
        </is>
      </c>
      <c r="AD142" s="341" t="inlineStr">
        <is>
          <t>储水式电热水器的生产、进口和销售活动。产品须达到标准规定的能效限定值方可进入市场。</t>
        </is>
      </c>
      <c r="AE142" s="341" t="inlineStr">
        <is>
          <t>5级</t>
        </is>
      </c>
      <c r="AF142" s="341" t="inlineStr">
        <is>
          <t>能效等级</t>
        </is>
      </c>
      <c r="AG142" s="341" t="inlineStr">
        <is>
          <t>能效等级分为5级（1级最高），5级为能效限定值即市场准入最低要求。以24h固有能耗系数和热水输出率为评价指标，按额定容量分级设定限值。</t>
        </is>
      </c>
      <c r="AH142" s="341" t="inlineStr">
        <is>
          <t>1）储水式电热水器须达到标准规定的能效限定值（5级）方可生产、进口或销售；2）产品须标注能效等级标识；3）能效等级分为1级（最高）至5级，5级为市场准入最低要求。</t>
        </is>
      </c>
      <c r="AI142" s="341" t="inlineStr">
        <is>
          <t>N/A</t>
        </is>
      </c>
      <c r="AJ142" s="341" t="inlineStr">
        <is>
          <t>N/A</t>
        </is>
      </c>
      <c r="AK142" s="341" t="inlineStr">
        <is>
          <t>政府机构开展的监督检查</t>
        </is>
      </c>
      <c r="AL142" s="341" t="inlineStr">
        <is>
          <t>市场监督管理部门对储水式电热水器产品进行能效标识监督检查和产品质量监督抽查。</t>
        </is>
      </c>
      <c r="AM142" s="341" t="inlineStr">
        <is>
          <t>合规命令；罚款</t>
        </is>
      </c>
      <c r="AN142" s="341" t="inlineStr">
        <is>
          <t>对生产、进口、销售不符合强制性能效标准的储水式电热水器产品的，由市场监督管理部门责令停止生产、进口、销售，没收违法所得，并处罚款；情节严重的，吊销营业执照。</t>
        </is>
      </c>
      <c r="AO142" s="341" t="inlineStr">
        <is>
          <t>其他激励或支持</t>
        </is>
      </c>
      <c r="AP142" s="341" t="inlineStr">
        <is>
          <t>国家鼓励生产和使用1级、2级高效储水式电热水器；通过节能产品认证引导高效电热水器市场推广。</t>
        </is>
      </c>
      <c r="AQ142" s="341" t="inlineStr">
        <is>
          <t>N/A</t>
        </is>
      </c>
      <c r="AR142" s="341" t="inlineStr">
        <is>
          <t>N/A</t>
        </is>
      </c>
      <c r="AS142" s="341" t="inlineStr">
        <is>
          <t>C27</t>
        </is>
      </c>
      <c r="AT142" s="341" t="inlineStr">
        <is>
          <t>CO2</t>
        </is>
      </c>
      <c r="AU142" s="341" t="inlineStr">
        <is>
          <t>正向</t>
        </is>
      </c>
      <c r="AV142" s="341" t="inlineStr">
        <is>
          <t>节能；产业发展</t>
        </is>
      </c>
      <c r="AW142" s="341" t="inlineStr">
        <is>
          <t>GB 21519-2008 储水式电热水器能效限定值及能效等级</t>
        </is>
      </c>
      <c r="AX142" s="341" t="inlineStr">
        <is>
          <t>https://openstd.samr.gov.cn/bzgk/std/newGbInfo?hcno=3A2D24067F5907267BE8B16C96A650DB</t>
        </is>
      </c>
      <c r="AY142" s="341" t="inlineStr">
        <is>
          <t>N/A</t>
        </is>
      </c>
      <c r="AZ142" s="341" t="inlineStr"/>
    </row>
    <row r="143">
      <c r="A143" s="341" t="inlineStr">
        <is>
          <t>CHNPRFMECI01S000</t>
        </is>
      </c>
      <c r="B143" s="341" t="inlineStr">
        <is>
          <t>工具</t>
        </is>
      </c>
      <c r="C143" s="341" t="inlineStr">
        <is>
          <t>绩效标准</t>
        </is>
      </c>
      <c r="D143" s="341" t="inlineStr">
        <is>
          <t>烹饪系统最低能源绩效标准（MEPS）</t>
        </is>
      </c>
      <c r="E143" s="341" t="inlineStr">
        <is>
          <t>建筑</t>
        </is>
      </c>
      <c r="F143" s="341" t="inlineStr">
        <is>
          <t>家用厨房；商用厨房</t>
        </is>
      </c>
      <c r="G143" s="341" t="inlineStr">
        <is>
          <t>家用和类似用途厨房电器能效限定值及能效等级</t>
        </is>
      </c>
      <c r="H143" s="341" t="inlineStr">
        <is>
          <t>Minimum Allowable Values of Energy Efficiency and Energy Efficiency Grades for Household and Similar Kitchen Appliances</t>
        </is>
      </c>
      <c r="I143" s="341" t="inlineStr">
        <is>
          <t>N/A</t>
        </is>
      </c>
      <c r="J143"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3" s="341" t="inlineStr">
        <is>
          <t>能源效率</t>
        </is>
      </c>
      <c r="L143" s="341" t="inlineStr">
        <is>
          <t>直接</t>
        </is>
      </c>
      <c r="M143" s="341" t="inlineStr">
        <is>
          <t>国家</t>
        </is>
      </c>
      <c r="N143" s="341" t="inlineStr">
        <is>
          <t>N/A</t>
        </is>
      </c>
      <c r="O143" s="341" t="inlineStr">
        <is>
          <t>18/02/2008</t>
        </is>
      </c>
      <c r="P143" s="341" t="inlineStr">
        <is>
          <t>01/09/2008</t>
        </is>
      </c>
      <c r="Q143" s="341" t="inlineStr">
        <is>
          <t>N/A</t>
        </is>
      </c>
      <c r="R143" s="341" t="inlineStr">
        <is>
          <t>23/08/2024</t>
        </is>
      </c>
      <c r="S143" s="341" t="inlineStr">
        <is>
          <t>2024年8月23日发布GB 21456-2024替代GB 21456-2014，整合4项旧标准（GB 21456-2014、GB 12021.6-2017、GB 24849-2017、GB 39177-2020），统一覆盖6类厨房电器，能效等级由5级调整为3级，新增电炖锅/电炖盅和电水壶的能效要求</t>
        </is>
      </c>
      <c r="T143" s="341">
        <f>IF(P143="","生效",IF(P143="N/A","生效",IF(TODAY()&lt;DATE(VALUE(RIGHT(P143,4)),VALUE(MID(P143,4,2)),VALUE(LEFT(P143,2))),"计划实施",IF(Q143="","生效",IF(Q143="N/A","生效",IF(TODAY()&lt;DATE(VALUE(RIGHT(Q143,4)),VALUE(MID(Q143,4,2)),VALUE(LEFT(Q143,2))),"生效","已终止"))))))</f>
        <v/>
      </c>
      <c r="U143" s="341" t="inlineStr">
        <is>
          <t>国家市场监督管理总局；国家标准化管理委员会</t>
        </is>
      </c>
      <c r="V143" s="341" t="inlineStr">
        <is>
          <t>家用和类似用途厨房电器</t>
        </is>
      </c>
      <c r="W143" s="341" t="inlineStr">
        <is>
          <t>新建</t>
        </is>
      </c>
      <c r="X143"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Y143" s="341" t="inlineStr">
        <is>
          <t>N/A</t>
        </is>
      </c>
      <c r="Z143" s="341" t="inlineStr">
        <is>
          <t>N/A</t>
        </is>
      </c>
      <c r="AA143" s="341" t="inlineStr">
        <is>
          <t>企业</t>
        </is>
      </c>
      <c r="AB143" s="341" t="inlineStr">
        <is>
          <t>在中国境内生产、进口或销售上述六类厨房电器产品的生产企业和进口商。</t>
        </is>
      </c>
      <c r="AC143" s="341" t="inlineStr">
        <is>
          <t>生产；销售；进口</t>
        </is>
      </c>
      <c r="AD143" s="341" t="inlineStr">
        <is>
          <t>上述六类厨房电器产品的生产、进口和销售活动。产品须达到标准规定的能效限定值（3级）方可进入市场。</t>
        </is>
      </c>
      <c r="AE143" s="341" t="inlineStr">
        <is>
          <t>3级</t>
        </is>
      </c>
      <c r="AF143" s="341" t="inlineStr">
        <is>
          <t>能效等级</t>
        </is>
      </c>
      <c r="AG143"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H143"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I143" s="341" t="inlineStr">
        <is>
          <t>N/A</t>
        </is>
      </c>
      <c r="AJ143" s="341" t="inlineStr">
        <is>
          <t>N/A</t>
        </is>
      </c>
      <c r="AK143" s="341" t="inlineStr">
        <is>
          <t>政府机构开展的监督检查</t>
        </is>
      </c>
      <c r="AL143" s="341" t="inlineStr">
        <is>
          <t>市场监督管理部门对厨房电器产品进行能效标识监督检查和产品质量监督抽查。检查内容包括能效等级标注的准确性、产品实际能效是否符合标称等级、是否符合强制性能效限定值要求等。</t>
        </is>
      </c>
      <c r="AM143" s="341" t="inlineStr">
        <is>
          <t>合规命令；罚款</t>
        </is>
      </c>
      <c r="AN143" s="341" t="inlineStr">
        <is>
          <t>对生产、进口、销售不符合强制性能效标准的厨房电器产品的，由市场监督管理部门责令停止生产、进口、销售，没收违法所得，并处罚款；情节严重的，吊销营业执照。</t>
        </is>
      </c>
      <c r="AO143" s="341" t="inlineStr">
        <is>
          <t>其他激励或支持</t>
        </is>
      </c>
      <c r="AP143" s="341" t="inlineStr">
        <is>
          <t>国家鼓励生产和使用1级、2级高效厨房电器产品；通过节能产品认证、政府绿色采购等措施引导高效厨房电器市场推广。</t>
        </is>
      </c>
      <c r="AQ143" s="341" t="inlineStr">
        <is>
          <t>N/A</t>
        </is>
      </c>
      <c r="AR143" s="341" t="inlineStr">
        <is>
          <t>N/A</t>
        </is>
      </c>
      <c r="AS143" s="341" t="inlineStr">
        <is>
          <t>C27</t>
        </is>
      </c>
      <c r="AT143" s="341" t="inlineStr">
        <is>
          <t>CO2</t>
        </is>
      </c>
      <c r="AU143" s="341" t="inlineStr">
        <is>
          <t>正向</t>
        </is>
      </c>
      <c r="AV143" s="341" t="inlineStr">
        <is>
          <t>节能；产业发展</t>
        </is>
      </c>
      <c r="AW143" s="341" t="inlineStr">
        <is>
          <t>GB 21456-2024 家用和类似用途厨房电器能效限定值及能效等级</t>
        </is>
      </c>
      <c r="AX143" s="341" t="inlineStr">
        <is>
          <t>https://openstd.samr.gov.cn/bzgk/std/newGbInfo?hcno=F966E2FC4C7AB718356847B0DB1045E4</t>
        </is>
      </c>
      <c r="AY143" s="341" t="inlineStr">
        <is>
          <t>https://openstd.samr.gov.cn/bzgk/gb/newGbInfo?hcno=52B4F1B4AF23FC48DB20AD0A3EA935A4(GB 21456-2014)</t>
        </is>
      </c>
      <c r="AZ143" s="341" t="inlineStr"/>
    </row>
    <row r="144">
      <c r="A144" s="341" t="inlineStr">
        <is>
          <t>CHNPRFMECI02S000</t>
        </is>
      </c>
      <c r="B144" s="341" t="inlineStr">
        <is>
          <t>工具</t>
        </is>
      </c>
      <c r="C144" s="341" t="inlineStr">
        <is>
          <t>绩效标准</t>
        </is>
      </c>
      <c r="D144" s="341" t="inlineStr">
        <is>
          <t>烹饪系统最低能源绩效标准（MEPS）</t>
        </is>
      </c>
      <c r="E144" s="341" t="inlineStr">
        <is>
          <t>建筑</t>
        </is>
      </c>
      <c r="F144" s="341" t="inlineStr">
        <is>
          <t>商用厨房；餐饮服务</t>
        </is>
      </c>
      <c r="G144" s="341" t="inlineStr">
        <is>
          <t>商用电磁灶能效限定值及能效等级</t>
        </is>
      </c>
      <c r="H144" s="341" t="inlineStr">
        <is>
          <t>Minimum Allowable Values of Energy Efficiency and Energy Efficiency Grades for Commercial Induction Cookers</t>
        </is>
      </c>
      <c r="I144" s="341" t="inlineStr">
        <is>
          <t>N/A</t>
        </is>
      </c>
      <c r="J144"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4" s="341" t="inlineStr">
        <is>
          <t>能源效率</t>
        </is>
      </c>
      <c r="L144" s="341" t="inlineStr">
        <is>
          <t>直接</t>
        </is>
      </c>
      <c r="M144" s="341" t="inlineStr">
        <is>
          <t>国家</t>
        </is>
      </c>
      <c r="N144" s="341" t="inlineStr">
        <is>
          <t>N/A</t>
        </is>
      </c>
      <c r="O144" s="341" t="inlineStr">
        <is>
          <t>11/10/2021</t>
        </is>
      </c>
      <c r="P144" s="341" t="inlineStr">
        <is>
          <t>01/11/2022</t>
        </is>
      </c>
      <c r="Q144" s="341" t="inlineStr">
        <is>
          <t>N/A</t>
        </is>
      </c>
      <c r="R144" s="341" t="inlineStr">
        <is>
          <t>N/A</t>
        </is>
      </c>
      <c r="S144" s="341" t="inlineStr">
        <is>
          <t>N/A</t>
        </is>
      </c>
      <c r="T144" s="341">
        <f>IF(P144="","生效",IF(P144="N/A","生效",IF(TODAY()&lt;DATE(VALUE(RIGHT(P144,4)),VALUE(MID(P144,4,2)),VALUE(LEFT(P144,2))),"计划实施",IF(Q144="","生效",IF(Q144="N/A","生效",IF(TODAY()&lt;DATE(VALUE(RIGHT(Q144,4)),VALUE(MID(Q144,4,2)),VALUE(LEFT(Q144,2))),"生效","已终止"))))))</f>
        <v/>
      </c>
      <c r="U144" s="341" t="inlineStr">
        <is>
          <t>国家市场监督管理总局；国家标准化管理委员会</t>
        </is>
      </c>
      <c r="V144" s="341" t="inlineStr">
        <is>
          <t>商用电磁灶</t>
        </is>
      </c>
      <c r="W144" s="341" t="inlineStr">
        <is>
          <t>新建</t>
        </is>
      </c>
      <c r="X144"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Y144" s="341" t="inlineStr">
        <is>
          <t>N/A</t>
        </is>
      </c>
      <c r="Z144" s="341" t="inlineStr">
        <is>
          <t>N/A</t>
        </is>
      </c>
      <c r="AA144" s="341" t="inlineStr">
        <is>
          <t>企业</t>
        </is>
      </c>
      <c r="AB144" s="341" t="inlineStr">
        <is>
          <t>在中国境内生产、进口或销售商用电磁灶产品的生产企业和进口商。</t>
        </is>
      </c>
      <c r="AC144" s="341" t="inlineStr">
        <is>
          <t>生产；销售；进口</t>
        </is>
      </c>
      <c r="AD144" s="341" t="inlineStr">
        <is>
          <t>商用电磁灶产品的生产、进口和销售活动。产品须达到标准规定的能效限定值方可进入市场。</t>
        </is>
      </c>
      <c r="AE144" s="341" t="inlineStr">
        <is>
          <t>3级</t>
        </is>
      </c>
      <c r="AF144" s="341" t="inlineStr">
        <is>
          <t>能效等级（热效率）</t>
        </is>
      </c>
      <c r="AG144"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H144"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I144" s="341" t="inlineStr">
        <is>
          <t>N/A</t>
        </is>
      </c>
      <c r="AJ144" s="341" t="inlineStr">
        <is>
          <t>N/A</t>
        </is>
      </c>
      <c r="AK144" s="341" t="inlineStr">
        <is>
          <t>政府机构开展的监督检查</t>
        </is>
      </c>
      <c r="AL144" s="341" t="inlineStr">
        <is>
          <t>市场监督管理部门对商用电磁灶产品进行能效标识监督检查和产品质量监督抽查。检查内容包括能效等级标注的准确性、产品实际热效率是否符合标称等级等。</t>
        </is>
      </c>
      <c r="AM144" s="341" t="inlineStr">
        <is>
          <t>合规命令；罚款</t>
        </is>
      </c>
      <c r="AN144" s="341" t="inlineStr">
        <is>
          <t>对生产、进口、销售不符合强制性能效标准的商用电磁灶产品的，由市场监督管理部门责令停止生产、进口、销售，没收违法所得，并处罚款；情节严重的，吊销营业执照。</t>
        </is>
      </c>
      <c r="AO144" s="341" t="inlineStr">
        <is>
          <t>其他激励或支持</t>
        </is>
      </c>
      <c r="AP144" s="341" t="inlineStr">
        <is>
          <t>国家鼓励生产和使用1级、2级高效商用电磁灶产品；通过节能产品认证、政府绿色采购等措施引导高效商用厨房设备市场推广。</t>
        </is>
      </c>
      <c r="AQ144" s="341" t="inlineStr">
        <is>
          <t>N/A</t>
        </is>
      </c>
      <c r="AR144" s="341" t="inlineStr">
        <is>
          <t>N/A</t>
        </is>
      </c>
      <c r="AS144" s="341" t="inlineStr">
        <is>
          <t>C27; I56</t>
        </is>
      </c>
      <c r="AT144" s="341" t="inlineStr">
        <is>
          <t>CO2</t>
        </is>
      </c>
      <c r="AU144" s="341" t="inlineStr">
        <is>
          <t>正向</t>
        </is>
      </c>
      <c r="AV144" s="341" t="inlineStr">
        <is>
          <t>节能；产业发展</t>
        </is>
      </c>
      <c r="AW144" s="341" t="inlineStr">
        <is>
          <t>GB 40876-2021 商用电磁灶能效限定值及能效等级</t>
        </is>
      </c>
      <c r="AX144" s="341" t="inlineStr">
        <is>
          <t>https://openstd.samr.gov.cn/bzgk/std/newGbInfo?hcno=F41CB500B7F8DABB9EA55F2A29AD326B</t>
        </is>
      </c>
      <c r="AY144" s="341" t="inlineStr">
        <is>
          <t>N/A</t>
        </is>
      </c>
      <c r="AZ144" s="341" t="inlineStr"/>
    </row>
    <row r="145">
      <c r="A145" s="341" t="inlineStr">
        <is>
          <t>CHNPRFMECI03S000</t>
        </is>
      </c>
      <c r="B145" s="341" t="inlineStr">
        <is>
          <t>工具</t>
        </is>
      </c>
      <c r="C145" s="341" t="inlineStr">
        <is>
          <t>绩效标准</t>
        </is>
      </c>
      <c r="D145" s="341" t="inlineStr">
        <is>
          <t>烹饪系统最低能源绩效标准（MEPS）</t>
        </is>
      </c>
      <c r="E145" s="341" t="inlineStr">
        <is>
          <t>建筑</t>
        </is>
      </c>
      <c r="F145" s="341" t="inlineStr">
        <is>
          <t>家用厨房；商用厨房；餐饮服务</t>
        </is>
      </c>
      <c r="G145" s="341" t="inlineStr">
        <is>
          <t>燃气灶具能效限定值及能效等级</t>
        </is>
      </c>
      <c r="H145" s="341" t="inlineStr">
        <is>
          <t>Minimum Allowable Values of Energy Efficiency and Energy Efficiency Grades for Gas Cooking Appliances</t>
        </is>
      </c>
      <c r="I145" s="341" t="inlineStr">
        <is>
          <t>N/A</t>
        </is>
      </c>
      <c r="J145"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5" s="341" t="inlineStr">
        <is>
          <t>能源效率</t>
        </is>
      </c>
      <c r="L145" s="341" t="inlineStr">
        <is>
          <t>直接</t>
        </is>
      </c>
      <c r="M145" s="341" t="inlineStr">
        <is>
          <t>国家</t>
        </is>
      </c>
      <c r="N145" s="341" t="inlineStr">
        <is>
          <t>N/A</t>
        </is>
      </c>
      <c r="O145" s="341" t="inlineStr">
        <is>
          <t>27/03/2014</t>
        </is>
      </c>
      <c r="P145" s="341" t="inlineStr">
        <is>
          <t>01/04/2015</t>
        </is>
      </c>
      <c r="Q145" s="341" t="inlineStr">
        <is>
          <t>N/A</t>
        </is>
      </c>
      <c r="R145" s="341" t="inlineStr">
        <is>
          <t>28/02/2025</t>
        </is>
      </c>
      <c r="S145" s="341" t="inlineStr">
        <is>
          <t>2025年2月28日发布GB 30720-2025整合替代GB 30720-2014（家用燃气灶）和GB 30531-2014（商用燃气灶），统一家用与商用燃气灶能效评价体系，各等级热效率均有提升</t>
        </is>
      </c>
      <c r="T145" s="341">
        <f>IF(P145="","生效",IF(P145="N/A","生效",IF(TODAY()&lt;DATE(VALUE(RIGHT(P145,4)),VALUE(MID(P145,4,2)),VALUE(LEFT(P145,2))),"计划实施",IF(Q145="","生效",IF(Q145="N/A","生效",IF(TODAY()&lt;DATE(VALUE(RIGHT(Q145,4)),VALUE(MID(Q145,4,2)),VALUE(LEFT(Q145,2))),"生效","已终止"))))))</f>
        <v/>
      </c>
      <c r="U145" s="341" t="inlineStr">
        <is>
          <t>国家市场监督管理总局；国家标准化管理委员会</t>
        </is>
      </c>
      <c r="V145" s="341" t="inlineStr">
        <is>
          <t>燃气灶具</t>
        </is>
      </c>
      <c r="W145" s="341" t="inlineStr">
        <is>
          <t>新建</t>
        </is>
      </c>
      <c r="X145"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Y145" s="341" t="inlineStr">
        <is>
          <t>N/A</t>
        </is>
      </c>
      <c r="Z145" s="341" t="inlineStr">
        <is>
          <t>N/A</t>
        </is>
      </c>
      <c r="AA145" s="341" t="inlineStr">
        <is>
          <t>企业</t>
        </is>
      </c>
      <c r="AB145" s="341" t="inlineStr">
        <is>
          <t>在中国境内生产、进口或销售家用和商用燃气灶具产品的生产企业和进口商。</t>
        </is>
      </c>
      <c r="AC145" s="341" t="inlineStr">
        <is>
          <t>生产；销售；进口</t>
        </is>
      </c>
      <c r="AD145" s="341" t="inlineStr">
        <is>
          <t>家用和商用燃气灶具产品的生产、进口和销售活动。产品须达到标准规定的能效限定值方可进入市场。</t>
        </is>
      </c>
      <c r="AE145" s="341" t="inlineStr">
        <is>
          <t>3级</t>
        </is>
      </c>
      <c r="AF145" s="341" t="inlineStr">
        <is>
          <t>能效等级（热效率）</t>
        </is>
      </c>
      <c r="AG145"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H145"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I145" s="341" t="inlineStr">
        <is>
          <t>N/A</t>
        </is>
      </c>
      <c r="AJ145" s="341" t="inlineStr">
        <is>
          <t>N/A</t>
        </is>
      </c>
      <c r="AK145" s="341" t="inlineStr">
        <is>
          <t>政府机构开展的监督检查</t>
        </is>
      </c>
      <c r="AL145" s="341" t="inlineStr">
        <is>
          <t>市场监督管理部门对燃气灶具产品进行能效标识监督检查和产品质量监督抽查。检查内容包括能效等级标注的准确性、产品实际热效率是否符合标称等级等。</t>
        </is>
      </c>
      <c r="AM145" s="341" t="inlineStr">
        <is>
          <t>合规命令；罚款</t>
        </is>
      </c>
      <c r="AN145" s="341" t="inlineStr">
        <is>
          <t>对生产、进口、销售不符合强制性能效标准的燃气灶具产品的，由市场监督管理部门责令停止生产、进口、销售，没收违法所得，并处罚款；情节严重的，吊销营业执照。</t>
        </is>
      </c>
      <c r="AO145" s="341" t="inlineStr">
        <is>
          <t>其他激励或支持</t>
        </is>
      </c>
      <c r="AP145" s="341" t="inlineStr">
        <is>
          <t>国家鼓励生产和使用1级、2级高效燃气灶具产品；通过节能产品认证、政府绿色采购等措施引导高效燃气灶具市场推广。</t>
        </is>
      </c>
      <c r="AQ145" s="341" t="inlineStr">
        <is>
          <t>N/A</t>
        </is>
      </c>
      <c r="AR145" s="341" t="inlineStr">
        <is>
          <t>N/A</t>
        </is>
      </c>
      <c r="AS145" s="341" t="inlineStr">
        <is>
          <t>C27; I56</t>
        </is>
      </c>
      <c r="AT145" s="341" t="inlineStr">
        <is>
          <t>CO2</t>
        </is>
      </c>
      <c r="AU145" s="341" t="inlineStr">
        <is>
          <t>正向</t>
        </is>
      </c>
      <c r="AV145" s="341" t="inlineStr">
        <is>
          <t>节能；产业发展</t>
        </is>
      </c>
      <c r="AW145" s="341" t="inlineStr">
        <is>
          <t>GB 30720-2025 燃气灶具能效限定值及能效等级</t>
        </is>
      </c>
      <c r="AX145" s="341" t="inlineStr">
        <is>
          <t>https://openstd.samr.gov.cn/bzgk/std/newGbInfo?hcno=A08D277916FB2DA497FD348DD124C148</t>
        </is>
      </c>
      <c r="AY145" s="341" t="inlineStr">
        <is>
          <t>https://openstd.samr.gov.cn/bzgk/std/newGbInfo?hcno=6AAE80A07698D1E42B6C8ED512D84868(GB 30720-2014); https://openstd.samr.gov.cn/bzgk/gb/newGbInfo?hcno=DF575E5EED1AD054D11FD3ACAC964190 (GB 30531-2014)</t>
        </is>
      </c>
      <c r="AZ145" s="341" t="inlineStr"/>
    </row>
    <row r="146">
      <c r="A146" s="341" t="inlineStr">
        <is>
          <t>CHNPRFMELI01S000</t>
        </is>
      </c>
      <c r="B146" s="341" t="inlineStr">
        <is>
          <t>工具</t>
        </is>
      </c>
      <c r="C146" s="341" t="inlineStr">
        <is>
          <t>绩效标准</t>
        </is>
      </c>
      <c r="D146" s="341" t="inlineStr">
        <is>
          <t>照明系统最低能源绩效标准（MEPS）</t>
        </is>
      </c>
      <c r="E146" s="341" t="inlineStr">
        <is>
          <t>建筑</t>
        </is>
      </c>
      <c r="F146" s="341" t="inlineStr">
        <is>
          <t>普通照明；荧光灯产品</t>
        </is>
      </c>
      <c r="G146" s="341" t="inlineStr">
        <is>
          <t>普通照明用荧光灯能效限定值及能效等级</t>
        </is>
      </c>
      <c r="H146" s="341" t="inlineStr">
        <is>
          <t>Minimum Allowable Values of Energy Efficiency and Energy Efficiency Grades of Fluorescent Lamps for General Lighting</t>
        </is>
      </c>
      <c r="I146" s="341" t="inlineStr">
        <is>
          <t>N/A</t>
        </is>
      </c>
      <c r="J146"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6" s="341" t="inlineStr">
        <is>
          <t>能源效率</t>
        </is>
      </c>
      <c r="L146" s="341" t="inlineStr">
        <is>
          <t>直接</t>
        </is>
      </c>
      <c r="M146" s="341" t="inlineStr">
        <is>
          <t>国家</t>
        </is>
      </c>
      <c r="N146" s="341" t="inlineStr">
        <is>
          <t>N/A</t>
        </is>
      </c>
      <c r="O146" s="341" t="inlineStr">
        <is>
          <t>09/06/2013</t>
        </is>
      </c>
      <c r="P146" s="341" t="inlineStr">
        <is>
          <t>01/10/2013</t>
        </is>
      </c>
      <c r="Q146" s="341" t="inlineStr">
        <is>
          <t>N/A</t>
        </is>
      </c>
      <c r="R146" s="341" t="inlineStr">
        <is>
          <t>29/12/2022</t>
        </is>
      </c>
      <c r="S146" s="341" t="inlineStr">
        <is>
          <t>2022年12月29日发布GB 19044-2022替代GB 19044-2013，整合五项荧光灯能效标准，提高各级能效指标</t>
        </is>
      </c>
      <c r="T146" s="341">
        <f>IF(P146="","生效",IF(P146="N/A","生效",IF(TODAY()&lt;DATE(VALUE(RIGHT(P146,4)),VALUE(MID(P146,4,2)),VALUE(LEFT(P146,2))),"计划实施",IF(Q146="","生效",IF(Q146="N/A","生效",IF(TODAY()&lt;DATE(VALUE(RIGHT(Q146,4)),VALUE(MID(Q146,4,2)),VALUE(LEFT(Q146,2))),"生效","已终止"))))))</f>
        <v/>
      </c>
      <c r="U146" s="341" t="inlineStr">
        <is>
          <t>国家市场监督管理总局；国家标准化管理委员会</t>
        </is>
      </c>
      <c r="V146" s="341" t="inlineStr">
        <is>
          <t>普通照明用荧光灯</t>
        </is>
      </c>
      <c r="W146" s="341" t="inlineStr">
        <is>
          <t>新建</t>
        </is>
      </c>
      <c r="X146" s="341" t="inlineStr">
        <is>
          <t>额定电压220V、频率50Hz，适用于家庭和类似场合普通照明用的自镇流荧光灯、双端荧光灯、单端荧光灯、单端无极荧光灯和自镇流无极荧光灯。</t>
        </is>
      </c>
      <c r="Y146" s="341" t="inlineStr">
        <is>
          <t>N/A</t>
        </is>
      </c>
      <c r="Z146" s="341" t="inlineStr">
        <is>
          <t>N/A</t>
        </is>
      </c>
      <c r="AA146" s="341" t="inlineStr">
        <is>
          <t>企业</t>
        </is>
      </c>
      <c r="AB146" s="341" t="inlineStr">
        <is>
          <t>在中国境内生产、进口或销售普通照明用荧光灯产品的生产企业和进口商。</t>
        </is>
      </c>
      <c r="AC146" s="341" t="inlineStr">
        <is>
          <t>生产；销售；进口</t>
        </is>
      </c>
      <c r="AD146" s="341" t="inlineStr">
        <is>
          <t>普通照明用荧光灯产品的生产、进口和销售活动。产品须达到标准规定的能效限定值（3级）方可进入市场。</t>
        </is>
      </c>
      <c r="AE146" s="341" t="inlineStr">
        <is>
          <t>3级</t>
        </is>
      </c>
      <c r="AF146" s="341" t="inlineStr">
        <is>
          <t>能效等级</t>
        </is>
      </c>
      <c r="AG146" s="341" t="inlineStr">
        <is>
          <t>荧光灯能效等级分为3级（1级最高），3级为能效限定值即市场准入最低要求。各类荧光灯按光效（lm/W）分级：自镇流荧光灯（3W~60W）3级光效43~65 lm/W；双端荧光灯（15W~80W）3级光效48~70 lm/W；单端荧光灯3级光效45~70 lm/W。</t>
        </is>
      </c>
      <c r="AH146" s="341" t="inlineStr">
        <is>
          <t>1）普通照明用荧光灯须达到标准规定的能效限定值（3级）方可生产、进口或销售；2）产品须标注能效等级标识；3）能效等级分为1级（最高）、2级、3级，3级为市场准入最低要求。</t>
        </is>
      </c>
      <c r="AI146" s="341" t="inlineStr">
        <is>
          <t>N/A</t>
        </is>
      </c>
      <c r="AJ146" s="341" t="inlineStr">
        <is>
          <t>N/A</t>
        </is>
      </c>
      <c r="AK146" s="341" t="inlineStr">
        <is>
          <t>政府机构开展的监督检查</t>
        </is>
      </c>
      <c r="AL146" s="341" t="inlineStr">
        <is>
          <t>市场监督管理部门对荧光灯产品进行能效标识监督检查和产品质量监督抽查。</t>
        </is>
      </c>
      <c r="AM146" s="341" t="inlineStr">
        <is>
          <t>合规命令；罚款</t>
        </is>
      </c>
      <c r="AN146" s="341" t="inlineStr">
        <is>
          <t>对生产、进口、销售不符合强制性能效标准的荧光灯产品的，由市场监督管理部门责令停止生产、进口、销售，没收违法所得，并处罚款；情节严重的，吊销营业执照。</t>
        </is>
      </c>
      <c r="AO146" s="341" t="inlineStr">
        <is>
          <t>其他激励或支持</t>
        </is>
      </c>
      <c r="AP146" s="341" t="inlineStr">
        <is>
          <t>国家鼓励生产和使用1级、2级高效荧光灯产品；通过节能产品认证引导高效照明产品市场推广。</t>
        </is>
      </c>
      <c r="AQ146" s="341" t="inlineStr">
        <is>
          <t>N/A</t>
        </is>
      </c>
      <c r="AR146" s="341" t="inlineStr">
        <is>
          <t>N/A</t>
        </is>
      </c>
      <c r="AS146" s="341" t="inlineStr">
        <is>
          <t>C27</t>
        </is>
      </c>
      <c r="AT146" s="341" t="inlineStr">
        <is>
          <t>CO2</t>
        </is>
      </c>
      <c r="AU146" s="341" t="inlineStr">
        <is>
          <t>正向</t>
        </is>
      </c>
      <c r="AV146" s="341" t="inlineStr">
        <is>
          <t>节能；产业发展</t>
        </is>
      </c>
      <c r="AW146" s="341" t="inlineStr">
        <is>
          <t>GB 19044-2022 普通照明用荧光灯能效限定值及能效等级</t>
        </is>
      </c>
      <c r="AX146" s="341" t="inlineStr">
        <is>
          <t>https://openstd.samr.gov.cn/bzgk/std/newGbInfo?hcno=BFA70AFB28EC97BD4D037DDB48DD951B</t>
        </is>
      </c>
      <c r="AY146" s="341" t="inlineStr">
        <is>
          <t>GB 19044-2013（旧版）：https://openstd.samr.gov.cn/bzgk/gb/newGbInfo?hcno=3C402BFF875C000A2582F2FB6029C8C8</t>
        </is>
      </c>
      <c r="AZ146" s="341" t="inlineStr"/>
    </row>
    <row r="147">
      <c r="A147" s="341" t="inlineStr">
        <is>
          <t>CHNPRFMELI02S000</t>
        </is>
      </c>
      <c r="B147" s="341" t="inlineStr">
        <is>
          <t>工具</t>
        </is>
      </c>
      <c r="C147" s="341" t="inlineStr">
        <is>
          <t>绩效标准</t>
        </is>
      </c>
      <c r="D147" s="341" t="inlineStr">
        <is>
          <t>照明系统最低能源绩效标准（MEPS）</t>
        </is>
      </c>
      <c r="E147" s="341" t="inlineStr">
        <is>
          <t>建筑；工业</t>
        </is>
      </c>
      <c r="F147" s="341" t="inlineStr">
        <is>
          <t>普通照明；气体放电灯配件</t>
        </is>
      </c>
      <c r="G147" s="341" t="inlineStr">
        <is>
          <t>普通照明用气体放电灯用镇流器能效限定值及能效等级</t>
        </is>
      </c>
      <c r="H147" s="341" t="inlineStr">
        <is>
          <t>Minimum Allowable Values of Energy Efficiency and Energy Efficiency Grades of Ballasts for Gas Discharge Lamps for General Lighting</t>
        </is>
      </c>
      <c r="I147" s="341" t="inlineStr">
        <is>
          <t>N/A</t>
        </is>
      </c>
      <c r="J147"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7" s="341" t="inlineStr">
        <is>
          <t>能源效率</t>
        </is>
      </c>
      <c r="L147" s="341" t="inlineStr">
        <is>
          <t>直接</t>
        </is>
      </c>
      <c r="M147" s="341" t="inlineStr">
        <is>
          <t>国家</t>
        </is>
      </c>
      <c r="N147" s="341" t="inlineStr">
        <is>
          <t>N/A</t>
        </is>
      </c>
      <c r="O147" s="341" t="inlineStr">
        <is>
          <t>11/05/2012</t>
        </is>
      </c>
      <c r="P147" s="341" t="inlineStr">
        <is>
          <t>01/09/2012</t>
        </is>
      </c>
      <c r="Q147" s="341" t="inlineStr">
        <is>
          <t>N/A</t>
        </is>
      </c>
      <c r="R147" s="341" t="inlineStr">
        <is>
          <t>29/12/2022</t>
        </is>
      </c>
      <c r="S147" s="341" t="inlineStr">
        <is>
          <t>2022年12月29日发布GB 17896-2022替代GB 17896-2012等四项旧标准，扩大适用范围至金属卤化物灯和高压钠灯用镇流器，提高各级能效指标</t>
        </is>
      </c>
      <c r="T147" s="341">
        <f>IF(P147="","生效",IF(P147="N/A","生效",IF(TODAY()&lt;DATE(VALUE(RIGHT(P147,4)),VALUE(MID(P147,4,2)),VALUE(LEFT(P147,2))),"计划实施",IF(Q147="","生效",IF(Q147="N/A","生效",IF(TODAY()&lt;DATE(VALUE(RIGHT(Q147,4)),VALUE(MID(Q147,4,2)),VALUE(LEFT(Q147,2))),"生效","已终止"))))))</f>
        <v/>
      </c>
      <c r="U147" s="341" t="inlineStr">
        <is>
          <t>国家市场监督管理总局；国家标准化管理委员会</t>
        </is>
      </c>
      <c r="V147" s="341" t="inlineStr">
        <is>
          <t>气体放电灯用镇流器</t>
        </is>
      </c>
      <c r="W147" s="341" t="inlineStr">
        <is>
          <t>新建</t>
        </is>
      </c>
      <c r="X147" s="341" t="inlineStr">
        <is>
          <t>额定电压220V、频率50Hz交流电源供电，配合管形荧光灯、单端无极荧光灯、金属卤化物灯和高压钠灯使用的电感镇流器和电子镇流器。</t>
        </is>
      </c>
      <c r="Y147" s="341" t="inlineStr">
        <is>
          <t>N/A</t>
        </is>
      </c>
      <c r="Z147" s="341" t="inlineStr">
        <is>
          <t>N/A</t>
        </is>
      </c>
      <c r="AA147" s="341" t="inlineStr">
        <is>
          <t>企业</t>
        </is>
      </c>
      <c r="AB147" s="341" t="inlineStr">
        <is>
          <t>在中国境内生产、进口或销售气体放电灯用镇流器产品的生产企业和进口商。</t>
        </is>
      </c>
      <c r="AC147" s="341" t="inlineStr">
        <is>
          <t>生产；销售；进口</t>
        </is>
      </c>
      <c r="AD147" s="341" t="inlineStr">
        <is>
          <t>气体放电灯用镇流器产品的生产、进口和销售活动。产品须达到标准规定的能效限定值（3级）方可进入市场。</t>
        </is>
      </c>
      <c r="AE147" s="341" t="inlineStr">
        <is>
          <t>3级</t>
        </is>
      </c>
      <c r="AF147" s="341" t="inlineStr">
        <is>
          <t>能效等级</t>
        </is>
      </c>
      <c r="AG147" s="341" t="inlineStr">
        <is>
          <t>镇流器能效等级分为3级（1级最高），3级为能效限定值即市场准入最低要求。镇流器能效因数（BEF）按灯管类型和功率分级设定，电感镇流器和电子镇流器分别规定不同的能效限定值。</t>
        </is>
      </c>
      <c r="AH147" s="341" t="inlineStr">
        <is>
          <t>1）气体放电灯用镇流器须达到标准规定的能效限定值（3级）方可生产、进口或销售；2）产品须标注能效等级标识；3）能效等级分为1级（最高）、2级、3级，3级为市场准入最低要求。</t>
        </is>
      </c>
      <c r="AI147" s="341" t="inlineStr">
        <is>
          <t>N/A</t>
        </is>
      </c>
      <c r="AJ147" s="341" t="inlineStr">
        <is>
          <t>N/A</t>
        </is>
      </c>
      <c r="AK147" s="341" t="inlineStr">
        <is>
          <t>政府机构开展的监督检查</t>
        </is>
      </c>
      <c r="AL147" s="341" t="inlineStr">
        <is>
          <t>市场监督管理部门对镇流器产品进行能效标识监督检查和产品质量监督抽查。</t>
        </is>
      </c>
      <c r="AM147" s="341" t="inlineStr">
        <is>
          <t>合规命令；罚款</t>
        </is>
      </c>
      <c r="AN147" s="341" t="inlineStr">
        <is>
          <t>对生产、进口、销售不符合强制性能效标准的镇流器产品的，由市场监督管理部门责令停止生产、进口、销售，没收违法所得，并处罚款；情节严重的，吊销营业执照。</t>
        </is>
      </c>
      <c r="AO147" s="341" t="inlineStr">
        <is>
          <t>其他激励或支持</t>
        </is>
      </c>
      <c r="AP147" s="341" t="inlineStr">
        <is>
          <t>国家鼓励生产和使用1级、2级高效镇流器产品；通过节能产品认证引导高效照明配件市场推广。</t>
        </is>
      </c>
      <c r="AQ147" s="341" t="inlineStr">
        <is>
          <t>N/A</t>
        </is>
      </c>
      <c r="AR147" s="341" t="inlineStr">
        <is>
          <t>N/A</t>
        </is>
      </c>
      <c r="AS147" s="341" t="inlineStr">
        <is>
          <t>C27</t>
        </is>
      </c>
      <c r="AT147" s="341" t="inlineStr">
        <is>
          <t>CO2</t>
        </is>
      </c>
      <c r="AU147" s="341" t="inlineStr">
        <is>
          <t>正向</t>
        </is>
      </c>
      <c r="AV147" s="341" t="inlineStr">
        <is>
          <t>节能；产业发展</t>
        </is>
      </c>
      <c r="AW147" s="341" t="inlineStr">
        <is>
          <t>GB 17896-2022 普通照明用气体放电灯用镇流器能效限定值及能效等级</t>
        </is>
      </c>
      <c r="AX147" s="341" t="inlineStr">
        <is>
          <t>https://openstd.samr.gov.cn/bzgk/std/newGbInfo?hcno=457A4B24896B86FB9B1135B2CE03B358</t>
        </is>
      </c>
      <c r="AY147" s="341" t="inlineStr">
        <is>
          <t>GB 17896-2012（旧版）：https://openstd.samr.gov.cn/bzgk/std/newGbInfo?hcno=0C3D4E4CE75360322AEE7E63ED3F7711</t>
        </is>
      </c>
      <c r="AZ147" s="341" t="inlineStr"/>
    </row>
    <row r="148">
      <c r="A148" s="341" t="inlineStr">
        <is>
          <t>CHNPRFMELI03S000</t>
        </is>
      </c>
      <c r="B148" s="341" t="inlineStr">
        <is>
          <t>工具</t>
        </is>
      </c>
      <c r="C148" s="341" t="inlineStr">
        <is>
          <t>绩效标准</t>
        </is>
      </c>
      <c r="D148" s="341" t="inlineStr">
        <is>
          <t>照明系统最低能源绩效标准（MEPS）</t>
        </is>
      </c>
      <c r="E148" s="341" t="inlineStr">
        <is>
          <t>建筑</t>
        </is>
      </c>
      <c r="F148" s="341" t="inlineStr">
        <is>
          <t>普通照明；LED照明产品</t>
        </is>
      </c>
      <c r="G148" s="341" t="inlineStr">
        <is>
          <t>普通照明用 LED 平板灯能效限定值及能效等级</t>
        </is>
      </c>
      <c r="H148" s="341" t="inlineStr">
        <is>
          <t>Minimum Allowable Values of Energy Efficiency and Energy Efficiency Grades of LED Flat Panel Luminaires for General Lighting</t>
        </is>
      </c>
      <c r="I148" s="341" t="inlineStr">
        <is>
          <t>N/A</t>
        </is>
      </c>
      <c r="J148"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8" s="341" t="inlineStr">
        <is>
          <t>能源效率</t>
        </is>
      </c>
      <c r="L148" s="341" t="inlineStr">
        <is>
          <t>直接</t>
        </is>
      </c>
      <c r="M148" s="341" t="inlineStr">
        <is>
          <t>国家</t>
        </is>
      </c>
      <c r="N148" s="341" t="inlineStr">
        <is>
          <t>N/A</t>
        </is>
      </c>
      <c r="O148" s="341" t="inlineStr">
        <is>
          <t>31/12/2019</t>
        </is>
      </c>
      <c r="P148" s="341" t="inlineStr">
        <is>
          <t>01/01/2021</t>
        </is>
      </c>
      <c r="Q148" s="341" t="inlineStr">
        <is>
          <t>N/A</t>
        </is>
      </c>
      <c r="R148" s="341" t="inlineStr">
        <is>
          <t>N/A</t>
        </is>
      </c>
      <c r="S148" s="341" t="inlineStr">
        <is>
          <t>N/A</t>
        </is>
      </c>
      <c r="T148" s="341">
        <f>IF(P148="","生效",IF(P148="N/A","生效",IF(TODAY()&lt;DATE(VALUE(RIGHT(P148,4)),VALUE(MID(P148,4,2)),VALUE(LEFT(P148,2))),"计划实施",IF(Q148="","生效",IF(Q148="N/A","生效",IF(TODAY()&lt;DATE(VALUE(RIGHT(Q148,4)),VALUE(MID(Q148,4,2)),VALUE(LEFT(Q148,2))),"生效","已终止"))))))</f>
        <v/>
      </c>
      <c r="U148" s="341" t="inlineStr">
        <is>
          <t>国家市场监督管理总局；国家标准化管理委员会</t>
        </is>
      </c>
      <c r="V148" s="341" t="inlineStr">
        <is>
          <t>LED平板灯</t>
        </is>
      </c>
      <c r="W148" s="341" t="inlineStr">
        <is>
          <t>新建</t>
        </is>
      </c>
      <c r="X148" s="341" t="inlineStr">
        <is>
          <t>以LED为光源，额定电压220V、频率50Hz，厚度不超过85mm的普通照明用LED平板灯（含LED光源及其控制装置）。不适用于具有非照明附加功能、调光/调色功能或带有彩色/图案/装饰件的产品。</t>
        </is>
      </c>
      <c r="Y148" s="341" t="inlineStr">
        <is>
          <t>N/A</t>
        </is>
      </c>
      <c r="Z148" s="341" t="inlineStr">
        <is>
          <t>N/A</t>
        </is>
      </c>
      <c r="AA148" s="341" t="inlineStr">
        <is>
          <t>企业</t>
        </is>
      </c>
      <c r="AB148" s="341" t="inlineStr">
        <is>
          <t>在中国境内生产、进口或销售LED平板灯产品的生产企业和进口商。</t>
        </is>
      </c>
      <c r="AC148" s="341" t="inlineStr">
        <is>
          <t>生产；销售；进口</t>
        </is>
      </c>
      <c r="AD148" s="341" t="inlineStr">
        <is>
          <t>LED平板灯产品的生产、进口和销售活动。产品须达到标准规定的能效限定值（3级）方可进入市场。</t>
        </is>
      </c>
      <c r="AE148" s="341" t="inlineStr">
        <is>
          <t>3级</t>
        </is>
      </c>
      <c r="AF148" s="341" t="inlineStr">
        <is>
          <t>能效等级</t>
        </is>
      </c>
      <c r="AG148" s="341" t="inlineStr">
        <is>
          <t>LED平板灯能效等级分为3级（1级最高），3级为能效限定值即市场准入最低要求。光效（lm/W）按额定功率和色温分级：≤60W暖色（&lt;3500K）3级≥75 lm/W，冷色（≥3500K）3级≥80 lm/W；&gt;60W暖色3级≥85 lm/W，冷色3级≥90 lm/W。</t>
        </is>
      </c>
      <c r="AH148" s="341" t="inlineStr">
        <is>
          <t>1）LED平板灯须达到标准规定的能效限定值（3级）方可生产、进口或销售；2）产品须标注能效等级标识；3）能效等级分为1级（最高）、2级、3级，3级为市场准入最低要求。</t>
        </is>
      </c>
      <c r="AI148" s="341" t="inlineStr">
        <is>
          <t>N/A</t>
        </is>
      </c>
      <c r="AJ148" s="341" t="inlineStr">
        <is>
          <t>N/A</t>
        </is>
      </c>
      <c r="AK148" s="341" t="inlineStr">
        <is>
          <t>政府机构开展的监督检查</t>
        </is>
      </c>
      <c r="AL148" s="341" t="inlineStr">
        <is>
          <t>市场监督管理部门对LED平板灯产品进行能效标识监督检查和产品质量监督抽查。</t>
        </is>
      </c>
      <c r="AM148" s="341" t="inlineStr">
        <is>
          <t>合规命令；罚款</t>
        </is>
      </c>
      <c r="AN148" s="341" t="inlineStr">
        <is>
          <t>对生产、进口、销售不符合强制性能效标准的LED平板灯产品的，由市场监督管理部门责令停止生产、进口、销售，没收违法所得，并处罚款；情节严重的，吊销营业执照。</t>
        </is>
      </c>
      <c r="AO148" s="341" t="inlineStr">
        <is>
          <t>其他激励或支持</t>
        </is>
      </c>
      <c r="AP148" s="341" t="inlineStr">
        <is>
          <t>国家鼓励生产和使用1级、2级高效LED平板灯产品；通过节能产品认证引导高效LED照明产品市场推广。</t>
        </is>
      </c>
      <c r="AQ148" s="341" t="inlineStr">
        <is>
          <t>N/A</t>
        </is>
      </c>
      <c r="AR148" s="341" t="inlineStr">
        <is>
          <t>N/A</t>
        </is>
      </c>
      <c r="AS148" s="341" t="inlineStr">
        <is>
          <t>C27</t>
        </is>
      </c>
      <c r="AT148" s="341" t="inlineStr">
        <is>
          <t>CO2</t>
        </is>
      </c>
      <c r="AU148" s="341" t="inlineStr">
        <is>
          <t>正向</t>
        </is>
      </c>
      <c r="AV148" s="341" t="inlineStr">
        <is>
          <t>节能；产业发展</t>
        </is>
      </c>
      <c r="AW148" s="341" t="inlineStr">
        <is>
          <t>GB 38450-2019 普通照明用LED平板灯能效限定值及能效等级</t>
        </is>
      </c>
      <c r="AX148" s="341" t="inlineStr">
        <is>
          <t>https://openstd.samr.gov.cn/bzgk/std/newGbInfo?hcno=0A491803E2AE7670CD30ABB7049EF1F6</t>
        </is>
      </c>
      <c r="AY148" s="341" t="inlineStr">
        <is>
          <t>N/A</t>
        </is>
      </c>
      <c r="AZ148" s="341" t="inlineStr"/>
    </row>
    <row r="149">
      <c r="A149" s="341" t="inlineStr">
        <is>
          <t>CHNPRFMELI04S000</t>
        </is>
      </c>
      <c r="B149" s="341" t="inlineStr">
        <is>
          <t>工具</t>
        </is>
      </c>
      <c r="C149" s="341" t="inlineStr">
        <is>
          <t>绩效标准</t>
        </is>
      </c>
      <c r="D149" s="341" t="inlineStr">
        <is>
          <t>照明系统最低能源绩效标准（MEPS）</t>
        </is>
      </c>
      <c r="E149" s="341" t="inlineStr">
        <is>
          <t>建筑</t>
        </is>
      </c>
      <c r="F149" s="341" t="inlineStr">
        <is>
          <t>室内照明；LED照明产品</t>
        </is>
      </c>
      <c r="G149" s="341" t="inlineStr">
        <is>
          <t>室内照明用 LED 产品能效限定值及能效等级</t>
        </is>
      </c>
      <c r="H149" s="341" t="inlineStr">
        <is>
          <t>Minimum Allowable Values of Energy Efficiency and Energy Efficiency Grades of LED Products for Indoor Lighting</t>
        </is>
      </c>
      <c r="I149" s="341" t="inlineStr">
        <is>
          <t>N/A</t>
        </is>
      </c>
      <c r="J149"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49" s="341" t="inlineStr">
        <is>
          <t>能源效率</t>
        </is>
      </c>
      <c r="L149" s="341" t="inlineStr">
        <is>
          <t>直接</t>
        </is>
      </c>
      <c r="M149" s="341" t="inlineStr">
        <is>
          <t>国家</t>
        </is>
      </c>
      <c r="N149" s="341" t="inlineStr">
        <is>
          <t>N/A</t>
        </is>
      </c>
      <c r="O149" s="341" t="inlineStr">
        <is>
          <t>18/12/2013</t>
        </is>
      </c>
      <c r="P149" s="341" t="inlineStr">
        <is>
          <t>01/09/2014</t>
        </is>
      </c>
      <c r="Q149" s="341" t="inlineStr">
        <is>
          <t>N/A</t>
        </is>
      </c>
      <c r="R149" s="341" t="inlineStr">
        <is>
          <t>04/04/2019</t>
        </is>
      </c>
      <c r="S149" s="341" t="inlineStr">
        <is>
          <t>2019年4月4日发布GB 30255-2019替代GB 30255-2013，扩大适用范围（新增LED筒灯和定向集成式LED灯），提高各级光效指标，新增显色指数和光通维持率要求</t>
        </is>
      </c>
      <c r="T149" s="341">
        <f>IF(P149="","生效",IF(P149="N/A","生效",IF(TODAY()&lt;DATE(VALUE(RIGHT(P149,4)),VALUE(MID(P149,4,2)),VALUE(LEFT(P149,2))),"计划实施",IF(Q149="","生效",IF(Q149="N/A","生效",IF(TODAY()&lt;DATE(VALUE(RIGHT(Q149,4)),VALUE(MID(Q149,4,2)),VALUE(LEFT(Q149,2))),"生效","已终止"))))))</f>
        <v/>
      </c>
      <c r="U149" s="341" t="inlineStr">
        <is>
          <t>国家市场监督管理总局；国家标准化管理委员会</t>
        </is>
      </c>
      <c r="V149" s="341" t="inlineStr">
        <is>
          <t>室内照明用LED产品</t>
        </is>
      </c>
      <c r="W149" s="341" t="inlineStr">
        <is>
          <t>新建</t>
        </is>
      </c>
      <c r="X149" s="341" t="inlineStr">
        <is>
          <t>LED筒灯（AC ≤250V、50Hz，额定功率≥2W，光束角&gt;60°）；定向集成式LED灯（AC 220V、50Hz，灯头GU10/B22/E14/E27，PAR16/PAR20/PAR30/PAR38系列）；非定向自镇流LED灯（AC 220V、50Hz，2W≤功率≤60W）。不适用于具有调光/调色功能或非照明附加功能的产品。</t>
        </is>
      </c>
      <c r="Y149" s="341" t="inlineStr">
        <is>
          <t>N/A</t>
        </is>
      </c>
      <c r="Z149" s="341" t="inlineStr">
        <is>
          <t>N/A</t>
        </is>
      </c>
      <c r="AA149" s="341" t="inlineStr">
        <is>
          <t>企业</t>
        </is>
      </c>
      <c r="AB149" s="341" t="inlineStr">
        <is>
          <t>在中国境内生产、进口或销售室内照明用LED产品的生产企业和进口商。</t>
        </is>
      </c>
      <c r="AC149" s="341" t="inlineStr">
        <is>
          <t>生产；销售；进口</t>
        </is>
      </c>
      <c r="AD149" s="341" t="inlineStr">
        <is>
          <t>室内照明用LED产品的生产、进口和销售活动。产品须达到标准规定的能效限定值（3级）方可进入市场。</t>
        </is>
      </c>
      <c r="AE149" s="341" t="inlineStr">
        <is>
          <t>3级</t>
        </is>
      </c>
      <c r="AF149" s="341" t="inlineStr">
        <is>
          <t>能效等级</t>
        </is>
      </c>
      <c r="AG149"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H149"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I149" s="341" t="inlineStr">
        <is>
          <t>N/A</t>
        </is>
      </c>
      <c r="AJ149" s="341" t="inlineStr">
        <is>
          <t>N/A</t>
        </is>
      </c>
      <c r="AK149" s="341" t="inlineStr">
        <is>
          <t>政府机构开展的监督检查</t>
        </is>
      </c>
      <c r="AL149" s="341" t="inlineStr">
        <is>
          <t>市场监督管理部门对室内照明LED产品进行能效标识监督检查和产品质量监督抽查。</t>
        </is>
      </c>
      <c r="AM149" s="341" t="inlineStr">
        <is>
          <t>合规命令；罚款</t>
        </is>
      </c>
      <c r="AN149" s="341" t="inlineStr">
        <is>
          <t>对生产、进口、销售不符合强制性能效标准的LED照明产品的，由市场监督管理部门责令停止生产、进口、销售，没收违法所得，并处罚款；情节严重的，吊销营业执照。</t>
        </is>
      </c>
      <c r="AO149" s="341" t="inlineStr">
        <is>
          <t>其他激励或支持</t>
        </is>
      </c>
      <c r="AP149" s="341" t="inlineStr">
        <is>
          <t>国家鼓励生产和使用1级、2级高效LED照明产品；通过节能产品认证和绿色采购引导高效LED照明产品市场推广。</t>
        </is>
      </c>
      <c r="AQ149" s="341" t="inlineStr">
        <is>
          <t>N/A</t>
        </is>
      </c>
      <c r="AR149" s="341" t="inlineStr">
        <is>
          <t>N/A</t>
        </is>
      </c>
      <c r="AS149" s="341" t="inlineStr">
        <is>
          <t>C27</t>
        </is>
      </c>
      <c r="AT149" s="341" t="inlineStr">
        <is>
          <t>CO2</t>
        </is>
      </c>
      <c r="AU149" s="341" t="inlineStr">
        <is>
          <t>正向</t>
        </is>
      </c>
      <c r="AV149" s="341" t="inlineStr">
        <is>
          <t>节能；产业发展</t>
        </is>
      </c>
      <c r="AW149" s="341" t="inlineStr">
        <is>
          <t>GB 30255-2019 室内照明用LED产品能效限定值及能效等级</t>
        </is>
      </c>
      <c r="AX149" s="341" t="inlineStr">
        <is>
          <t>https://openstd.samr.gov.cn/bzgk/std/newGbInfo?hcno=4BEB317A9F75B860E0630320F5D80374</t>
        </is>
      </c>
      <c r="AY149" s="341" t="inlineStr">
        <is>
          <t>GB 30255-2013（旧版）：https://openstd.samr.gov.cn/bzgk/std/newGbInfo?hcno=D96319301123AFD0D059D7250A109E71</t>
        </is>
      </c>
      <c r="AZ149" s="341" t="inlineStr"/>
    </row>
    <row r="150">
      <c r="A150" s="341" t="inlineStr">
        <is>
          <t>CHNPRFMELI05S000</t>
        </is>
      </c>
      <c r="B150" s="341" t="inlineStr">
        <is>
          <t>工具</t>
        </is>
      </c>
      <c r="C150" s="341" t="inlineStr">
        <is>
          <t>绩效标准</t>
        </is>
      </c>
      <c r="D150" s="341" t="inlineStr">
        <is>
          <t>照明系统最低能源绩效标准（MEPS）</t>
        </is>
      </c>
      <c r="E150" s="341" t="inlineStr">
        <is>
          <t>交通</t>
        </is>
      </c>
      <c r="F150" s="341" t="inlineStr">
        <is>
          <t>道路交通照明；隧道照明</t>
        </is>
      </c>
      <c r="G150" s="341" t="inlineStr">
        <is>
          <t>道路和隧道照明用 LED 灯具能效限定值及能效等级</t>
        </is>
      </c>
      <c r="H150" s="341" t="inlineStr">
        <is>
          <t>Minimum Allowable Values of Energy Efficiency and Energy Efficiency Grades of LED Luminaires for Road and Tunnel Lighting</t>
        </is>
      </c>
      <c r="I150" s="341" t="inlineStr">
        <is>
          <t>N/A</t>
        </is>
      </c>
      <c r="J150"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0" s="341" t="inlineStr">
        <is>
          <t>能源效率</t>
        </is>
      </c>
      <c r="L150" s="341" t="inlineStr">
        <is>
          <t>直接</t>
        </is>
      </c>
      <c r="M150" s="341" t="inlineStr">
        <is>
          <t>国家</t>
        </is>
      </c>
      <c r="N150" s="341" t="inlineStr">
        <is>
          <t>N/A</t>
        </is>
      </c>
      <c r="O150" s="341" t="inlineStr">
        <is>
          <t>04/04/2019</t>
        </is>
      </c>
      <c r="P150" s="341" t="inlineStr">
        <is>
          <t>01/11/2020</t>
        </is>
      </c>
      <c r="Q150" s="341" t="inlineStr">
        <is>
          <t>N/A</t>
        </is>
      </c>
      <c r="R150" s="341" t="inlineStr">
        <is>
          <t>N/A</t>
        </is>
      </c>
      <c r="S150" s="341" t="inlineStr">
        <is>
          <t>N/A</t>
        </is>
      </c>
      <c r="T150" s="341">
        <f>IF(P150="","生效",IF(P150="N/A","生效",IF(TODAY()&lt;DATE(VALUE(RIGHT(P150,4)),VALUE(MID(P150,4,2)),VALUE(LEFT(P150,2))),"计划实施",IF(Q150="","生效",IF(Q150="N/A","生效",IF(TODAY()&lt;DATE(VALUE(RIGHT(Q150,4)),VALUE(MID(Q150,4,2)),VALUE(LEFT(Q150,2))),"生效","已终止"))))))</f>
        <v/>
      </c>
      <c r="U150" s="341" t="inlineStr">
        <is>
          <t>国家市场监督管理总局；国家标准化管理委员会</t>
        </is>
      </c>
      <c r="V150" s="341" t="inlineStr">
        <is>
          <t>道路和隧道照明用LED灯具</t>
        </is>
      </c>
      <c r="W150" s="341" t="inlineStr">
        <is>
          <t>新建</t>
        </is>
      </c>
      <c r="X150" s="341" t="inlineStr">
        <is>
          <t>额定电压AC 220V、频率50Hz的道路和隧道照明用LED灯具，包括LED光源及其控制装置。不包括可独立安装的互联控制部件或其他与照明无关的功能附件。</t>
        </is>
      </c>
      <c r="Y150" s="341" t="inlineStr">
        <is>
          <t>N/A</t>
        </is>
      </c>
      <c r="Z150" s="341" t="inlineStr">
        <is>
          <t>N/A</t>
        </is>
      </c>
      <c r="AA150" s="341" t="inlineStr">
        <is>
          <t>企业</t>
        </is>
      </c>
      <c r="AB150" s="341" t="inlineStr">
        <is>
          <t>在中国境内生产、进口或销售道路和隧道照明用LED灯具的生产企业和进口商。</t>
        </is>
      </c>
      <c r="AC150" s="341" t="inlineStr">
        <is>
          <t>生产；销售；进口</t>
        </is>
      </c>
      <c r="AD150" s="341" t="inlineStr">
        <is>
          <t>道路和隧道照明用LED灯具的生产、进口和销售活动。产品须达到标准规定的能效限定值（3级）方可进入市场。</t>
        </is>
      </c>
      <c r="AE150" s="341" t="inlineStr">
        <is>
          <t>3级</t>
        </is>
      </c>
      <c r="AF150" s="341" t="inlineStr">
        <is>
          <t>能效等级</t>
        </is>
      </c>
      <c r="AG150"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H150"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I150" s="341" t="inlineStr">
        <is>
          <t>N/A</t>
        </is>
      </c>
      <c r="AJ150" s="341" t="inlineStr">
        <is>
          <t>N/A</t>
        </is>
      </c>
      <c r="AK150" s="341" t="inlineStr">
        <is>
          <t>政府机构开展的监督检查</t>
        </is>
      </c>
      <c r="AL150" s="341" t="inlineStr">
        <is>
          <t>市场监督管理部门对道路和隧道照明LED灯具产品进行能效标识监督检查和产品质量监督抽查。</t>
        </is>
      </c>
      <c r="AM150" s="341" t="inlineStr">
        <is>
          <t>合规命令；罚款</t>
        </is>
      </c>
      <c r="AN150" s="341" t="inlineStr">
        <is>
          <t>对生产、进口、销售不符合强制性能效标准的道路和隧道照明LED灯具的，由市场监督管理部门责令停止生产、进口、销售，没收违法所得，并处罚款；情节严重的，吊销营业执照。</t>
        </is>
      </c>
      <c r="AO150" s="341" t="inlineStr">
        <is>
          <t>其他激励或支持</t>
        </is>
      </c>
      <c r="AP150" s="341" t="inlineStr">
        <is>
          <t>国家鼓励在城市道路和隧道照明工程中优先使用1级、2级高效LED灯具；通过节能产品认证和政府绿色采购引导高效道路照明产品推广。</t>
        </is>
      </c>
      <c r="AQ150" s="341" t="inlineStr">
        <is>
          <t>N/A</t>
        </is>
      </c>
      <c r="AR150" s="341" t="inlineStr">
        <is>
          <t>N/A</t>
        </is>
      </c>
      <c r="AS150" s="341" t="inlineStr">
        <is>
          <t>C27</t>
        </is>
      </c>
      <c r="AT150" s="341" t="inlineStr">
        <is>
          <t>CO2</t>
        </is>
      </c>
      <c r="AU150" s="341" t="inlineStr">
        <is>
          <t>正向</t>
        </is>
      </c>
      <c r="AV150" s="341" t="inlineStr">
        <is>
          <t>节能；产业发展</t>
        </is>
      </c>
      <c r="AW150" s="341" t="inlineStr">
        <is>
          <t>GB 37478-2019 道路和隧道照明用LED灯具能效限定值及能效等级</t>
        </is>
      </c>
      <c r="AX150" s="341" t="inlineStr">
        <is>
          <t>https://openstd.samr.gov.cn/bzgk/std/newGbInfo?hcno=A9707971EC81F8FE912F5A4AED47F4FE</t>
        </is>
      </c>
      <c r="AY150" s="341" t="inlineStr">
        <is>
          <t>N/A</t>
        </is>
      </c>
      <c r="AZ150" s="341" t="inlineStr"/>
    </row>
    <row r="151">
      <c r="A151" s="341" t="inlineStr">
        <is>
          <t>CHNPRFMELI06S000</t>
        </is>
      </c>
      <c r="B151" s="341" t="inlineStr">
        <is>
          <t>工具</t>
        </is>
      </c>
      <c r="C151" s="341" t="inlineStr">
        <is>
          <t>绩效标准</t>
        </is>
      </c>
      <c r="D151" s="341" t="inlineStr">
        <is>
          <t>照明系统最低能源绩效标准（MEPS）</t>
        </is>
      </c>
      <c r="E151" s="341" t="inlineStr">
        <is>
          <t>建筑；工业</t>
        </is>
      </c>
      <c r="F151" s="341" t="inlineStr">
        <is>
          <t>普通照明；工业照明</t>
        </is>
      </c>
      <c r="G151" s="341" t="inlineStr">
        <is>
          <t>金属卤化物灯能效限定值及能效等级</t>
        </is>
      </c>
      <c r="H151" s="341" t="inlineStr">
        <is>
          <t>Minimum Allowable Values of Energy Efficiency and Energy Efficiency Grades for Metal-Halide Lamps</t>
        </is>
      </c>
      <c r="I151" s="341" t="inlineStr">
        <is>
          <t>N/A</t>
        </is>
      </c>
      <c r="J151"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1" s="341" t="inlineStr">
        <is>
          <t>能源效率</t>
        </is>
      </c>
      <c r="L151" s="341" t="inlineStr">
        <is>
          <t>直接</t>
        </is>
      </c>
      <c r="M151" s="341" t="inlineStr">
        <is>
          <t>国家</t>
        </is>
      </c>
      <c r="N151" s="341" t="inlineStr">
        <is>
          <t>N/A</t>
        </is>
      </c>
      <c r="O151" s="341" t="inlineStr">
        <is>
          <t>09/01/2006</t>
        </is>
      </c>
      <c r="P151" s="341" t="inlineStr">
        <is>
          <t>01/07/2006</t>
        </is>
      </c>
      <c r="Q151" s="341" t="inlineStr">
        <is>
          <t>N/A</t>
        </is>
      </c>
      <c r="R151" s="341" t="inlineStr">
        <is>
          <t>10/12/2015</t>
        </is>
      </c>
      <c r="S151" s="341" t="inlineStr">
        <is>
          <t>2015年12月10日发布GB 20054-2015替代GB 20054-2006，扩大适用范围（新增陶瓷金属卤化物灯类别），提高各级能效指标</t>
        </is>
      </c>
      <c r="T151" s="341">
        <f>IF(P151="","生效",IF(P151="N/A","生效",IF(TODAY()&lt;DATE(VALUE(RIGHT(P151,4)),VALUE(MID(P151,4,2)),VALUE(LEFT(P151,2))),"计划实施",IF(Q151="","生效",IF(Q151="N/A","生效",IF(TODAY()&lt;DATE(VALUE(RIGHT(Q151,4)),VALUE(MID(Q151,4,2)),VALUE(LEFT(Q151,2))),"生效","已终止"))))))</f>
        <v/>
      </c>
      <c r="U151" s="341" t="inlineStr">
        <is>
          <t>国家市场监督管理总局；国家标准化管理委员会</t>
        </is>
      </c>
      <c r="V151" s="341" t="inlineStr">
        <is>
          <t>金属卤化物灯</t>
        </is>
      </c>
      <c r="W151" s="341" t="inlineStr">
        <is>
          <t>新建</t>
        </is>
      </c>
      <c r="X151" s="341" t="inlineStr">
        <is>
          <t>各类金属卤化物灯产品，包括单端金属卤化物灯（175W~1500W）、双端金属卤化物灯（70W~250W）和陶瓷金属卤化物灯（20W~400W）。</t>
        </is>
      </c>
      <c r="Y151" s="341" t="inlineStr">
        <is>
          <t>N/A</t>
        </is>
      </c>
      <c r="Z151" s="341" t="inlineStr">
        <is>
          <t>N/A</t>
        </is>
      </c>
      <c r="AA151" s="341" t="inlineStr">
        <is>
          <t>企业</t>
        </is>
      </c>
      <c r="AB151" s="341" t="inlineStr">
        <is>
          <t>在中国境内生产、进口或销售金属卤化物灯产品的生产企业和进口商。</t>
        </is>
      </c>
      <c r="AC151" s="341" t="inlineStr">
        <is>
          <t>生产；销售；进口</t>
        </is>
      </c>
      <c r="AD151" s="341" t="inlineStr">
        <is>
          <t>金属卤化物灯产品的生产、进口和销售活动。产品须达到标准规定的能效限定值（3级）方可进入市场。</t>
        </is>
      </c>
      <c r="AE151" s="341" t="inlineStr">
        <is>
          <t>3级</t>
        </is>
      </c>
      <c r="AF151" s="341" t="inlineStr">
        <is>
          <t>能效等级</t>
        </is>
      </c>
      <c r="AG151"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H151" s="341" t="inlineStr">
        <is>
          <t>1）金属卤化物灯须达到标准规定的能效限定值（3级）方可生产、进口或销售；2）产品须标注能效等级标识；3）能效等级分为1级（最高）、2级、3级，3级为市场准入最低要求。</t>
        </is>
      </c>
      <c r="AI151" s="341" t="inlineStr">
        <is>
          <t>N/A</t>
        </is>
      </c>
      <c r="AJ151" s="341" t="inlineStr">
        <is>
          <t>N/A</t>
        </is>
      </c>
      <c r="AK151" s="341" t="inlineStr">
        <is>
          <t>政府机构开展的监督检查</t>
        </is>
      </c>
      <c r="AL151" s="341" t="inlineStr">
        <is>
          <t>市场监督管理部门对金属卤化物灯产品进行能效标识监督检查和产品质量监督抽查。</t>
        </is>
      </c>
      <c r="AM151" s="341" t="inlineStr">
        <is>
          <t>合规命令；罚款</t>
        </is>
      </c>
      <c r="AN151" s="341" t="inlineStr">
        <is>
          <t>对生产、进口、销售不符合强制性能效标准的金属卤化物灯产品的，由市场监督管理部门责令停止生产、进口、销售，没收违法所得，并处罚款；情节严重的，吊销营业执照。</t>
        </is>
      </c>
      <c r="AO151" s="341" t="inlineStr">
        <is>
          <t>其他激励或支持</t>
        </is>
      </c>
      <c r="AP151" s="341" t="inlineStr">
        <is>
          <t>国家鼓励生产和使用1级、2级高效金属卤化物灯产品；通过节能产品认证引导高效照明产品市场推广。</t>
        </is>
      </c>
      <c r="AQ151" s="341" t="inlineStr">
        <is>
          <t>N/A</t>
        </is>
      </c>
      <c r="AR151" s="341" t="inlineStr">
        <is>
          <t>N/A</t>
        </is>
      </c>
      <c r="AS151" s="341" t="inlineStr">
        <is>
          <t>C27</t>
        </is>
      </c>
      <c r="AT151" s="341" t="inlineStr">
        <is>
          <t>CO2</t>
        </is>
      </c>
      <c r="AU151" s="341" t="inlineStr">
        <is>
          <t>正向</t>
        </is>
      </c>
      <c r="AV151" s="341" t="inlineStr">
        <is>
          <t>节能；产业发展</t>
        </is>
      </c>
      <c r="AW151" s="341" t="inlineStr">
        <is>
          <t>GB 20054-2015 金属卤化物灯能效限定值及能效等级</t>
        </is>
      </c>
      <c r="AX151" s="341" t="inlineStr">
        <is>
          <t>https://openstd.samr.gov.cn/bzgk/gb/newGbInfo?hcno=2F0F9222CCE78515A0BDF7AE60AF0828</t>
        </is>
      </c>
      <c r="AY151" s="341" t="inlineStr">
        <is>
          <t>GB 20054-2006（旧版）：https://std.samr.gov.cn/gb/search/gbDetailed?id=71F772D7C577D3A7E05397BE0A0AB82A</t>
        </is>
      </c>
      <c r="AZ151" s="341" t="inlineStr"/>
    </row>
    <row r="152">
      <c r="A152" s="341" t="inlineStr">
        <is>
          <t>CHNPRFMELI07S000</t>
        </is>
      </c>
      <c r="B152" s="341" t="inlineStr">
        <is>
          <t>工具</t>
        </is>
      </c>
      <c r="C152" s="341" t="inlineStr">
        <is>
          <t>绩效标准</t>
        </is>
      </c>
      <c r="D152" s="341" t="inlineStr">
        <is>
          <t>照明系统最低能源绩效标准（MEPS）</t>
        </is>
      </c>
      <c r="E152" s="341" t="inlineStr">
        <is>
          <t>建筑</t>
        </is>
      </c>
      <c r="F152" s="341" t="inlineStr">
        <is>
          <t>普通照明；卤钨灯产品</t>
        </is>
      </c>
      <c r="G152" s="341" t="inlineStr">
        <is>
          <t>普通照明用卤钨灯能效限定值及节能评价值</t>
        </is>
      </c>
      <c r="H152" s="341" t="inlineStr">
        <is>
          <t>Minimum Allowable Values of Energy Efficiency and Evaluating Values of Energy Conservation of Tungsten Halogen Lamps for General Lighting</t>
        </is>
      </c>
      <c r="I152" s="341" t="inlineStr">
        <is>
          <t>N/A</t>
        </is>
      </c>
      <c r="J152"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2" s="341" t="inlineStr">
        <is>
          <t>能源效率</t>
        </is>
      </c>
      <c r="L152" s="341" t="inlineStr">
        <is>
          <t>直接</t>
        </is>
      </c>
      <c r="M152" s="341" t="inlineStr">
        <is>
          <t>国家</t>
        </is>
      </c>
      <c r="N152" s="341" t="inlineStr">
        <is>
          <t>N/A</t>
        </is>
      </c>
      <c r="O152" s="341" t="inlineStr">
        <is>
          <t>10/10/2014</t>
        </is>
      </c>
      <c r="P152" s="341" t="inlineStr">
        <is>
          <t>01/09/2015</t>
        </is>
      </c>
      <c r="Q152" s="341" t="inlineStr">
        <is>
          <t>N/A</t>
        </is>
      </c>
      <c r="R152" s="341" t="inlineStr">
        <is>
          <t>N/A</t>
        </is>
      </c>
      <c r="S152" s="341" t="inlineStr">
        <is>
          <t>N/A</t>
        </is>
      </c>
      <c r="T152" s="341">
        <f>IF(P152="","生效",IF(P152="N/A","生效",IF(TODAY()&lt;DATE(VALUE(RIGHT(P152,4)),VALUE(MID(P152,4,2)),VALUE(LEFT(P152,2))),"计划实施",IF(Q152="","生效",IF(Q152="N/A","生效",IF(TODAY()&lt;DATE(VALUE(RIGHT(Q152,4)),VALUE(MID(Q152,4,2)),VALUE(LEFT(Q152,2))),"生效","已终止"))))))</f>
        <v/>
      </c>
      <c r="U152" s="341" t="inlineStr">
        <is>
          <t>国家市场监督管理总局；国家标准化管理委员会</t>
        </is>
      </c>
      <c r="V152" s="341" t="inlineStr">
        <is>
          <t>普通照明用卤钨灯</t>
        </is>
      </c>
      <c r="W152" s="341" t="inlineStr">
        <is>
          <t>新建</t>
        </is>
      </c>
      <c r="X152" s="341" t="inlineStr">
        <is>
          <t>家庭和类似场合普通照明用的卤钨灯产品。</t>
        </is>
      </c>
      <c r="Y152" s="341" t="inlineStr">
        <is>
          <t>N/A</t>
        </is>
      </c>
      <c r="Z152" s="341" t="inlineStr">
        <is>
          <t>N/A</t>
        </is>
      </c>
      <c r="AA152" s="341" t="inlineStr">
        <is>
          <t>企业</t>
        </is>
      </c>
      <c r="AB152" s="341" t="inlineStr">
        <is>
          <t>在中国境内生产、进口或销售普通照明用卤钨灯产品的生产企业和进口商。</t>
        </is>
      </c>
      <c r="AC152" s="341" t="inlineStr">
        <is>
          <t>生产；销售；进口</t>
        </is>
      </c>
      <c r="AD152" s="341" t="inlineStr">
        <is>
          <t>普通照明用卤钨灯产品的生产、进口和销售活动。产品须达到标准规定的能效限定值方可进入市场。</t>
        </is>
      </c>
      <c r="AE152" s="341" t="inlineStr">
        <is>
          <t>3级</t>
        </is>
      </c>
      <c r="AF152" s="341" t="inlineStr">
        <is>
          <t>能效等级</t>
        </is>
      </c>
      <c r="AG152" s="341" t="inlineStr">
        <is>
          <t>卤钨灯按能效限定值和节能评价值分级评价。能效限定值为市场准入最低光效要求，节能评价值为达到节能认证的光效水平。按灯头类型和功率分别规定具体光效值（lm/W）。</t>
        </is>
      </c>
      <c r="AH152" s="341" t="inlineStr">
        <is>
          <t>1）卤钨灯须达到标准规定的能效限定值方可生产、进口或销售；2）达到节能评价值的产品可申请节能产品认证；3）产品须标注能效相关信息。</t>
        </is>
      </c>
      <c r="AI152" s="341" t="inlineStr">
        <is>
          <t>N/A</t>
        </is>
      </c>
      <c r="AJ152" s="341" t="inlineStr">
        <is>
          <t>N/A</t>
        </is>
      </c>
      <c r="AK152" s="341" t="inlineStr">
        <is>
          <t>政府机构开展的监督检查</t>
        </is>
      </c>
      <c r="AL152" s="341" t="inlineStr">
        <is>
          <t>市场监督管理部门对卤钨灯产品进行能效标识监督检查和产品质量监督抽查。</t>
        </is>
      </c>
      <c r="AM152" s="341" t="inlineStr">
        <is>
          <t>合规命令；罚款</t>
        </is>
      </c>
      <c r="AN152" s="341" t="inlineStr">
        <is>
          <t>对生产、进口、销售不符合强制性能效标准的卤钨灯产品的，由市场监督管理部门责令停止生产、进口、销售，没收违法所得，并处罚款；情节严重的，吊销营业执照。</t>
        </is>
      </c>
      <c r="AO152" s="341" t="inlineStr">
        <is>
          <t>其他激励或支持</t>
        </is>
      </c>
      <c r="AP152" s="341" t="inlineStr">
        <is>
          <t>国家鼓励生产和使用达到节能评价值的卤钨灯产品；引导消费者选择高效照明产品。</t>
        </is>
      </c>
      <c r="AQ152" s="341" t="inlineStr">
        <is>
          <t>N/A</t>
        </is>
      </c>
      <c r="AR152" s="341" t="inlineStr">
        <is>
          <t>N/A</t>
        </is>
      </c>
      <c r="AS152" s="341" t="inlineStr">
        <is>
          <t>C27</t>
        </is>
      </c>
      <c r="AT152" s="341" t="inlineStr">
        <is>
          <t>CO2</t>
        </is>
      </c>
      <c r="AU152" s="341" t="inlineStr">
        <is>
          <t>正向</t>
        </is>
      </c>
      <c r="AV152" s="341" t="inlineStr">
        <is>
          <t>节能；产业发展</t>
        </is>
      </c>
      <c r="AW152" s="341" t="inlineStr">
        <is>
          <t>GB 31276-2014 普通照明用卤钨灯能效限定值及节能评价值</t>
        </is>
      </c>
      <c r="AX152" s="341" t="inlineStr">
        <is>
          <t>https://openstd.samr.gov.cn/bzgk/std/newGbInfo?hcno=BE2116F517C3A96819AA79060EC50755</t>
        </is>
      </c>
      <c r="AY152" s="341" t="inlineStr">
        <is>
          <t>N/A</t>
        </is>
      </c>
      <c r="AZ152" s="341" t="inlineStr"/>
    </row>
    <row r="153">
      <c r="A153" s="341" t="inlineStr">
        <is>
          <t>CHNPRFMELI08S000</t>
        </is>
      </c>
      <c r="B153" s="341" t="inlineStr">
        <is>
          <t>工具</t>
        </is>
      </c>
      <c r="C153" s="341" t="inlineStr">
        <is>
          <t>绩效标准</t>
        </is>
      </c>
      <c r="D153" s="341" t="inlineStr">
        <is>
          <t>照明系统最低能源绩效标准（MEPS）</t>
        </is>
      </c>
      <c r="E153" s="341" t="inlineStr">
        <is>
          <t>交通</t>
        </is>
      </c>
      <c r="F153" s="341" t="inlineStr">
        <is>
          <t>道路照明；户外照明</t>
        </is>
      </c>
      <c r="G153" s="341" t="inlineStr">
        <is>
          <t>高压钠灯能效限定值及能效等级</t>
        </is>
      </c>
      <c r="H153" s="341" t="inlineStr">
        <is>
          <t>Minimum Allowable Values of Energy Efficiency and Energy Efficiency Grades for High-Pressure Sodium Vapour Lamps</t>
        </is>
      </c>
      <c r="I153" s="341" t="inlineStr">
        <is>
          <t>N/A</t>
        </is>
      </c>
      <c r="J153"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3" s="341" t="inlineStr">
        <is>
          <t>能源效率</t>
        </is>
      </c>
      <c r="L153" s="341" t="inlineStr">
        <is>
          <t>直接</t>
        </is>
      </c>
      <c r="M153" s="341" t="inlineStr">
        <is>
          <t>国家</t>
        </is>
      </c>
      <c r="N153" s="341" t="inlineStr">
        <is>
          <t>N/A</t>
        </is>
      </c>
      <c r="O153" s="341" t="inlineStr">
        <is>
          <t>05/08/2004</t>
        </is>
      </c>
      <c r="P153" s="341" t="inlineStr">
        <is>
          <t>01/02/2005</t>
        </is>
      </c>
      <c r="Q153" s="341" t="inlineStr">
        <is>
          <t>N/A</t>
        </is>
      </c>
      <c r="R153" s="341" t="inlineStr">
        <is>
          <t>N/A</t>
        </is>
      </c>
      <c r="S153" s="341" t="inlineStr">
        <is>
          <t>N/A</t>
        </is>
      </c>
      <c r="T153" s="341">
        <f>IF(P153="","生效",IF(P153="N/A","生效",IF(TODAY()&lt;DATE(VALUE(RIGHT(P153,4)),VALUE(MID(P153,4,2)),VALUE(LEFT(P153,2))),"计划实施",IF(Q153="","生效",IF(Q153="N/A","生效",IF(TODAY()&lt;DATE(VALUE(RIGHT(Q153,4)),VALUE(MID(Q153,4,2)),VALUE(LEFT(Q153,2))),"生效","已终止"))))))</f>
        <v/>
      </c>
      <c r="U153" s="341" t="inlineStr">
        <is>
          <t>国家市场监督管理总局；国家标准化管理委员会</t>
        </is>
      </c>
      <c r="V153" s="341" t="inlineStr">
        <is>
          <t>高压钠灯</t>
        </is>
      </c>
      <c r="W153" s="341" t="inlineStr">
        <is>
          <t>新建</t>
        </is>
      </c>
      <c r="X153" s="341" t="inlineStr">
        <is>
          <t>用于道路照明、广场照明、工业照明等场合的高压钠灯产品。</t>
        </is>
      </c>
      <c r="Y153" s="341" t="inlineStr">
        <is>
          <t>N/A</t>
        </is>
      </c>
      <c r="Z153" s="341" t="inlineStr">
        <is>
          <t>N/A</t>
        </is>
      </c>
      <c r="AA153" s="341" t="inlineStr">
        <is>
          <t>企业</t>
        </is>
      </c>
      <c r="AB153" s="341" t="inlineStr">
        <is>
          <t>在中国境内生产、进口或销售高压钠灯产品的生产企业和进口商。</t>
        </is>
      </c>
      <c r="AC153" s="341" t="inlineStr">
        <is>
          <t>生产；销售；进口</t>
        </is>
      </c>
      <c r="AD153" s="341" t="inlineStr">
        <is>
          <t>高压钠灯产品的生产、进口和销售活动。产品须达到标准规定的能效限定值（3级）方可进入市场。</t>
        </is>
      </c>
      <c r="AE153" s="341" t="inlineStr">
        <is>
          <t>3级</t>
        </is>
      </c>
      <c r="AF153" s="341" t="inlineStr">
        <is>
          <t>能效等级</t>
        </is>
      </c>
      <c r="AG153" s="341" t="inlineStr">
        <is>
          <t>高压钠灯能效等级分为3级（1级最高），3级为能效限定值即市场准入最低要求。按标称功率（50W~1000W）分别规定各级最低光效值（lm/W）。典型值：250W高压钠灯3级≥100 lm/W，400W高压钠灯3级≥110 lm/W。</t>
        </is>
      </c>
      <c r="AH153" s="341" t="inlineStr">
        <is>
          <t>1）高压钠灯须达到标准规定的能效限定值（3级）方可生产、进口或销售；2）产品须标注能效等级标识；3）能效等级分为1级（最高）、2级、3级，3级为市场准入最低要求。</t>
        </is>
      </c>
      <c r="AI153" s="341" t="inlineStr">
        <is>
          <t>N/A</t>
        </is>
      </c>
      <c r="AJ153" s="341" t="inlineStr">
        <is>
          <t>N/A</t>
        </is>
      </c>
      <c r="AK153" s="341" t="inlineStr">
        <is>
          <t>政府机构开展的监督检查</t>
        </is>
      </c>
      <c r="AL153" s="341" t="inlineStr">
        <is>
          <t>市场监督管理部门对高压钠灯产品进行能效标识监督检查和产品质量监督抽查。</t>
        </is>
      </c>
      <c r="AM153" s="341" t="inlineStr">
        <is>
          <t>合规命令；罚款</t>
        </is>
      </c>
      <c r="AN153" s="341" t="inlineStr">
        <is>
          <t>对生产、进口、销售不符合强制性能效标准的高压钠灯产品的，由市场监督管理部门责令停止生产、进口、销售，没收违法所得，并处罚款；情节严重的，吊销营业执照。</t>
        </is>
      </c>
      <c r="AO153" s="341" t="inlineStr">
        <is>
          <t>其他激励或支持</t>
        </is>
      </c>
      <c r="AP153" s="341" t="inlineStr">
        <is>
          <t>国家鼓励生产和使用1级、2级高效高压钠灯产品；通过节能产品认证引导高效道路照明产品推广。</t>
        </is>
      </c>
      <c r="AQ153" s="341" t="inlineStr">
        <is>
          <t>N/A</t>
        </is>
      </c>
      <c r="AR153" s="341" t="inlineStr">
        <is>
          <t>N/A</t>
        </is>
      </c>
      <c r="AS153" s="341" t="inlineStr">
        <is>
          <t>C27</t>
        </is>
      </c>
      <c r="AT153" s="341" t="inlineStr">
        <is>
          <t>CO2</t>
        </is>
      </c>
      <c r="AU153" s="341" t="inlineStr">
        <is>
          <t>正向</t>
        </is>
      </c>
      <c r="AV153" s="341" t="inlineStr">
        <is>
          <t>节能；产业发展</t>
        </is>
      </c>
      <c r="AW153" s="341" t="inlineStr">
        <is>
          <t>GB 19573-2004 高压钠灯能效限定值及能效等级</t>
        </is>
      </c>
      <c r="AX153" s="341" t="inlineStr">
        <is>
          <t>https://openstd.samr.gov.cn/bzgk/std/newGbInfo?hcno=F6239829E39BBAA8F5BA34869B029ABD</t>
        </is>
      </c>
      <c r="AY153" s="341" t="inlineStr">
        <is>
          <t>N/A</t>
        </is>
      </c>
      <c r="AZ153" s="341" t="inlineStr"/>
    </row>
    <row r="154">
      <c r="A154" s="341" t="inlineStr">
        <is>
          <t>CHNPRFFECI01S000</t>
        </is>
      </c>
      <c r="B154" s="341" t="inlineStr">
        <is>
          <t>工具</t>
        </is>
      </c>
      <c r="C154" s="341" t="inlineStr">
        <is>
          <t>绩效标准</t>
        </is>
      </c>
      <c r="D154" s="341" t="inlineStr">
        <is>
          <t>燃油经济性标准</t>
        </is>
      </c>
      <c r="E154" s="341" t="inlineStr">
        <is>
          <t>交通</t>
        </is>
      </c>
      <c r="F154" s="341" t="inlineStr">
        <is>
          <t>轻型乘用车</t>
        </is>
      </c>
      <c r="G154" s="341" t="inlineStr">
        <is>
          <t>电动汽车能量消耗量限值</t>
        </is>
      </c>
      <c r="H154" s="341" t="inlineStr">
        <is>
          <t>Electric Vehicle Energy Consumption Limit</t>
        </is>
      </c>
      <c r="I154" s="341" t="inlineStr">
        <is>
          <t>N/A</t>
        </is>
      </c>
      <c r="J154"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4" s="341" t="inlineStr">
        <is>
          <t>能源效率；电气化</t>
        </is>
      </c>
      <c r="L154" s="341" t="inlineStr">
        <is>
          <t>直接</t>
        </is>
      </c>
      <c r="M154" s="341" t="inlineStr">
        <is>
          <t>国家</t>
        </is>
      </c>
      <c r="N154" s="341" t="inlineStr">
        <is>
          <t>N/A</t>
        </is>
      </c>
      <c r="O154" s="341" t="inlineStr">
        <is>
          <t>28/12/2018</t>
        </is>
      </c>
      <c r="P154" s="341" t="inlineStr">
        <is>
          <t>01/07/2019</t>
        </is>
      </c>
      <c r="Q154" s="341" t="inlineStr">
        <is>
          <t>N/A</t>
        </is>
      </c>
      <c r="R154" s="341" t="inlineStr">
        <is>
          <t>30/05/2025</t>
        </is>
      </c>
      <c r="S154" s="341" t="inlineStr">
        <is>
          <t>2025年5月30日发布GB 36980.1-2025替代GB/T 36980-2018，将推荐性标准升级为强制性标准，限值加严约11%，于2026年1月1日实施。</t>
        </is>
      </c>
      <c r="T154" s="341">
        <f>IF(P154="","生效",IF(P154="N/A","生效",IF(TODAY()&lt;DATE(VALUE(RIGHT(P154,4)),VALUE(MID(P154,4,2)),VALUE(LEFT(P154,2))),"计划实施",IF(Q154="","生效",IF(Q154="N/A","生效",IF(TODAY()&lt;DATE(VALUE(RIGHT(Q154,4)),VALUE(MID(Q154,4,2)),VALUE(LEFT(Q154,2))),"生效","已终止"))))))</f>
        <v/>
      </c>
      <c r="U154" s="341" t="inlineStr">
        <is>
          <t>工业和信息化部；国家市场监督管理总局；国家标准化管理委员会</t>
        </is>
      </c>
      <c r="V154" s="341" t="inlineStr">
        <is>
          <t>纯电动乘用车</t>
        </is>
      </c>
      <c r="W154" s="341" t="inlineStr">
        <is>
          <t>新建；既有</t>
        </is>
      </c>
      <c r="X154" s="341" t="inlineStr">
        <is>
          <t>以车载电源为唯一动力或主要动力来源、最大设计总质量不超过3500kg的M1类纯电动乘用车。按整备质量分组采用阶梯式限值。</t>
        </is>
      </c>
      <c r="Y154" s="341" t="inlineStr">
        <is>
          <t>N/A</t>
        </is>
      </c>
      <c r="Z154" s="341" t="inlineStr">
        <is>
          <t>N/A</t>
        </is>
      </c>
      <c r="AA154" s="341" t="inlineStr">
        <is>
          <t>企业</t>
        </is>
      </c>
      <c r="AB154" s="341" t="inlineStr">
        <is>
          <t>在中国境内生产和销售纯电动乘用车的汽车制造企业。</t>
        </is>
      </c>
      <c r="AC154" s="341" t="inlineStr">
        <is>
          <t>型式批准；生产；销售</t>
        </is>
      </c>
      <c r="AD154" s="341" t="inlineStr">
        <is>
          <t>纯电动乘用车型式批准和销售活动。新申请型式批准的车型自2026年1月1日起执行新限值，已获型式批准的车型自2028年1月1日起执行。</t>
        </is>
      </c>
      <c r="AE154" s="341" t="inlineStr">
        <is>
          <t>按车重阶梯式</t>
        </is>
      </c>
      <c r="AF154" s="341" t="inlineStr">
        <is>
          <t>kWh/100km</t>
        </is>
      </c>
      <c r="AG154" s="341" t="inlineStr">
        <is>
          <t>按整备质量分组设定电能消耗量限值，采用阶梯式限值评价体系。限值基于WLTC或中国工况测试循环测定。约2吨整备质量的车型百公里电耗限值约15.1kWh/100km。</t>
        </is>
      </c>
      <c r="AH154" s="341" t="inlineStr">
        <is>
          <t>1）新申请型式批准的车型须满足GB 36980.1-2025规定的电能消耗量限值方可上市销售；2）已获得型式批准的车型须在过渡期内（至2028年1月1日）达到新限值要求；3）不满足限值要求的车型不得生产和销售。</t>
        </is>
      </c>
      <c r="AI154" s="341" t="inlineStr">
        <is>
          <t>N/A</t>
        </is>
      </c>
      <c r="AJ154" s="341" t="inlineStr">
        <is>
          <t>N/A</t>
        </is>
      </c>
      <c r="AK154" s="341" t="inlineStr">
        <is>
          <t>政府机构开展的型式批准和一致性监督检查；企业能耗数据报告</t>
        </is>
      </c>
      <c r="AL154" s="341" t="inlineStr">
        <is>
          <t>工业和信息化部对车辆进行型式批准，对电动汽车电能消耗量进行一致性监督检查；汽车制造企业须按规定报送车辆能量消耗量数据，接受节能监察。</t>
        </is>
      </c>
      <c r="AM154" s="341" t="inlineStr">
        <is>
          <t>合规命令；罚款；禁止生产和销售</t>
        </is>
      </c>
      <c r="AN154" s="341" t="inlineStr">
        <is>
          <t>对不符合电能消耗量限值标准的电动汽车车型，由工业和信息化部责令限期整改；未按要求整改的车型撤销型式批准，禁止生产和销售。</t>
        </is>
      </c>
      <c r="AO154" s="341" t="inlineStr">
        <is>
          <t>其他激励或支持</t>
        </is>
      </c>
      <c r="AP154" s="341" t="inlineStr">
        <is>
          <t>国家鼓励汽车制造企业研发和应用先进节能技术，降低电动汽车电能消耗量，通过新能源汽车推广政策和绿色消费引导支持高效节能车型。</t>
        </is>
      </c>
      <c r="AQ154" s="341" t="inlineStr">
        <is>
          <t>N/A</t>
        </is>
      </c>
      <c r="AR154" s="341" t="inlineStr">
        <is>
          <t>N/A</t>
        </is>
      </c>
      <c r="AS154" s="341" t="inlineStr">
        <is>
          <t>C29</t>
        </is>
      </c>
      <c r="AT154" s="341" t="inlineStr">
        <is>
          <t>CO2</t>
        </is>
      </c>
      <c r="AU154" s="341" t="inlineStr">
        <is>
          <t>正向</t>
        </is>
      </c>
      <c r="AV154" s="341" t="inlineStr">
        <is>
          <t>节能</t>
        </is>
      </c>
      <c r="AW154" s="341" t="inlineStr">
        <is>
          <t>GB 36980.1-2025 电动汽车能量消耗量限值 第1部分：乘用车</t>
        </is>
      </c>
      <c r="AX154" s="341" t="inlineStr">
        <is>
          <t>https://openstd.samr.gov.cn/bzgk/std/newGbInfo?hcno=957BCBA7091D453922DE63158D8419AB</t>
        </is>
      </c>
      <c r="AY154" s="341" t="inlineStr">
        <is>
          <t>GB/T 36980-2018（旧版）：https://openstd.samr.gov.cn/bzgk/std/newGbInfo?hcno=C572EE48E680FB763D856F07EC26C09D</t>
        </is>
      </c>
      <c r="AZ154" s="341" t="inlineStr"/>
    </row>
    <row r="155">
      <c r="A155" s="341" t="inlineStr">
        <is>
          <t>CHNPRFFECI02S000</t>
        </is>
      </c>
      <c r="B155" s="341" t="inlineStr">
        <is>
          <t>工具</t>
        </is>
      </c>
      <c r="C155" s="341" t="inlineStr">
        <is>
          <t>绩效标准</t>
        </is>
      </c>
      <c r="D155" s="341" t="inlineStr">
        <is>
          <t>燃油经济性标准</t>
        </is>
      </c>
      <c r="E155" s="341" t="inlineStr">
        <is>
          <t>交通</t>
        </is>
      </c>
      <c r="F155" s="341" t="inlineStr">
        <is>
          <t>轻型乘用车</t>
        </is>
      </c>
      <c r="G155" s="341" t="inlineStr">
        <is>
          <t>插电式混合动力汽车能量消耗限值</t>
        </is>
      </c>
      <c r="H155" s="341" t="inlineStr">
        <is>
          <t>Plug-in Hybrid Electric Vehicle Energy Consumption Limit</t>
        </is>
      </c>
      <c r="I155" s="341" t="inlineStr">
        <is>
          <t>N/A</t>
        </is>
      </c>
      <c r="J155"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5" s="341" t="inlineStr">
        <is>
          <t>能源效率</t>
        </is>
      </c>
      <c r="L155" s="341" t="inlineStr">
        <is>
          <t>直接</t>
        </is>
      </c>
      <c r="M155" s="341" t="inlineStr">
        <is>
          <t>国家</t>
        </is>
      </c>
      <c r="N155" s="341" t="inlineStr">
        <is>
          <t>N/A</t>
        </is>
      </c>
      <c r="O155" s="341" t="inlineStr">
        <is>
          <t>28/12/2018</t>
        </is>
      </c>
      <c r="P155" s="341" t="inlineStr">
        <is>
          <t>01/07/2019</t>
        </is>
      </c>
      <c r="Q155" s="341" t="inlineStr">
        <is>
          <t>N/A</t>
        </is>
      </c>
      <c r="R155" s="341" t="inlineStr">
        <is>
          <t>30/05/2025</t>
        </is>
      </c>
      <c r="S155" s="341" t="inlineStr">
        <is>
          <t>2025年5月30日发布GB 36980.1-2025将插电式混合动力乘用车纳入适用范围，2026年1月1日实施。工信部2025年第24号公告同步明确了2026-2027年减免车辆购置税的具体技术指标要求。</t>
        </is>
      </c>
      <c r="T155" s="341">
        <f>IF(P155="","生效",IF(P155="N/A","生效",IF(TODAY()&lt;DATE(VALUE(RIGHT(P155,4)),VALUE(MID(P155,4,2)),VALUE(LEFT(P155,2))),"计划实施",IF(Q155="","生效",IF(Q155="N/A","生效",IF(TODAY()&lt;DATE(VALUE(RIGHT(Q155,4)),VALUE(MID(Q155,4,2)),VALUE(LEFT(Q155,2))),"生效","已终止"))))))</f>
        <v/>
      </c>
      <c r="U155" s="341" t="inlineStr">
        <is>
          <t>工业和信息化部；国家市场监督管理总局；国家标准化管理委员会</t>
        </is>
      </c>
      <c r="V155" s="341" t="inlineStr">
        <is>
          <t>插电式混合动力乘用车</t>
        </is>
      </c>
      <c r="W155" s="341" t="inlineStr">
        <is>
          <t>新建；既有</t>
        </is>
      </c>
      <c r="X155" s="341" t="inlineStr">
        <is>
          <t>具有外部充电接口、可外接充电、具备纯电动行驶模式的M1类混合动力乘用车（含增程式），纯电续驶里程不低于43km（等效全电里程不低于100km），最大设计总质量不超过3500kg。</t>
        </is>
      </c>
      <c r="Y155" s="341" t="inlineStr">
        <is>
          <t>N/A</t>
        </is>
      </c>
      <c r="Z155" s="341" t="inlineStr">
        <is>
          <t>N/A</t>
        </is>
      </c>
      <c r="AA155" s="341" t="inlineStr">
        <is>
          <t>企业</t>
        </is>
      </c>
      <c r="AB155" s="341" t="inlineStr">
        <is>
          <t>在中国境内生产和销售插电式混合动力乘用车的汽车制造企业。</t>
        </is>
      </c>
      <c r="AC155" s="341" t="inlineStr">
        <is>
          <t>型式批准；生产；销售</t>
        </is>
      </c>
      <c r="AD155" s="341" t="inlineStr">
        <is>
          <t>插电式混合动力乘用车型式批准和销售活动。车型须同时满足电量消耗模式下的电能消耗量限值和电量保持模式下的燃料消耗量限值。</t>
        </is>
      </c>
      <c r="AE155" s="341" t="inlineStr">
        <is>
          <t>按车重阶梯式</t>
        </is>
      </c>
      <c r="AF155" s="341" t="inlineStr">
        <is>
          <t>kWh/100km；L/100km</t>
        </is>
      </c>
      <c r="AG155" s="341" t="inlineStr">
        <is>
          <t>电能消耗量（电量消耗模式）：须小于GB 36980.1-2025对应车型限值的140%（整备质量&lt;2510kg）或145%（整备质量≥2510kg）。燃料消耗量（电量保持模式）：须小于GB 19578-2024对应车型限值的70%（整备质量&lt;2510kg）或75%（整备质量≥2510kg）。</t>
        </is>
      </c>
      <c r="AH155"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I155" s="341" t="inlineStr">
        <is>
          <t>N/A</t>
        </is>
      </c>
      <c r="AJ155" s="341" t="inlineStr">
        <is>
          <t>N/A</t>
        </is>
      </c>
      <c r="AK155" s="341" t="inlineStr">
        <is>
          <t>政府机构开展的型式批准和一致性监督检查；企业能耗数据报告</t>
        </is>
      </c>
      <c r="AL155" s="341" t="inlineStr">
        <is>
          <t>工业和信息化部对车辆进行型式批准和一致性监督检查；汽车制造企业须按规定报送车辆能量消耗量数据。</t>
        </is>
      </c>
      <c r="AM155" s="341" t="inlineStr">
        <is>
          <t>合规命令；罚款；禁止生产和销售</t>
        </is>
      </c>
      <c r="AN155" s="341" t="inlineStr">
        <is>
          <t>对不符合能量消耗限值标准的插电式混合动力车型，由工业和信息化部责令限期整改；未按要求整改的车型撤销型式批准，禁止生产和销售。</t>
        </is>
      </c>
      <c r="AO155" s="341" t="inlineStr">
        <is>
          <t>其他激励或支持</t>
        </is>
      </c>
      <c r="AP155" s="341" t="inlineStr">
        <is>
          <t>国家鼓励汽车制造企业研发和应用先进混合动力技术，通过购置税减免等财税政策支持高效节能的插电式混合动力车型推广应用。</t>
        </is>
      </c>
      <c r="AQ155" s="341" t="inlineStr">
        <is>
          <t>N/A</t>
        </is>
      </c>
      <c r="AR155" s="341" t="inlineStr">
        <is>
          <t>N/A</t>
        </is>
      </c>
      <c r="AS155" s="341" t="inlineStr">
        <is>
          <t>C29</t>
        </is>
      </c>
      <c r="AT155" s="341" t="inlineStr">
        <is>
          <t>CO2</t>
        </is>
      </c>
      <c r="AU155" s="341" t="inlineStr">
        <is>
          <t>正向</t>
        </is>
      </c>
      <c r="AV155" s="341" t="inlineStr">
        <is>
          <t>节能</t>
        </is>
      </c>
      <c r="AW155" s="341" t="inlineStr">
        <is>
          <t>GB 36980.1-2025 电动汽车能量消耗量限值 第1部分：乘用车</t>
        </is>
      </c>
      <c r="AX155" s="341" t="inlineStr">
        <is>
          <t>https://openstd.samr.gov.cn/bzgk/std/newGbInfo?hcno=957BCBA7091D453922DE63158D8419AB</t>
        </is>
      </c>
      <c r="AY155" s="341" t="inlineStr">
        <is>
          <t>GB/T 36980-2018（旧版）：https://openstd.samr.gov.cn/bzgk/std/newGbInfo?hcno=C572EE48E680FB763D856F07EC26C09D</t>
        </is>
      </c>
      <c r="AZ155" s="341" t="inlineStr"/>
    </row>
    <row r="156">
      <c r="A156" s="341" t="inlineStr">
        <is>
          <t>CHNPRFFECI03S000</t>
        </is>
      </c>
      <c r="B156" s="341" t="inlineStr">
        <is>
          <t>工具</t>
        </is>
      </c>
      <c r="C156" s="341" t="inlineStr">
        <is>
          <t>绩效标准</t>
        </is>
      </c>
      <c r="D156" s="341" t="inlineStr">
        <is>
          <t>燃油经济性标准</t>
        </is>
      </c>
      <c r="E156" s="341" t="inlineStr">
        <is>
          <t>交通</t>
        </is>
      </c>
      <c r="F156" s="341" t="inlineStr">
        <is>
          <t>轻型乘用车</t>
        </is>
      </c>
      <c r="G156" s="341" t="inlineStr">
        <is>
          <t>乘用车燃料消耗量限值</t>
        </is>
      </c>
      <c r="H156" s="341" t="inlineStr">
        <is>
          <t>Passenger Car Fuel Consumption Limit</t>
        </is>
      </c>
      <c r="I156" s="341" t="inlineStr">
        <is>
          <t>N/A</t>
        </is>
      </c>
      <c r="J156"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6" s="341" t="inlineStr">
        <is>
          <t>能源效率</t>
        </is>
      </c>
      <c r="L156" s="341" t="inlineStr">
        <is>
          <t>直接</t>
        </is>
      </c>
      <c r="M156" s="341" t="inlineStr">
        <is>
          <t>国家</t>
        </is>
      </c>
      <c r="N156" s="341" t="inlineStr">
        <is>
          <t>N/A</t>
        </is>
      </c>
      <c r="O156" s="341" t="inlineStr">
        <is>
          <t>02/09/2004</t>
        </is>
      </c>
      <c r="P156" s="341" t="inlineStr">
        <is>
          <t>01/07/2005</t>
        </is>
      </c>
      <c r="Q156" s="341" t="inlineStr">
        <is>
          <t>N/A</t>
        </is>
      </c>
      <c r="R156" s="341" t="inlineStr">
        <is>
          <t>28/11/2024</t>
        </is>
      </c>
      <c r="S156" s="341" t="inlineStr">
        <is>
          <t>2024年11月28日发布GB 19578-2024替代GB 19578-2021，限值加严约18%，于2026年1月1日实施。</t>
        </is>
      </c>
      <c r="T156" s="341">
        <f>IF(P156="","生效",IF(P156="N/A","生效",IF(TODAY()&lt;DATE(VALUE(RIGHT(P156,4)),VALUE(MID(P156,4,2)),VALUE(LEFT(P156,2))),"计划实施",IF(Q156="","生效",IF(Q156="N/A","生效",IF(TODAY()&lt;DATE(VALUE(RIGHT(Q156,4)),VALUE(MID(Q156,4,2)),VALUE(LEFT(Q156,2))),"生效","已终止"))))))</f>
        <v/>
      </c>
      <c r="U156" s="341" t="inlineStr">
        <is>
          <t>工业和信息化部；国家市场监督管理总局；国家标准化管理委员会</t>
        </is>
      </c>
      <c r="V156" s="341" t="inlineStr">
        <is>
          <t>传统能源乘用车</t>
        </is>
      </c>
      <c r="W156" s="341" t="inlineStr">
        <is>
          <t>新建；既有</t>
        </is>
      </c>
      <c r="X156" s="341" t="inlineStr">
        <is>
          <t>能够燃用汽油或柴油燃料、最大设计总质量不超过3500kg的M1类乘用车。不包括仅燃用气体燃料或醇醚类燃料的车辆。按整备质量分组采用阶梯式限值，测试工况采用WLTC或中国工况。</t>
        </is>
      </c>
      <c r="Y156" s="341" t="inlineStr">
        <is>
          <t>N/A</t>
        </is>
      </c>
      <c r="Z156" s="341" t="inlineStr">
        <is>
          <t>N/A</t>
        </is>
      </c>
      <c r="AA156" s="341" t="inlineStr">
        <is>
          <t>企业</t>
        </is>
      </c>
      <c r="AB156" s="341" t="inlineStr">
        <is>
          <t>在中国境内生产和销售乘用车的汽车制造企业。</t>
        </is>
      </c>
      <c r="AC156" s="341" t="inlineStr">
        <is>
          <t>型式批准；生产；销售</t>
        </is>
      </c>
      <c r="AD156" s="341" t="inlineStr">
        <is>
          <t>乘用车型式批准和销售活动。新申请型式批准的车型自2026年1月1日起执行GB 19578-2024限值；已获型式批准的车型须在过渡期内达标。</t>
        </is>
      </c>
      <c r="AE156" s="341" t="inlineStr">
        <is>
          <t>按车重阶梯式</t>
        </is>
      </c>
      <c r="AF156" s="341" t="inlineStr">
        <is>
          <t>L/100km</t>
        </is>
      </c>
      <c r="AG156" s="341" t="inlineStr">
        <is>
          <t>按整备质量分组设定燃料消耗量限值，采用阶梯式限值评价体系。测试工况为WLTC或中国工况循环。以约1.5吨整备质量的自动挡车型为例，百公里油耗限值约7.74L/100km。</t>
        </is>
      </c>
      <c r="AH156" s="341" t="inlineStr">
        <is>
          <t>1）新申请型式批准的乘用车须满足GB 19578-2024规定的燃料消耗量限值方可上市销售；2）已获得型式批准的车型须在过渡期内达到新限值要求；3）不满足限值要求的车型不得生产和销售。</t>
        </is>
      </c>
      <c r="AI156" s="341" t="inlineStr">
        <is>
          <t>N/A</t>
        </is>
      </c>
      <c r="AJ156" s="341" t="inlineStr">
        <is>
          <t>N/A</t>
        </is>
      </c>
      <c r="AK156" s="341" t="inlineStr">
        <is>
          <t>政府机构开展的型式批准和一致性监督检查；企业能耗数据报告</t>
        </is>
      </c>
      <c r="AL156" s="341" t="inlineStr">
        <is>
          <t>工业和信息化部对车辆进行型式批准和一致性监督检查；汽车制造企业须按规定报送车辆燃料消耗量数据，接受节能监察。</t>
        </is>
      </c>
      <c r="AM156" s="341" t="inlineStr">
        <is>
          <t>合规命令；罚款；禁止生产和销售</t>
        </is>
      </c>
      <c r="AN156" s="341" t="inlineStr">
        <is>
          <t>对不符合燃料消耗量限值标准的车型，由工业和信息化部责令限期整改；未按要求整改的车型撤销型式批准，禁止生产和销售。</t>
        </is>
      </c>
      <c r="AO156" s="341" t="inlineStr">
        <is>
          <t>其他激励或支持</t>
        </is>
      </c>
      <c r="AP156" s="341" t="inlineStr">
        <is>
          <t>国家鼓励汽车制造企业研发和应用先进节能技术，降低车辆燃料消耗量，通过企业平均燃料消耗量（CAFC）核算体系引导行业持续提升能效。</t>
        </is>
      </c>
      <c r="AQ156" s="341" t="inlineStr">
        <is>
          <t>N/A</t>
        </is>
      </c>
      <c r="AR156" s="341" t="inlineStr">
        <is>
          <t>N/A</t>
        </is>
      </c>
      <c r="AS156" s="341" t="inlineStr">
        <is>
          <t>C29</t>
        </is>
      </c>
      <c r="AT156" s="341" t="inlineStr">
        <is>
          <t>CO2</t>
        </is>
      </c>
      <c r="AU156" s="341" t="inlineStr">
        <is>
          <t>正向</t>
        </is>
      </c>
      <c r="AV156" s="341" t="inlineStr">
        <is>
          <t>节能；污染防治</t>
        </is>
      </c>
      <c r="AW156" s="341" t="inlineStr">
        <is>
          <t>GB 19578-2024 乘用车燃料消耗量限值</t>
        </is>
      </c>
      <c r="AX156" s="341" t="inlineStr">
        <is>
          <t>https://openstd.samr.gov.cn/bzgk/std/newGbInfo?hcno=B9F662A5B1E5FA3AAC7914AECA3152DA</t>
        </is>
      </c>
      <c r="AY156" s="341" t="inlineStr">
        <is>
          <t>GB 19578-2021（旧版）：https://openstd.samr.gov.cn/bzgk/std/newGbInfo?hcno=2C4E76A2B4D0D6D9E05397BE0A0A5A8F</t>
        </is>
      </c>
      <c r="AZ156" s="341" t="inlineStr"/>
    </row>
    <row r="157">
      <c r="A157" s="341" t="inlineStr">
        <is>
          <t>CHNPRFFECI04S000</t>
        </is>
      </c>
      <c r="B157" s="341" t="inlineStr">
        <is>
          <t>工具</t>
        </is>
      </c>
      <c r="C157" s="341" t="inlineStr">
        <is>
          <t>绩效标准</t>
        </is>
      </c>
      <c r="D157" s="341" t="inlineStr">
        <is>
          <t>燃油经济性标准</t>
        </is>
      </c>
      <c r="E157" s="341" t="inlineStr">
        <is>
          <t>交通</t>
        </is>
      </c>
      <c r="F157" s="341" t="inlineStr">
        <is>
          <t>轻型商用车</t>
        </is>
      </c>
      <c r="G157" s="341" t="inlineStr">
        <is>
          <t>轻型商用车辆燃料消耗量限值</t>
        </is>
      </c>
      <c r="H157" s="341" t="inlineStr">
        <is>
          <t>Light-Duty Commercial Vehicle Fuel Consumption Limit</t>
        </is>
      </c>
      <c r="I157" s="341" t="inlineStr">
        <is>
          <t>N/A</t>
        </is>
      </c>
      <c r="J157"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7" s="341" t="inlineStr">
        <is>
          <t>能源效率</t>
        </is>
      </c>
      <c r="L157" s="341" t="inlineStr">
        <is>
          <t>直接</t>
        </is>
      </c>
      <c r="M157" s="341" t="inlineStr">
        <is>
          <t>国家</t>
        </is>
      </c>
      <c r="N157" s="341" t="inlineStr">
        <is>
          <t>N/A</t>
        </is>
      </c>
      <c r="O157" s="341" t="inlineStr">
        <is>
          <t>30/07/2007</t>
        </is>
      </c>
      <c r="P157" s="341" t="inlineStr">
        <is>
          <t>01/01/2009</t>
        </is>
      </c>
      <c r="Q157" s="341" t="inlineStr">
        <is>
          <t>N/A</t>
        </is>
      </c>
      <c r="R157" s="341" t="inlineStr">
        <is>
          <t>23/08/2024</t>
        </is>
      </c>
      <c r="S157" s="341" t="inlineStr">
        <is>
          <t>2024年8月23日发布GB 20997-2024替代GB 20997-2015，单车限值加严约10%，新增新能源车型纳入管理，引入企业平均管理模式，于2026年1月1日实施。</t>
        </is>
      </c>
      <c r="T157" s="341">
        <f>IF(P157="","生效",IF(P157="N/A","生效",IF(TODAY()&lt;DATE(VALUE(RIGHT(P157,4)),VALUE(MID(P157,4,2)),VALUE(LEFT(P157,2))),"计划实施",IF(Q157="","生效",IF(Q157="N/A","生效",IF(TODAY()&lt;DATE(VALUE(RIGHT(Q157,4)),VALUE(MID(Q157,4,2)),VALUE(LEFT(Q157,2))),"生效","已终止"))))))</f>
        <v/>
      </c>
      <c r="U157" s="341" t="inlineStr">
        <is>
          <t>工业和信息化部；国家市场监督管理总局；国家标准化管理委员会</t>
        </is>
      </c>
      <c r="V157" s="341" t="inlineStr">
        <is>
          <t>轻型商用车辆</t>
        </is>
      </c>
      <c r="W157" s="341" t="inlineStr">
        <is>
          <t>新建；既有</t>
        </is>
      </c>
      <c r="X157" s="341" t="inlineStr">
        <is>
          <t>能够燃用汽油或柴油燃料、最大设计总质量不超过3500kg的N1类（货车）和M2类（客车）商用车辆。2024版将适用范围扩大至纯电动、混合动力、燃料电池和甲醇等新能源商用车型。</t>
        </is>
      </c>
      <c r="Y157" s="341" t="inlineStr">
        <is>
          <t>N/A</t>
        </is>
      </c>
      <c r="Z157" s="341" t="inlineStr">
        <is>
          <t>N/A</t>
        </is>
      </c>
      <c r="AA157" s="341" t="inlineStr">
        <is>
          <t>企业</t>
        </is>
      </c>
      <c r="AB157" s="341" t="inlineStr">
        <is>
          <t>在中国境内生产和销售轻型商用车辆的汽车制造企业。</t>
        </is>
      </c>
      <c r="AC157" s="341" t="inlineStr">
        <is>
          <t>型式批准；生产；销售</t>
        </is>
      </c>
      <c r="AD157" s="341" t="inlineStr">
        <is>
          <t>轻型商用车辆的型式批准和销售活动。新申请型式批准的车型自2026年1月1日起执行GB 20997-2024限值；已获型式批准的车型须在过渡期内达标。</t>
        </is>
      </c>
      <c r="AE157" s="341" t="inlineStr">
        <is>
          <t>按车重阶梯式</t>
        </is>
      </c>
      <c r="AF157" s="341" t="inlineStr">
        <is>
          <t>L/100km</t>
        </is>
      </c>
      <c r="AG157" s="341" t="inlineStr">
        <is>
          <t>按车辆总质量和车型类别分组设定燃料消耗量限值，采用线性阶梯式限值体系。测试工况从NEDC循环切换为WLTC或中国工况。单车限值较三阶段（GB 20997-2015）加严10%。</t>
        </is>
      </c>
      <c r="AH157"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I157" s="341" t="inlineStr">
        <is>
          <t>N/A</t>
        </is>
      </c>
      <c r="AJ157" s="341" t="inlineStr">
        <is>
          <t>N/A</t>
        </is>
      </c>
      <c r="AK157" s="341" t="inlineStr">
        <is>
          <t>政府机构开展的型式批准和一致性监督检查；企业能耗数据报告</t>
        </is>
      </c>
      <c r="AL157" s="341" t="inlineStr">
        <is>
          <t>工业和信息化部对车辆进行型式批准和一致性监督检查；汽车制造企业须按规定报送车辆燃料消耗量数据和企业平均燃料消耗量核算报告。</t>
        </is>
      </c>
      <c r="AM157" s="341" t="inlineStr">
        <is>
          <t>合规命令；罚款；禁止生产和销售</t>
        </is>
      </c>
      <c r="AN157" s="341" t="inlineStr">
        <is>
          <t>对不符合燃料消耗量限值标准的车型，由工业和信息化部责令限期整改；未按要求整改的车型撤销型式批准，禁止生产和销售。</t>
        </is>
      </c>
      <c r="AO157" s="341" t="inlineStr">
        <is>
          <t>其他激励或支持</t>
        </is>
      </c>
      <c r="AP157" s="341" t="inlineStr">
        <is>
          <t>国家鼓励汽车制造企业研发和应用先进节能技术，通过企业平均燃料消耗量管理赋予企业合规灵活性，推动行业持续节能减排。</t>
        </is>
      </c>
      <c r="AQ157" s="341" t="inlineStr">
        <is>
          <t>N/A</t>
        </is>
      </c>
      <c r="AR157" s="341" t="inlineStr">
        <is>
          <t>N/A</t>
        </is>
      </c>
      <c r="AS157" s="341" t="inlineStr">
        <is>
          <t>C29</t>
        </is>
      </c>
      <c r="AT157" s="341" t="inlineStr">
        <is>
          <t>CO2</t>
        </is>
      </c>
      <c r="AU157" s="341" t="inlineStr">
        <is>
          <t>正向</t>
        </is>
      </c>
      <c r="AV157" s="341" t="inlineStr">
        <is>
          <t>节能；污染防治</t>
        </is>
      </c>
      <c r="AW157" s="341" t="inlineStr">
        <is>
          <t>GB 20997-2024 轻型商用车辆燃料消耗量限值及评价指标</t>
        </is>
      </c>
      <c r="AX157" s="341" t="inlineStr">
        <is>
          <t>https://openstd.samr.gov.cn/bzgk/std/newGbInfo?hcno=47E98BA6D15D541E9F00FDD0A738C291</t>
        </is>
      </c>
      <c r="AY157" s="341" t="inlineStr">
        <is>
          <t>GB 20997-2015（旧版）：https://openstd.samr.gov.cn/bzgk/std/newGbInfo?hcno=71F772D80F8CD3A7E05397BE0A0AB82A</t>
        </is>
      </c>
      <c r="AZ157" s="341" t="inlineStr"/>
    </row>
    <row r="158">
      <c r="A158" s="341" t="inlineStr">
        <is>
          <t>CHNPRFFECI05S000</t>
        </is>
      </c>
      <c r="B158" s="341" t="inlineStr">
        <is>
          <t>工具</t>
        </is>
      </c>
      <c r="C158" s="341" t="inlineStr">
        <is>
          <t>绩效标准</t>
        </is>
      </c>
      <c r="D158" s="341" t="inlineStr">
        <is>
          <t>燃油经济性标准</t>
        </is>
      </c>
      <c r="E158" s="341" t="inlineStr">
        <is>
          <t>交通</t>
        </is>
      </c>
      <c r="F158" s="341" t="inlineStr">
        <is>
          <t>重型商用车</t>
        </is>
      </c>
      <c r="G158" s="341" t="inlineStr">
        <is>
          <t>重型商用车辆燃料消耗量限值</t>
        </is>
      </c>
      <c r="H158" s="341" t="inlineStr">
        <is>
          <t>Heavy-Duty Commercial Vehicle Fuel Consumption Limit</t>
        </is>
      </c>
      <c r="I158" s="341" t="inlineStr">
        <is>
          <t>N/A</t>
        </is>
      </c>
      <c r="J158"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8" s="341" t="inlineStr">
        <is>
          <t>能源效率</t>
        </is>
      </c>
      <c r="L158" s="341" t="inlineStr">
        <is>
          <t>直接</t>
        </is>
      </c>
      <c r="M158" s="341" t="inlineStr">
        <is>
          <t>国家</t>
        </is>
      </c>
      <c r="N158" s="341" t="inlineStr">
        <is>
          <t>N/A</t>
        </is>
      </c>
      <c r="O158" s="341" t="inlineStr">
        <is>
          <t>01/02/2014</t>
        </is>
      </c>
      <c r="P158" s="341" t="inlineStr">
        <is>
          <t>01/07/2014</t>
        </is>
      </c>
      <c r="Q158" s="341" t="inlineStr">
        <is>
          <t>N/A</t>
        </is>
      </c>
      <c r="R158" s="341" t="inlineStr">
        <is>
          <t>29/09/2024</t>
        </is>
      </c>
      <c r="S158" s="341" t="inlineStr">
        <is>
          <t>2024年9月29日发布GB 30510-2024替代GB 30510-2018，限值降低约10%，于2025年7月1日实施（新车型）/2027年7月1日（已获证车型）。</t>
        </is>
      </c>
      <c r="T158" s="341">
        <f>IF(P158="","生效",IF(P158="N/A","生效",IF(TODAY()&lt;DATE(VALUE(RIGHT(P158,4)),VALUE(MID(P158,4,2)),VALUE(LEFT(P158,2))),"计划实施",IF(Q158="","生效",IF(Q158="N/A","生效",IF(TODAY()&lt;DATE(VALUE(RIGHT(Q158,4)),VALUE(MID(Q158,4,2)),VALUE(LEFT(Q158,2))),"生效","已终止"))))))</f>
        <v/>
      </c>
      <c r="U158" s="341" t="inlineStr">
        <is>
          <t>工业和信息化部；国家市场监督管理总局；国家标准化管理委员会</t>
        </is>
      </c>
      <c r="V158" s="341" t="inlineStr">
        <is>
          <t>重型商用车辆</t>
        </is>
      </c>
      <c r="W158" s="341" t="inlineStr">
        <is>
          <t>新建；既有</t>
        </is>
      </c>
      <c r="X158" s="341" t="inlineStr">
        <is>
          <t>能够燃用汽油或柴油燃料、最大设计总质量大于3500kg的商用车辆，包括货车、半挂牵引车、普通客车、自卸汽车和城市客车。不适用于专项作业车。</t>
        </is>
      </c>
      <c r="Y158" s="341" t="inlineStr">
        <is>
          <t>N/A</t>
        </is>
      </c>
      <c r="Z158" s="341" t="inlineStr">
        <is>
          <t>N/A</t>
        </is>
      </c>
      <c r="AA158" s="341" t="inlineStr">
        <is>
          <t>企业</t>
        </is>
      </c>
      <c r="AB158" s="341" t="inlineStr">
        <is>
          <t>在中国境内生产和销售重型商用车辆的汽车制造企业。</t>
        </is>
      </c>
      <c r="AC158" s="341" t="inlineStr">
        <is>
          <t>型式批准；生产；销售</t>
        </is>
      </c>
      <c r="AD158" s="341" t="inlineStr">
        <is>
          <t>重型商用车辆的型式批准和销售活动。新委托型式批准的车型自2025年7月1日起执行GB 30510-2024限值；已获型式批准的车型自2027年7月1日起执行。</t>
        </is>
      </c>
      <c r="AE158" s="341" t="inlineStr">
        <is>
          <t>按车重和车型</t>
        </is>
      </c>
      <c r="AF158" s="341" t="inlineStr">
        <is>
          <t>L/100km</t>
        </is>
      </c>
      <c r="AG158" s="341" t="inlineStr">
        <is>
          <t>按车辆总质量、车型类别和用途分组设定燃料消耗量限值，采用阶梯式限值体系。根据不同车型和总质量，2024版限值较2018版降低6%~13%。</t>
        </is>
      </c>
      <c r="AH158"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I158" s="341" t="inlineStr">
        <is>
          <t>N/A</t>
        </is>
      </c>
      <c r="AJ158" s="341" t="inlineStr">
        <is>
          <t>N/A</t>
        </is>
      </c>
      <c r="AK158" s="341" t="inlineStr">
        <is>
          <t>政府机构开展的型式批准和一致性监督检查；企业能耗数据报告</t>
        </is>
      </c>
      <c r="AL158" s="341" t="inlineStr">
        <is>
          <t>工业和信息化部对车辆进行型式批准和一致性监督检查；汽车制造企业须按规定报送车辆燃料消耗量数据，接受节能监察。</t>
        </is>
      </c>
      <c r="AM158" s="341" t="inlineStr">
        <is>
          <t>合规命令；罚款；禁止生产和销售</t>
        </is>
      </c>
      <c r="AN158" s="341" t="inlineStr">
        <is>
          <t>对不符合燃料消耗量限值标准的重型商用车型，由工业和信息化部责令限期整改；未按要求整改的车型撤销型式批准，禁止生产和销售。</t>
        </is>
      </c>
      <c r="AO158" s="341" t="inlineStr">
        <is>
          <t>其他激励或支持</t>
        </is>
      </c>
      <c r="AP158" s="341" t="inlineStr">
        <is>
          <t>国家鼓励汽车制造企业研发和应用先进节能技术，降低重型商用车辆燃料消耗量，推动商用车节能技术升级。</t>
        </is>
      </c>
      <c r="AQ158" s="341" t="inlineStr">
        <is>
          <t>N/A</t>
        </is>
      </c>
      <c r="AR158" s="341" t="inlineStr">
        <is>
          <t>N/A</t>
        </is>
      </c>
      <c r="AS158" s="341" t="inlineStr">
        <is>
          <t>C29</t>
        </is>
      </c>
      <c r="AT158" s="341" t="inlineStr">
        <is>
          <t>CO2</t>
        </is>
      </c>
      <c r="AU158" s="341" t="inlineStr">
        <is>
          <t>正向</t>
        </is>
      </c>
      <c r="AV158" s="341" t="inlineStr">
        <is>
          <t>节能；污染防治</t>
        </is>
      </c>
      <c r="AW158" s="341" t="inlineStr">
        <is>
          <t>GB 30510-2024 重型商用车辆燃料消耗量限值</t>
        </is>
      </c>
      <c r="AX158" s="341" t="inlineStr">
        <is>
          <t>https://openstd.samr.gov.cn/bzgk/std/newGbInfo?hcno=35651BC9CFA4506EB75F140E59A4F73D</t>
        </is>
      </c>
      <c r="AY158" s="341" t="inlineStr">
        <is>
          <t>GB 30510-2018（旧版）：https://openstd.samr.gov.cn/bzgk/std/newGbInfo?hcno=0FECA2934941502E161716E7F2502E76</t>
        </is>
      </c>
      <c r="AZ158" s="341" t="inlineStr"/>
    </row>
    <row r="159">
      <c r="A159" s="341" t="inlineStr">
        <is>
          <t>CHNPRFMHSI01S000</t>
        </is>
      </c>
      <c r="B159" s="341" t="inlineStr">
        <is>
          <t>工具</t>
        </is>
      </c>
      <c r="C159" s="341" t="inlineStr">
        <is>
          <t>绩效标准</t>
        </is>
      </c>
      <c r="D159" s="341" t="inlineStr">
        <is>
          <t>空间供暖最低能源绩效标准（MEPS）</t>
        </is>
      </c>
      <c r="E159" s="341" t="inlineStr">
        <is>
          <t>建筑；工业</t>
        </is>
      </c>
      <c r="F159" s="341" t="inlineStr">
        <is>
          <t>建筑供暖；工业供热</t>
        </is>
      </c>
      <c r="G159" s="341" t="inlineStr">
        <is>
          <t>热泵和冷水机组能效限定值及能效等级</t>
        </is>
      </c>
      <c r="H159" s="341" t="inlineStr">
        <is>
          <t>Minimum Allowable Values of the Energy Efficiency and Energy Efficiency Grades for Heat Pumps and Water Chillers</t>
        </is>
      </c>
      <c r="I159" s="341" t="inlineStr">
        <is>
          <t>N/A</t>
        </is>
      </c>
      <c r="J159"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59" s="341" t="inlineStr">
        <is>
          <t>能源效率</t>
        </is>
      </c>
      <c r="L159" s="341" t="inlineStr">
        <is>
          <t>直接</t>
        </is>
      </c>
      <c r="M159" s="341" t="inlineStr">
        <is>
          <t>国家</t>
        </is>
      </c>
      <c r="N159" s="341" t="inlineStr">
        <is>
          <t>N/A</t>
        </is>
      </c>
      <c r="O159" s="341" t="inlineStr">
        <is>
          <t>01/03/2005</t>
        </is>
      </c>
      <c r="P159" s="341" t="inlineStr">
        <is>
          <t>01/01/2006</t>
        </is>
      </c>
      <c r="Q159" s="341" t="inlineStr">
        <is>
          <t>N/A</t>
        </is>
      </c>
      <c r="R159" s="341" t="inlineStr">
        <is>
          <t>29/04/2024</t>
        </is>
      </c>
      <c r="S159"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T159" s="341">
        <f>IF(P159="","生效",IF(P159="N/A","生效",IF(TODAY()&lt;DATE(VALUE(RIGHT(P159,4)),VALUE(MID(P159,4,2)),VALUE(LEFT(P159,2))),"计划实施",IF(Q159="","生效",IF(Q159="N/A","生效",IF(TODAY()&lt;DATE(VALUE(RIGHT(Q159,4)),VALUE(MID(Q159,4,2)),VALUE(LEFT(Q159,2))),"生效","已终止"))))))</f>
        <v/>
      </c>
      <c r="U159" s="341" t="inlineStr">
        <is>
          <t>国家市场监督管理总局；国家标准化管理委员会</t>
        </is>
      </c>
      <c r="V159" s="341" t="inlineStr">
        <is>
          <t>热泵和冷水机组</t>
        </is>
      </c>
      <c r="W159" s="341" t="inlineStr">
        <is>
          <t>新建</t>
        </is>
      </c>
      <c r="X159" s="341" t="inlineStr">
        <is>
          <t>蒸气压缩循环冷水（热泵）机组、低环境温度空气源热泵（冷水）机组、水（地）源热泵机组、溴化锂吸收式冷（温）水机组、蒸气压缩循环高温热泵机组、间接蒸发冷却冷水机组和一体式冷水（热泵）机组。</t>
        </is>
      </c>
      <c r="Y159" s="341" t="inlineStr">
        <is>
          <t>N/A</t>
        </is>
      </c>
      <c r="Z159" s="341" t="inlineStr">
        <is>
          <t>N/A</t>
        </is>
      </c>
      <c r="AA159" s="341" t="inlineStr">
        <is>
          <t>企业</t>
        </is>
      </c>
      <c r="AB159" s="341" t="inlineStr">
        <is>
          <t>在中国境内生产、进口或销售热泵和冷水机组的生产企业和进口商。</t>
        </is>
      </c>
      <c r="AC159" s="341" t="inlineStr">
        <is>
          <t>生产；销售；进口</t>
        </is>
      </c>
      <c r="AD159" s="341" t="inlineStr">
        <is>
          <t>热泵和冷水机组的生产、进口和销售活动。产品须达到标准规定的能效限定值方可进入市场。</t>
        </is>
      </c>
      <c r="AE159" s="341" t="inlineStr">
        <is>
          <t>3级</t>
        </is>
      </c>
      <c r="AF159" s="341" t="inlineStr">
        <is>
          <t>能效等级</t>
        </is>
      </c>
      <c r="AG159" s="341" t="inlineStr">
        <is>
          <t>能效等级分为3级（1级最高），3级为能效限定值即市场准入最低要求。采用双通道评价指标（IPLV或COPc）进行能效等级判定。按机组类型、冷却方式和名义制冷量/制热量分别规定COP、IPLV等能效指标限值。</t>
        </is>
      </c>
      <c r="AH159" s="341" t="inlineStr">
        <is>
          <t>1）热泵和冷水机组须达到标准规定的能效限定值（3级）方可生产、进口或销售；2）产品须标注能效等级标识；3）能效等级分为1级（最高）、2级、3级，3级为市场准入最低要求。</t>
        </is>
      </c>
      <c r="AI159" s="341" t="inlineStr">
        <is>
          <t>N/A</t>
        </is>
      </c>
      <c r="AJ159" s="341" t="inlineStr">
        <is>
          <t>N/A</t>
        </is>
      </c>
      <c r="AK159" s="341" t="inlineStr">
        <is>
          <t>政府机构开展的监督检查</t>
        </is>
      </c>
      <c r="AL159" s="341" t="inlineStr">
        <is>
          <t>市场监督管理部门对热泵和冷水机组产品进行能效标识监督检查和产品质量监督抽查。</t>
        </is>
      </c>
      <c r="AM159" s="341" t="inlineStr">
        <is>
          <t>合规命令；罚款</t>
        </is>
      </c>
      <c r="AN159" s="341" t="inlineStr">
        <is>
          <t>对生产、进口、销售不符合强制性能效标准的热泵和冷水机组产品的，由市场监督管理部门责令停止生产、进口、销售，没收违法所得，并处罚款；情节严重的，吊销营业执照。</t>
        </is>
      </c>
      <c r="AO159" s="341" t="inlineStr">
        <is>
          <t>其他激励或支持</t>
        </is>
      </c>
      <c r="AP159" s="341" t="inlineStr">
        <is>
          <t>国家鼓励生产和使用1级、2级高效热泵和冷水机组；通过节能产品认证和绿色建筑推广引导高效暖通设备市场应用。</t>
        </is>
      </c>
      <c r="AQ159" s="341" t="inlineStr">
        <is>
          <t>N/A</t>
        </is>
      </c>
      <c r="AR159" s="341" t="inlineStr">
        <is>
          <t>N/A</t>
        </is>
      </c>
      <c r="AS159" s="341" t="inlineStr">
        <is>
          <t>C27</t>
        </is>
      </c>
      <c r="AT159" s="341" t="inlineStr">
        <is>
          <t>CO2</t>
        </is>
      </c>
      <c r="AU159" s="341" t="inlineStr">
        <is>
          <t>正向</t>
        </is>
      </c>
      <c r="AV159" s="341" t="inlineStr">
        <is>
          <t>节能；产业发展</t>
        </is>
      </c>
      <c r="AW159" s="341" t="inlineStr">
        <is>
          <t>GB 19577-2024 热泵和冷水机组能效限定值及能效等级</t>
        </is>
      </c>
      <c r="AX159" s="341" t="inlineStr">
        <is>
          <t>https://openstd.samr.gov.cn/bzgk/std/newGbInfo?hcno=C59327F9E5A3194DAD64C39B883C36C2</t>
        </is>
      </c>
      <c r="AY159" s="341" t="inlineStr">
        <is>
          <t>GB 30721-2014水（地）源热泵（旧版，已废止）：https://openstd.samr.gov.cn/bzgk/std/newGbInfo?hcno=0AFB9BECCAF3446797B9201068DCF363</t>
        </is>
      </c>
      <c r="AZ159" s="341" t="inlineStr"/>
    </row>
    <row r="160">
      <c r="A160" s="341" t="inlineStr">
        <is>
          <t>CHNPRFMCSI01S000</t>
        </is>
      </c>
      <c r="B160" s="341" t="inlineStr">
        <is>
          <t>工具</t>
        </is>
      </c>
      <c r="C160" s="341" t="inlineStr">
        <is>
          <t>绩效标准</t>
        </is>
      </c>
      <c r="D160" s="341" t="inlineStr">
        <is>
          <t>空间制冷最低能源绩效标准（MEPS）</t>
        </is>
      </c>
      <c r="E160" s="341" t="inlineStr">
        <is>
          <t>建筑</t>
        </is>
      </c>
      <c r="F160" s="341" t="inlineStr">
        <is>
          <t>建筑空调；建筑供暖</t>
        </is>
      </c>
      <c r="G160" s="341" t="inlineStr">
        <is>
          <t>多联式空调（热泵）机组能效限定值及能效等级</t>
        </is>
      </c>
      <c r="H160" s="341" t="inlineStr">
        <is>
          <t>Minimum Allowable Values of the Energy Efficiency and Energy Efficiency Grades for Multi-Connected Air-Condition (Heat Pump) Units</t>
        </is>
      </c>
      <c r="I160" s="341" t="inlineStr">
        <is>
          <t>N/A</t>
        </is>
      </c>
      <c r="J160"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0" s="341" t="inlineStr">
        <is>
          <t>能源效率</t>
        </is>
      </c>
      <c r="L160" s="341" t="inlineStr">
        <is>
          <t>直接</t>
        </is>
      </c>
      <c r="M160" s="341" t="inlineStr">
        <is>
          <t>国家</t>
        </is>
      </c>
      <c r="N160" s="341" t="inlineStr">
        <is>
          <t>N/A</t>
        </is>
      </c>
      <c r="O160" s="341" t="inlineStr">
        <is>
          <t>01/06/2008</t>
        </is>
      </c>
      <c r="P160" s="341" t="inlineStr">
        <is>
          <t>01/01/2009</t>
        </is>
      </c>
      <c r="Q160" s="341" t="inlineStr">
        <is>
          <t>N/A</t>
        </is>
      </c>
      <c r="R160" s="341" t="inlineStr">
        <is>
          <t>11/10/2021</t>
        </is>
      </c>
      <c r="S160" s="341" t="inlineStr">
        <is>
          <t>2021年10月11日发布GB 21454-2021替代GB 21454-2008，扩大适用范围至水冷式多联机和低环境温度空气源多联式热泵，引入APF评价指标，能效准入门槛提升40%以上。</t>
        </is>
      </c>
      <c r="T160" s="341">
        <f>IF(P160="","生效",IF(P160="N/A","生效",IF(TODAY()&lt;DATE(VALUE(RIGHT(P160,4)),VALUE(MID(P160,4,2)),VALUE(LEFT(P160,2))),"计划实施",IF(Q160="","生效",IF(Q160="N/A","生效",IF(TODAY()&lt;DATE(VALUE(RIGHT(Q160,4)),VALUE(MID(Q160,4,2)),VALUE(LEFT(Q160,2))),"生效","已终止"))))))</f>
        <v/>
      </c>
      <c r="U160" s="341" t="inlineStr">
        <is>
          <t>国家市场监督管理总局；国家标准化管理委员会</t>
        </is>
      </c>
      <c r="V160" s="341" t="inlineStr">
        <is>
          <t>多联式空调（热泵）机组</t>
        </is>
      </c>
      <c r="W160" s="341" t="inlineStr">
        <is>
          <t>新建</t>
        </is>
      </c>
      <c r="X160" s="341" t="inlineStr">
        <is>
          <t>采用风冷式或水冷式冷凝器的多联式空调（热泵）机组，以及低环境温度空气源多联式热泵（空调）机组。不适用于单元式空气调节机和风管送风式空调机组。</t>
        </is>
      </c>
      <c r="Y160" s="341" t="inlineStr">
        <is>
          <t>N/A</t>
        </is>
      </c>
      <c r="Z160" s="341" t="inlineStr">
        <is>
          <t>N/A</t>
        </is>
      </c>
      <c r="AA160" s="341" t="inlineStr">
        <is>
          <t>企业</t>
        </is>
      </c>
      <c r="AB160" s="341" t="inlineStr">
        <is>
          <t>在中国境内生产、进口或销售多联式空调（热泵）机组的生产企业和进口商。</t>
        </is>
      </c>
      <c r="AC160" s="341" t="inlineStr">
        <is>
          <t>生产；销售；进口</t>
        </is>
      </c>
      <c r="AD160" s="341" t="inlineStr">
        <is>
          <t>多联式空调（热泵）机组的生产、进口和销售活动。产品须达到标准规定的能效限定值方可进入市场。</t>
        </is>
      </c>
      <c r="AE160" s="341" t="inlineStr">
        <is>
          <t>3级</t>
        </is>
      </c>
      <c r="AF160" s="341" t="inlineStr">
        <is>
          <t>能效等级</t>
        </is>
      </c>
      <c r="AG160" s="341" t="inlineStr">
        <is>
          <t>以全年能源消耗效率（APF）为评价指标，能效等级分为3级（1级最高）。风冷式热泵型多联机APF：CC≤14kW 3级≥3.60，14kW&lt;CC≤28kW 3级≥3.50，28kW&lt;CC≤50kW 3级≥3.40，50kW&lt;CC≤68kW 3级≥3.30，CC&gt;68kW 3级≥3.20。</t>
        </is>
      </c>
      <c r="AH160" s="341" t="inlineStr">
        <is>
          <t>1）多联式空调（热泵）机组须达到标准规定的能效限定值（3级）方可生产、进口或销售；2）产品须标注能效等级标识；3）能效等级分为1级（最高）、2级、3级，3级为市场准入最低要求。</t>
        </is>
      </c>
      <c r="AI160" s="341" t="inlineStr">
        <is>
          <t>N/A</t>
        </is>
      </c>
      <c r="AJ160" s="341" t="inlineStr">
        <is>
          <t>N/A</t>
        </is>
      </c>
      <c r="AK160" s="341" t="inlineStr">
        <is>
          <t>政府机构开展的监督检查</t>
        </is>
      </c>
      <c r="AL160" s="341" t="inlineStr">
        <is>
          <t>市场监督管理部门对多联式空调（热泵）机组产品进行能效标识监督检查和产品质量监督抽查。</t>
        </is>
      </c>
      <c r="AM160" s="341" t="inlineStr">
        <is>
          <t>合规命令；罚款</t>
        </is>
      </c>
      <c r="AN160" s="341" t="inlineStr">
        <is>
          <t>对生产、进口、销售不符合强制性能效标准的多联式空调（热泵）机组产品的，由市场监督管理部门责令停止生产、进口、销售，没收违法所得，并处罚款；情节严重的，吊销营业执照。</t>
        </is>
      </c>
      <c r="AO160" s="341" t="inlineStr">
        <is>
          <t>其他激励或支持</t>
        </is>
      </c>
      <c r="AP160" s="341" t="inlineStr">
        <is>
          <t>国家鼓励生产和使用1级、2级高效多联式空调（热泵）机组；通过节能产品认证和绿色建筑推广引导高效空调产品市场应用。</t>
        </is>
      </c>
      <c r="AQ160" s="341" t="inlineStr">
        <is>
          <t>N/A</t>
        </is>
      </c>
      <c r="AR160" s="341" t="inlineStr">
        <is>
          <t>N/A</t>
        </is>
      </c>
      <c r="AS160" s="341" t="inlineStr">
        <is>
          <t>C27</t>
        </is>
      </c>
      <c r="AT160" s="341" t="inlineStr">
        <is>
          <t>CO2</t>
        </is>
      </c>
      <c r="AU160" s="341" t="inlineStr">
        <is>
          <t>正向</t>
        </is>
      </c>
      <c r="AV160" s="341" t="inlineStr">
        <is>
          <t>节能；产业发展</t>
        </is>
      </c>
      <c r="AW160" s="341" t="inlineStr">
        <is>
          <t>GB 21454-2021 多联式空调（热泵）机组能效限定值及能效等级</t>
        </is>
      </c>
      <c r="AX160" s="341" t="inlineStr">
        <is>
          <t>https://openstd.samr.gov.cn/bzgk/std/newGbInfo?hcno=32791D15944EA9E65C8E97FF2FC2039A</t>
        </is>
      </c>
      <c r="AY160" s="341" t="inlineStr">
        <is>
          <t>GB 21454-2008（旧版）：https://openstd.samr.gov.cn/bzgk/std/newGbInfo?hcno=1113031B4489140189D98B75C733F70D</t>
        </is>
      </c>
      <c r="AZ160" s="341" t="inlineStr"/>
    </row>
    <row r="161">
      <c r="A161" s="341" t="inlineStr">
        <is>
          <t>CHNPRFMCSI02S000</t>
        </is>
      </c>
      <c r="B161" s="341" t="inlineStr">
        <is>
          <t>工具</t>
        </is>
      </c>
      <c r="C161" s="341" t="inlineStr">
        <is>
          <t>绩效标准</t>
        </is>
      </c>
      <c r="D161" s="341" t="inlineStr">
        <is>
          <t>空间制冷最低能源绩效标准（MEPS）</t>
        </is>
      </c>
      <c r="E161" s="341" t="inlineStr">
        <is>
          <t>建筑</t>
        </is>
      </c>
      <c r="F161" s="341" t="inlineStr">
        <is>
          <t>建筑空调</t>
        </is>
      </c>
      <c r="G161" s="341" t="inlineStr">
        <is>
          <t>房间空气调节器能效限定值及能效等级</t>
        </is>
      </c>
      <c r="H161" s="341" t="inlineStr">
        <is>
          <t>Minimum Allowable Values of the Energy Efficiency and Energy Efficiency Grades for Room Air Conditioners</t>
        </is>
      </c>
      <c r="I161" s="341" t="inlineStr">
        <is>
          <t>N/A</t>
        </is>
      </c>
      <c r="J161"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1" s="341" t="inlineStr">
        <is>
          <t>能源效率</t>
        </is>
      </c>
      <c r="L161" s="341" t="inlineStr">
        <is>
          <t>直接</t>
        </is>
      </c>
      <c r="M161" s="341" t="inlineStr">
        <is>
          <t>国家</t>
        </is>
      </c>
      <c r="N161" s="341" t="inlineStr">
        <is>
          <t>N/A</t>
        </is>
      </c>
      <c r="O161" s="341" t="inlineStr">
        <is>
          <t>01/06/2004</t>
        </is>
      </c>
      <c r="P161" s="341" t="inlineStr">
        <is>
          <t>01/03/2005</t>
        </is>
      </c>
      <c r="Q161" s="341" t="inlineStr">
        <is>
          <t>N/A</t>
        </is>
      </c>
      <c r="R161" s="341" t="inlineStr">
        <is>
          <t>31/12/2019</t>
        </is>
      </c>
      <c r="S161" s="341" t="inlineStr">
        <is>
          <t>2019年12月31日发布GB 21455-2019替代GB 12021.3-2010和GB 21455-2013，合并定速和变频空调器能效标准，统一采用APF评价指标，能效门槛大幅提升。</t>
        </is>
      </c>
      <c r="T161" s="341">
        <f>IF(P161="","生效",IF(P161="N/A","生效",IF(TODAY()&lt;DATE(VALUE(RIGHT(P161,4)),VALUE(MID(P161,4,2)),VALUE(LEFT(P161,2))),"计划实施",IF(Q161="","生效",IF(Q161="N/A","生效",IF(TODAY()&lt;DATE(VALUE(RIGHT(Q161,4)),VALUE(MID(Q161,4,2)),VALUE(LEFT(Q161,2))),"生效","已终止"))))))</f>
        <v/>
      </c>
      <c r="U161" s="341" t="inlineStr">
        <is>
          <t>国家市场监督管理总局；国家标准化管理委员会</t>
        </is>
      </c>
      <c r="V161" s="341" t="inlineStr">
        <is>
          <t>房间空气调节器</t>
        </is>
      </c>
      <c r="W161" s="341" t="inlineStr">
        <is>
          <t>新建</t>
        </is>
      </c>
      <c r="X161"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Y161" s="341" t="inlineStr">
        <is>
          <t>N/A</t>
        </is>
      </c>
      <c r="Z161" s="341" t="inlineStr">
        <is>
          <t>N/A</t>
        </is>
      </c>
      <c r="AA161" s="341" t="inlineStr">
        <is>
          <t>企业</t>
        </is>
      </c>
      <c r="AB161" s="341" t="inlineStr">
        <is>
          <t>在中国境内生产、进口或销售房间空气调节器的生产企业和进口商。</t>
        </is>
      </c>
      <c r="AC161" s="341" t="inlineStr">
        <is>
          <t>生产；销售；进口</t>
        </is>
      </c>
      <c r="AD161" s="341" t="inlineStr">
        <is>
          <t>房间空气调节器的生产、进口和销售活动。产品须达到标准规定的能效限定值方可进入市场。</t>
        </is>
      </c>
      <c r="AE161" s="341" t="inlineStr">
        <is>
          <t>3级</t>
        </is>
      </c>
      <c r="AF161" s="341" t="inlineStr">
        <is>
          <t>能效等级</t>
        </is>
      </c>
      <c r="AG161" s="341" t="inlineStr">
        <is>
          <t>以全年能源消耗效率（APF）为评价指标，能效等级分为3级（1级最高），3级为能效限定值即市场准入最低要求。额定制冷量≤4500W的分体式房间空调器3级APF≥3.00；4500W&lt;CC≤7100W 3级APF≥2.90；7100W&lt;CC≤14000W 3级APF≥2.80。</t>
        </is>
      </c>
      <c r="AH161" s="341" t="inlineStr">
        <is>
          <t>1）房间空气调节器须达到标准规定的能效限定值（3级）方可生产、进口或销售；2）产品须标注能效等级标识；3）能效等级分为1级（最高）、2级、3级，3级为市场准入最低要求。</t>
        </is>
      </c>
      <c r="AI161" s="341" t="inlineStr">
        <is>
          <t>N/A</t>
        </is>
      </c>
      <c r="AJ161" s="341" t="inlineStr">
        <is>
          <t>N/A</t>
        </is>
      </c>
      <c r="AK161" s="341" t="inlineStr">
        <is>
          <t>政府机构开展的监督检查</t>
        </is>
      </c>
      <c r="AL161" s="341" t="inlineStr">
        <is>
          <t>市场监督管理部门对房间空气调节器产品进行能效标识监督检查和产品质量监督抽查。</t>
        </is>
      </c>
      <c r="AM161" s="341" t="inlineStr">
        <is>
          <t>合规命令；罚款</t>
        </is>
      </c>
      <c r="AN161" s="341" t="inlineStr">
        <is>
          <t>对生产、进口、销售不符合强制性能效标准的房间空气调节器产品的，由市场监督管理部门责令停止生产、进口、销售，没收违法所得，并处罚款；情节严重的，吊销营业执照。</t>
        </is>
      </c>
      <c r="AO161" s="341" t="inlineStr">
        <is>
          <t>其他激励或支持</t>
        </is>
      </c>
      <c r="AP161" s="341" t="inlineStr">
        <is>
          <t>国家鼓励生产和使用1级、2级高效房间空气调节器；通过节能产品认证和节能惠民补贴推广高效空调产品。</t>
        </is>
      </c>
      <c r="AQ161" s="341" t="inlineStr">
        <is>
          <t>N/A</t>
        </is>
      </c>
      <c r="AR161" s="341" t="inlineStr">
        <is>
          <t>N/A</t>
        </is>
      </c>
      <c r="AS161" s="341" t="inlineStr">
        <is>
          <t>C27</t>
        </is>
      </c>
      <c r="AT161" s="341" t="inlineStr">
        <is>
          <t>CO2</t>
        </is>
      </c>
      <c r="AU161" s="341" t="inlineStr">
        <is>
          <t>正向</t>
        </is>
      </c>
      <c r="AV161" s="341" t="inlineStr">
        <is>
          <t>节能；产业发展</t>
        </is>
      </c>
      <c r="AW161" s="341" t="inlineStr">
        <is>
          <t>GB 21455-2019 房间空气调节器能效限定值及能效等级</t>
        </is>
      </c>
      <c r="AX161" s="341" t="inlineStr">
        <is>
          <t>https://openstd.samr.gov.cn/bzgk/std/newGbInfo?hcno=BC04CDC71AD8C36B62C0FF4AE58F633C</t>
        </is>
      </c>
      <c r="AY161" s="341" t="inlineStr">
        <is>
          <t>GB 12021.3-2010（旧版）：https://openstd.samr.gov.cn/bzgk/std/newGbInfo?hcno=CCCF01CC64E2B23D8573C5BA945C672D；GB 21455-2013（旧版）：https://openstd.samr.gov.cn/bzgk/std/newGbInfo?hcno=3A8FF0FAFE08A1920B7F3D41E5A9E5D9</t>
        </is>
      </c>
      <c r="AZ161" s="341" t="inlineStr"/>
    </row>
    <row r="162">
      <c r="A162" s="341" t="inlineStr">
        <is>
          <t>CHNPRFMCSI03S000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风管送风式空调机组能效限定值及能效等级</t>
        </is>
      </c>
      <c r="H162" s="341" t="inlineStr">
        <is>
          <t>Minimum Allowable Values of Energy Efficiency and Energy Efficiency Grades for Ducted Air Conditioners</t>
        </is>
      </c>
      <c r="I162" s="341" t="inlineStr">
        <is>
          <t>N/A</t>
        </is>
      </c>
      <c r="J162"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2" s="341" t="inlineStr">
        <is>
          <t>能源效率</t>
        </is>
      </c>
      <c r="L162" s="341" t="inlineStr">
        <is>
          <t>直接</t>
        </is>
      </c>
      <c r="M162" s="341" t="inlineStr">
        <is>
          <t>国家</t>
        </is>
      </c>
      <c r="N162" s="341" t="inlineStr">
        <is>
          <t>N/A</t>
        </is>
      </c>
      <c r="O162" s="341" t="inlineStr">
        <is>
          <t>04/04/2019</t>
        </is>
      </c>
      <c r="P162" s="341" t="inlineStr">
        <is>
          <t>01/11/2020</t>
        </is>
      </c>
      <c r="Q162" s="341" t="inlineStr">
        <is>
          <t>N/A</t>
        </is>
      </c>
      <c r="R162" s="341" t="inlineStr">
        <is>
          <t>N/A</t>
        </is>
      </c>
      <c r="S162" s="341" t="inlineStr">
        <is>
          <t>N/A</t>
        </is>
      </c>
      <c r="T162" s="341">
        <f>IF(P162="","生效",IF(P162="N/A","生效",IF(TODAY()&lt;DATE(VALUE(RIGHT(P162,4)),VALUE(MID(P162,4,2)),VALUE(LEFT(P162,2))),"计划实施",IF(Q162="","生效",IF(Q162="N/A","生效",IF(TODAY()&lt;DATE(VALUE(RIGHT(Q162,4)),VALUE(MID(Q162,4,2)),VALUE(LEFT(Q162,2))),"生效","已终止"))))))</f>
        <v/>
      </c>
      <c r="U162" s="341" t="inlineStr">
        <is>
          <t>国家市场监督管理总局；国家标准化管理委员会</t>
        </is>
      </c>
      <c r="V162" s="341" t="inlineStr">
        <is>
          <t>风管送风式空调机组</t>
        </is>
      </c>
      <c r="W162" s="341" t="inlineStr">
        <is>
          <t>新建</t>
        </is>
      </c>
      <c r="X162" s="341" t="inlineStr">
        <is>
          <t>采用电机驱动压缩机、室内机静压大于0 Pa（表压力）的风管送风式空调（热泵）机组和直接蒸发式全新风空气处理机组。</t>
        </is>
      </c>
      <c r="Y162" s="341" t="inlineStr">
        <is>
          <t>N/A</t>
        </is>
      </c>
      <c r="Z162" s="341" t="inlineStr">
        <is>
          <t>N/A</t>
        </is>
      </c>
      <c r="AA162" s="341" t="inlineStr">
        <is>
          <t>企业</t>
        </is>
      </c>
      <c r="AB162" s="341" t="inlineStr">
        <is>
          <t>在中国境内生产、进口或销售风管送风式空调机组的生产企业和进口商。</t>
        </is>
      </c>
      <c r="AC162" s="341" t="inlineStr">
        <is>
          <t>生产；销售；进口</t>
        </is>
      </c>
      <c r="AD162" s="341" t="inlineStr">
        <is>
          <t>风管送风式空调机组的生产、进口和销售活动。产品须达到标准规定的能效限定值方可进入市场。</t>
        </is>
      </c>
      <c r="AE162" s="341" t="inlineStr">
        <is>
          <t>3级</t>
        </is>
      </c>
      <c r="AF162" s="341" t="inlineStr">
        <is>
          <t>能效等级</t>
        </is>
      </c>
      <c r="AG162" s="341" t="inlineStr">
        <is>
          <t>能效等级分为3级（1级最高），3级为能效限定值即市场准入最低要求。按机组类型（风冷式/水冷式、单冷型/热泵型）和名义制冷量分别规定APF、EER、COP等能效指标限值。</t>
        </is>
      </c>
      <c r="AH162" s="341" t="inlineStr">
        <is>
          <t>1）风管送风式空调机组须达到标准规定的能效限定值（3级）方可生产、进口或销售；2）产品须标注能效等级标识；3）能效等级分为1级（最高）、2级、3级，3级为市场准入最低要求。</t>
        </is>
      </c>
      <c r="AI162" s="341" t="inlineStr">
        <is>
          <t>N/A</t>
        </is>
      </c>
      <c r="AJ162" s="341" t="inlineStr">
        <is>
          <t>N/A</t>
        </is>
      </c>
      <c r="AK162" s="341" t="inlineStr">
        <is>
          <t>政府机构开展的监督检查</t>
        </is>
      </c>
      <c r="AL162" s="341" t="inlineStr">
        <is>
          <t>市场监督管理部门对风管送风式空调机组产品进行能效标识监督检查和产品质量监督抽查。</t>
        </is>
      </c>
      <c r="AM162" s="341" t="inlineStr">
        <is>
          <t>合规命令；罚款</t>
        </is>
      </c>
      <c r="AN162" s="341" t="inlineStr">
        <is>
          <t>对生产、进口、销售不符合强制性能效标准的风管送风式空调机组产品的，由市场监督管理部门责令停止生产、进口、销售，没收违法所得，并处罚款；情节严重的，吊销营业执照。</t>
        </is>
      </c>
      <c r="AO162" s="341" t="inlineStr">
        <is>
          <t>其他激励或支持</t>
        </is>
      </c>
      <c r="AP162" s="341" t="inlineStr">
        <is>
          <t>国家鼓励生产和使用1级、2级高效风管送风式空调机组；通过节能产品认证引导高效空调产品市场推广。</t>
        </is>
      </c>
      <c r="AQ162" s="341" t="inlineStr">
        <is>
          <t>N/A</t>
        </is>
      </c>
      <c r="AR162" s="341" t="inlineStr">
        <is>
          <t>N/A</t>
        </is>
      </c>
      <c r="AS162" s="341" t="inlineStr">
        <is>
          <t>C27</t>
        </is>
      </c>
      <c r="AT162" s="341" t="inlineStr">
        <is>
          <t>CO2</t>
        </is>
      </c>
      <c r="AU162" s="341" t="inlineStr">
        <is>
          <t>正向</t>
        </is>
      </c>
      <c r="AV162" s="341" t="inlineStr">
        <is>
          <t>节能；产业发展</t>
        </is>
      </c>
      <c r="AW162" s="341" t="inlineStr">
        <is>
          <t>GB 37479-2019 风管送风式空调机组能效限定值及能效等级</t>
        </is>
      </c>
      <c r="AX162" s="341" t="inlineStr">
        <is>
          <t>https://openstd.samr.gov.cn/bzgk/std/newGbInfo?hcno=40B53B45E279F71D82D19417CAF123EE</t>
        </is>
      </c>
      <c r="AY162" s="341" t="inlineStr">
        <is>
          <t>N/A</t>
        </is>
      </c>
      <c r="AZ162" s="341" t="inlineStr"/>
    </row>
    <row r="163">
      <c r="A163" s="341" t="inlineStr">
        <is>
          <t>CHNPRFMCSI04S000</t>
        </is>
      </c>
      <c r="B163" s="341" t="inlineStr">
        <is>
          <t>工具</t>
        </is>
      </c>
      <c r="C163" s="341" t="inlineStr">
        <is>
          <t>绩效标准</t>
        </is>
      </c>
      <c r="D163" s="341" t="inlineStr">
        <is>
          <t>空间制冷最低能源绩效标准（MEPS）</t>
        </is>
      </c>
      <c r="E163" s="341" t="inlineStr">
        <is>
          <t>建筑</t>
        </is>
      </c>
      <c r="F163" s="341" t="inlineStr">
        <is>
          <t>建筑空调；数据中心</t>
        </is>
      </c>
      <c r="G163" s="341" t="inlineStr">
        <is>
          <t>单元式空气调节机能效限定值及能效等级</t>
        </is>
      </c>
      <c r="H163" s="341" t="inlineStr">
        <is>
          <t>Minimum Allowable Values of Energy Efficiency and Energy Efficiency Grades for Unitary Air Conditioners</t>
        </is>
      </c>
      <c r="I163" s="341" t="inlineStr">
        <is>
          <t>N/A</t>
        </is>
      </c>
      <c r="J163"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3" s="341" t="inlineStr">
        <is>
          <t>能源效率</t>
        </is>
      </c>
      <c r="L163" s="341" t="inlineStr">
        <is>
          <t>直接</t>
        </is>
      </c>
      <c r="M163" s="341" t="inlineStr">
        <is>
          <t>国家</t>
        </is>
      </c>
      <c r="N163" s="341" t="inlineStr">
        <is>
          <t>N/A</t>
        </is>
      </c>
      <c r="O163" s="341" t="inlineStr">
        <is>
          <t>01/06/2004</t>
        </is>
      </c>
      <c r="P163" s="341" t="inlineStr">
        <is>
          <t>01/03/2005</t>
        </is>
      </c>
      <c r="Q163" s="341" t="inlineStr">
        <is>
          <t>N/A</t>
        </is>
      </c>
      <c r="R163" s="341" t="inlineStr">
        <is>
          <t>04/04/2019</t>
        </is>
      </c>
      <c r="S163" s="341" t="inlineStr">
        <is>
          <t>2019年4月4日发布GB 19576-2019替代GB 19576-2004，扩大适用范围至计算机和数据处理机房用、通讯基站用和恒温恒湿型单元机，提高各级能效指标。</t>
        </is>
      </c>
      <c r="T163" s="341">
        <f>IF(P163="","生效",IF(P163="N/A","生效",IF(TODAY()&lt;DATE(VALUE(RIGHT(P163,4)),VALUE(MID(P163,4,2)),VALUE(LEFT(P163,2))),"计划实施",IF(Q163="","生效",IF(Q163="N/A","生效",IF(TODAY()&lt;DATE(VALUE(RIGHT(Q163,4)),VALUE(MID(Q163,4,2)),VALUE(LEFT(Q163,2))),"生效","已终止"))))))</f>
        <v/>
      </c>
      <c r="U163" s="341" t="inlineStr">
        <is>
          <t>国家市场监督管理总局；国家标准化管理委员会</t>
        </is>
      </c>
      <c r="V163" s="341" t="inlineStr">
        <is>
          <t>单元式空气调节机</t>
        </is>
      </c>
      <c r="W163" s="341" t="inlineStr">
        <is>
          <t>新建</t>
        </is>
      </c>
      <c r="X163"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Y163" s="341" t="inlineStr">
        <is>
          <t>N/A</t>
        </is>
      </c>
      <c r="Z163" s="341" t="inlineStr">
        <is>
          <t>N/A</t>
        </is>
      </c>
      <c r="AA163" s="341" t="inlineStr">
        <is>
          <t>企业</t>
        </is>
      </c>
      <c r="AB163" s="341" t="inlineStr">
        <is>
          <t>在中国境内生产、进口或销售单元式空气调节机的生产企业和进口商。</t>
        </is>
      </c>
      <c r="AC163" s="341" t="inlineStr">
        <is>
          <t>生产；销售；进口</t>
        </is>
      </c>
      <c r="AD163" s="341" t="inlineStr">
        <is>
          <t>单元式空气调节机的生产、进口和销售活动。产品须达到标准规定的能效限定值方可进入市场。</t>
        </is>
      </c>
      <c r="AE163" s="341" t="inlineStr">
        <is>
          <t>3级</t>
        </is>
      </c>
      <c r="AF163" s="341" t="inlineStr">
        <is>
          <t>能效等级</t>
        </is>
      </c>
      <c r="AG163" s="341" t="inlineStr">
        <is>
          <t>能效等级分为3级（1级最高），3级为能效限定值即市场准入最低要求。按机组类型（风冷式/水冷式、单冷型/热泵型）和名义制冷量分别规定EER、COP等能效指标限值。</t>
        </is>
      </c>
      <c r="AH163" s="341" t="inlineStr">
        <is>
          <t>1）单元式空气调节机须达到标准规定的能效限定值（3级）方可生产、进口或销售；2）产品须标注能效等级标识；3）能效等级分为1级（最高）、2级、3级，3级为市场准入最低要求。</t>
        </is>
      </c>
      <c r="AI163" s="341" t="inlineStr">
        <is>
          <t>N/A</t>
        </is>
      </c>
      <c r="AJ163" s="341" t="inlineStr">
        <is>
          <t>N/A</t>
        </is>
      </c>
      <c r="AK163" s="341" t="inlineStr">
        <is>
          <t>政府机构开展的监督检查</t>
        </is>
      </c>
      <c r="AL163" s="341" t="inlineStr">
        <is>
          <t>市场监督管理部门对单元式空气调节机产品进行能效标识监督检查和产品质量监督抽查。</t>
        </is>
      </c>
      <c r="AM163" s="341" t="inlineStr">
        <is>
          <t>合规命令；罚款</t>
        </is>
      </c>
      <c r="AN163" s="341" t="inlineStr">
        <is>
          <t>对生产、进口、销售不符合强制性能效标准的单元式空气调节机产品的，由市场监督管理部门责令停止生产、进口、销售，没收违法所得，并处罚款；情节严重的，吊销营业执照。</t>
        </is>
      </c>
      <c r="AO163" s="341" t="inlineStr">
        <is>
          <t>其他激励或支持</t>
        </is>
      </c>
      <c r="AP163" s="341" t="inlineStr">
        <is>
          <t>国家鼓励生产和使用1级、2级高效单元式空气调节机；通过节能产品认证引导高效空调产品市场推广。</t>
        </is>
      </c>
      <c r="AQ163" s="341" t="inlineStr">
        <is>
          <t>N/A</t>
        </is>
      </c>
      <c r="AR163" s="341" t="inlineStr">
        <is>
          <t>N/A</t>
        </is>
      </c>
      <c r="AS163" s="341" t="inlineStr">
        <is>
          <t>C27</t>
        </is>
      </c>
      <c r="AT163" s="341" t="inlineStr">
        <is>
          <t>CO2</t>
        </is>
      </c>
      <c r="AU163" s="341" t="inlineStr">
        <is>
          <t>正向</t>
        </is>
      </c>
      <c r="AV163" s="341" t="inlineStr">
        <is>
          <t>节能；产业发展</t>
        </is>
      </c>
      <c r="AW163" s="341" t="inlineStr">
        <is>
          <t>GB 19576-2019 单元式空气调节机能效限定值及能效等级</t>
        </is>
      </c>
      <c r="AX163" s="341" t="inlineStr">
        <is>
          <t>https://openstd.samr.gov.cn/bzgk/std/newGbInfo?hcno=D34F8444D10AA7DDEED93C9A2C275D61</t>
        </is>
      </c>
      <c r="AY163" s="341" t="inlineStr">
        <is>
          <t>GB 19576-2004（旧版）：https://openstd.samr.gov.cn/bzgk/std/newGbInfo?hcno=4756D1A444A9BE907E9715DABECCB078</t>
        </is>
      </c>
      <c r="AZ163" s="341" t="inlineStr"/>
    </row>
    <row r="164">
      <c r="A164" s="341" t="inlineStr">
        <is>
          <t>CHNPRFSPDI01S000</t>
        </is>
      </c>
      <c r="B164" s="341" t="inlineStr">
        <is>
          <t>工具</t>
        </is>
      </c>
      <c r="C164" s="341" t="inlineStr">
        <is>
          <t>绩效标准</t>
        </is>
      </c>
      <c r="D164" s="341" t="inlineStr">
        <is>
          <t>速度限值</t>
        </is>
      </c>
      <c r="E164" s="341" t="inlineStr">
        <is>
          <t>交通</t>
        </is>
      </c>
      <c r="F164" s="341" t="inlineStr">
        <is>
          <t>道路运输</t>
        </is>
      </c>
      <c r="G164" s="341" t="inlineStr">
        <is>
          <t>机动车行驶速度限制</t>
        </is>
      </c>
      <c r="H164" s="341" t="inlineStr">
        <is>
          <t>Motor Vehicle Speed Limits</t>
        </is>
      </c>
      <c r="I164" s="341" t="inlineStr">
        <is>
          <t>N/A</t>
        </is>
      </c>
      <c r="J164"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4" s="341" t="inlineStr">
        <is>
          <t>能源效率</t>
        </is>
      </c>
      <c r="L164" s="341" t="inlineStr">
        <is>
          <t>间接</t>
        </is>
      </c>
      <c r="M164" s="341" t="inlineStr">
        <is>
          <t>国家</t>
        </is>
      </c>
      <c r="N164" s="341" t="inlineStr">
        <is>
          <t>N/A</t>
        </is>
      </c>
      <c r="O164" s="341" t="inlineStr">
        <is>
          <t>30/04/2004</t>
        </is>
      </c>
      <c r="P164" s="341" t="inlineStr">
        <is>
          <t>01/05/2004</t>
        </is>
      </c>
      <c r="Q164" s="341" t="inlineStr">
        <is>
          <t>N/A</t>
        </is>
      </c>
      <c r="R164" s="341" t="inlineStr">
        <is>
          <t>07/10/2017</t>
        </is>
      </c>
      <c r="S164"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T164" s="341">
        <f>IF(P164="","生效",IF(P164="N/A","生效",IF(TODAY()&lt;DATE(VALUE(RIGHT(P164,4)),VALUE(MID(P164,4,2)),VALUE(LEFT(P164,2))),"计划实施",IF(Q164="","生效",IF(Q164="N/A","生效",IF(TODAY()&lt;DATE(VALUE(RIGHT(Q164,4)),VALUE(MID(Q164,4,2)),VALUE(LEFT(Q164,2))),"生效","已终止"))))))</f>
        <v/>
      </c>
      <c r="U164" s="341" t="inlineStr">
        <is>
          <t>国务院；公安部；交通运输部</t>
        </is>
      </c>
      <c r="V164" s="341" t="inlineStr">
        <is>
          <t>机动车</t>
        </is>
      </c>
      <c r="W164" s="341" t="inlineStr">
        <is>
          <t>新建；既有</t>
        </is>
      </c>
      <c r="X164" s="341" t="inlineStr">
        <is>
          <t>在中国境内道路上行驶的各类机动车，包括小型载客汽车、其他载客汽车、载货汽车、摩托车、拖拉机、轮式专用机械车等。高速公路按车型和车道分别设定速度限值。</t>
        </is>
      </c>
      <c r="Y164" s="341" t="inlineStr">
        <is>
          <t>N/A</t>
        </is>
      </c>
      <c r="Z164" s="341" t="inlineStr">
        <is>
          <t>N/A</t>
        </is>
      </c>
      <c r="AA164" s="341" t="inlineStr">
        <is>
          <t>家庭；企业</t>
        </is>
      </c>
      <c r="AB164" s="341" t="inlineStr">
        <is>
          <t>在中国境内道路上行驶机动车的企业和个人。</t>
        </is>
      </c>
      <c r="AC164" s="341" t="inlineStr">
        <is>
          <t>行驶</t>
        </is>
      </c>
      <c r="AD164" s="341" t="inlineStr">
        <is>
          <t>机动车在高速公路、城市道路和公路上的行驶活动。高速公路还设有最低速度限制（60km/h）和分车道最低速度（90-110km/h），低能见度条件下按气象条件分级限速。</t>
        </is>
      </c>
      <c r="AE164" s="341" t="inlineStr">
        <is>
          <t>120</t>
        </is>
      </c>
      <c r="AF164" s="341" t="inlineStr">
        <is>
          <t>km/h</t>
        </is>
      </c>
      <c r="AG164"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H164"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I164" s="341" t="inlineStr">
        <is>
          <t>N/A</t>
        </is>
      </c>
      <c r="AJ164" s="341" t="inlineStr">
        <is>
          <t>N/A</t>
        </is>
      </c>
      <c r="AK164" s="341" t="inlineStr">
        <is>
          <t>公安机关交通管理部门测速执法；道路监控设备</t>
        </is>
      </c>
      <c r="AL164"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M164" s="341" t="inlineStr">
        <is>
          <t>罚款；扣分</t>
        </is>
      </c>
      <c r="AN164"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O164" s="341" t="inlineStr">
        <is>
          <t>其他激励或支持</t>
        </is>
      </c>
      <c r="AP164" s="341" t="inlineStr">
        <is>
          <t>公安机关交通管理部门通过交通安全宣传教育、限速标志和警示标志提醒驾驶员遵守速度限制；部分地区试点推行经济速度建议标志引导节能驾驶。</t>
        </is>
      </c>
      <c r="AQ164" s="341" t="inlineStr">
        <is>
          <t>N/A</t>
        </is>
      </c>
      <c r="AR164" s="341" t="inlineStr">
        <is>
          <t>N/A</t>
        </is>
      </c>
      <c r="AS164" s="341" t="inlineStr">
        <is>
          <t>H49</t>
        </is>
      </c>
      <c r="AT164" s="341" t="inlineStr">
        <is>
          <t>CO2</t>
        </is>
      </c>
      <c r="AU164" s="341" t="inlineStr">
        <is>
          <t>正向</t>
        </is>
      </c>
      <c r="AV164" s="341" t="inlineStr">
        <is>
          <t>节能；污染防治</t>
        </is>
      </c>
      <c r="AW164" s="341" t="inlineStr">
        <is>
          <t>中华人民共和国道路交通安全法实施条例</t>
        </is>
      </c>
      <c r="AX164" s="341" t="inlineStr">
        <is>
          <t>https://www.gov.cn/gongbao/content/2019/content_5468932.htm</t>
        </is>
      </c>
      <c r="AY164" s="341" t="inlineStr">
        <is>
          <t>《中华人民共和国道路交通安全法》（2021年修正）：https://flk.npc.gov.cn/detail2.html?ZmY4MDgxODE3OTZhNjM2YTAxNzk4NTY4YzY1NzA3N2Y</t>
        </is>
      </c>
      <c r="AZ164" s="341"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topLeftCell="U1" workbookViewId="0">
      <selection activeCell="BA1" sqref="BA1:BB1"/>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452" t="inlineStr">
        <is>
          <t>政策规制基础与强度</t>
        </is>
      </c>
      <c r="W1" s="329" t="n"/>
      <c r="X1" s="329" t="n"/>
      <c r="Y1" s="329" t="n"/>
      <c r="Z1" s="329" t="n"/>
      <c r="AA1" s="329" t="n"/>
      <c r="AB1" s="329" t="n"/>
      <c r="AC1" s="329" t="n"/>
      <c r="AD1" s="329" t="n"/>
      <c r="AE1" s="329" t="n"/>
      <c r="AF1" s="329" t="n"/>
      <c r="AG1" s="329" t="n"/>
      <c r="AH1" s="329" t="n"/>
      <c r="AI1" s="329" t="n"/>
      <c r="AJ1" s="329" t="n"/>
      <c r="AK1" s="441" t="inlineStr">
        <is>
          <t>工具特定属性</t>
        </is>
      </c>
      <c r="AL1" s="329" t="n"/>
      <c r="AM1" s="329" t="n"/>
      <c r="AN1" s="329" t="n"/>
      <c r="AO1" s="329" t="n"/>
      <c r="AP1" s="329" t="n"/>
      <c r="AQ1" s="329" t="n"/>
      <c r="AR1" s="329" t="n"/>
      <c r="AS1" s="453" t="inlineStr">
        <is>
          <t>温室气体排放基础</t>
        </is>
      </c>
      <c r="AT1" s="331" t="n"/>
      <c r="AU1" s="443" t="inlineStr">
        <is>
          <t>分类与指标</t>
        </is>
      </c>
      <c r="AV1" s="329" t="n"/>
      <c r="AW1" s="329" t="n"/>
      <c r="AX1" s="329" t="n"/>
      <c r="AY1" s="451" t="inlineStr">
        <is>
          <t>立法参考</t>
        </is>
      </c>
      <c r="AZ1" s="329" t="n"/>
      <c r="BA1" s="329" t="n"/>
      <c r="BB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公共投资：共同融资</t>
        </is>
      </c>
      <c r="AL2" s="339" t="inlineStr">
        <is>
          <t>公共投资：选择流程</t>
        </is>
      </c>
      <c r="AM2" s="339" t="inlineStr">
        <is>
          <t>公共采购：招标流程</t>
        </is>
      </c>
      <c r="AN2" s="339" t="inlineStr">
        <is>
          <t>公共采购：招标评标标准</t>
        </is>
      </c>
      <c r="AO2" s="339" t="inlineStr">
        <is>
          <t>公共采购：合规监测</t>
        </is>
      </c>
      <c r="AP2" s="339" t="inlineStr">
        <is>
          <t>公共采购：合规执行</t>
        </is>
      </c>
      <c r="AQ2" s="339" t="inlineStr">
        <is>
          <t>公共采购：全生命周期成本</t>
        </is>
      </c>
      <c r="AR2" s="339" t="inlineStr">
        <is>
          <t>公共投资/采购：年度支出</t>
        </is>
      </c>
      <c r="AS2" s="340" t="inlineStr">
        <is>
          <t>温室气体排放覆盖（绝对量）</t>
        </is>
      </c>
      <c r="AT2" s="340" t="inlineStr">
        <is>
          <t>温室气体排放覆盖（占国内排放百分比）</t>
        </is>
      </c>
      <c r="AU2" s="352" t="inlineStr">
        <is>
          <t>经济行业</t>
        </is>
      </c>
      <c r="AV2" s="352" t="inlineStr">
        <is>
          <t>受影响的温室气体</t>
        </is>
      </c>
      <c r="AW2" s="352" t="inlineStr">
        <is>
          <t>减缓效果</t>
        </is>
      </c>
      <c r="AX2" s="352" t="inlineStr">
        <is>
          <t>减缓协同效益</t>
        </is>
      </c>
      <c r="AY2" s="337" t="inlineStr">
        <is>
          <t>法律文件名称</t>
        </is>
      </c>
      <c r="AZ2" s="337" t="inlineStr">
        <is>
          <t>法律文件链接</t>
        </is>
      </c>
      <c r="BA2" s="337" t="inlineStr">
        <is>
          <t>其他网页链接</t>
        </is>
      </c>
      <c r="BB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能源效率；污染防治</t>
        </is>
      </c>
      <c r="L3" s="341" t="inlineStr">
        <is>
          <t>直接</t>
        </is>
      </c>
      <c r="M3" s="341" t="inlineStr">
        <is>
          <t>国家</t>
        </is>
      </c>
      <c r="N3" s="341" t="inlineStr">
        <is>
          <t>N/A</t>
        </is>
      </c>
      <c r="O3" s="341" t="inlineStr">
        <is>
          <t>17/12/2004</t>
        </is>
      </c>
      <c r="P3" s="341" t="inlineStr">
        <is>
          <t>17/12/2004</t>
        </is>
      </c>
      <c r="Q3" s="341" t="inlineStr">
        <is>
          <t>N/A</t>
        </is>
      </c>
      <c r="R3" s="341" t="inlineStr">
        <is>
          <t>01/02/2019</t>
        </is>
      </c>
      <c r="S3" s="341" t="inlineStr">
        <is>
          <t>2019年2月1日财库〔2019〕9号改革：取消清单发布，改为品目清单管理，依据国家认可认证机构出具的节能产品认证证书实施采购，自2019年4月1日起执行。</t>
        </is>
      </c>
      <c r="T3" s="341">
        <f>IF(P3="","生效",IF(P3="N/A","生效",IF(TODAY()&lt;DATE(VALUE(RIGHT(P3,4)),VALUE(MID(P3,4,2)),VALUE(LEFT(P3,2))),"计划实施",IF(Q3="","生效",IF(Q3="N/A","生效",IF(TODAY()&lt;DATE(VALUE(RIGHT(Q3,4)),VALUE(MID(Q3,4,2)),VALUE(LEFT(Q3,2))),"生效","已终止"))))))</f>
        <v/>
      </c>
      <c r="U3" s="341" t="inlineStr">
        <is>
          <t>财政部；国家发展和改革委员会；国家市场监督管理总局</t>
        </is>
      </c>
      <c r="V3" s="341" t="inlineStr">
        <is>
          <t>办公设备；家用电器；照明设备；制冷空调设备；信息设备；变压器；电动机；水泵</t>
        </is>
      </c>
      <c r="W3" s="341" t="inlineStr">
        <is>
          <t>新建；既有</t>
        </is>
      </c>
      <c r="X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Y3" s="341" t="inlineStr">
        <is>
          <t>N/A</t>
        </is>
      </c>
      <c r="Z3" s="341" t="inlineStr">
        <is>
          <t>产品能效须达到国标2级及以上。强制采购品目须获得有效节能产品认证证书。</t>
        </is>
      </c>
      <c r="AA3" s="341" t="inlineStr">
        <is>
          <t>政府</t>
        </is>
      </c>
      <c r="AB3" s="341" t="inlineStr">
        <is>
          <t>各级国家机关、事业单位和团体组织。使用财政性资金进行采购的采购人。采购代理机构须在招标文件中载明节能要求、合格条件和优先/强制采购评审标准。</t>
        </is>
      </c>
      <c r="AC3" s="341" t="inlineStr">
        <is>
          <t>购买或使用</t>
        </is>
      </c>
      <c r="AD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E3" s="341" t="inlineStr">
        <is>
          <t>N/A</t>
        </is>
      </c>
      <c r="AF3" s="341" t="inlineStr">
        <is>
          <t>N/A</t>
        </is>
      </c>
      <c r="AG3" s="341" t="inlineStr">
        <is>
          <t>本工具为公共采购优先/强制目录机制，非财政补贴类工具，无直接金额型政策强度指标。政策强度通过政府采购规模杠杆体现。</t>
        </is>
      </c>
      <c r="AH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I3" s="341" t="inlineStr">
        <is>
          <t>N/A</t>
        </is>
      </c>
      <c r="AJ3" s="341" t="inlineStr">
        <is>
          <t>N/A</t>
        </is>
      </c>
      <c r="AK3" s="341" t="inlineStr">
        <is>
          <t>N/A</t>
        </is>
      </c>
      <c r="AL3" s="341" t="inlineStr">
        <is>
          <t>N/A</t>
        </is>
      </c>
      <c r="AM3" s="341" t="inlineStr">
        <is>
          <t>公开招标</t>
        </is>
      </c>
      <c r="AN3" s="341" t="inlineStr">
        <is>
          <t>同等条件下优先采购节能认证产品</t>
        </is>
      </c>
      <c r="AO3" s="341" t="inlineStr">
        <is>
          <t>财政部门监管</t>
        </is>
      </c>
      <c r="AP3" s="341" t="inlineStr">
        <is>
          <t>财政威慑</t>
        </is>
      </c>
      <c r="AQ3" s="341" t="inlineStr">
        <is>
          <t>N/A</t>
        </is>
      </c>
      <c r="AR3" s="341" t="inlineStr">
        <is>
          <t>不按品类分列。2024年全国强制/优先采购节能节水产品337.23亿元（占同类产品92.48%），但该金额涵盖所有节能产品，非仅此政策工具对应金额。来源：财政部2024年全国政府采购简要情况</t>
        </is>
      </c>
      <c r="AS3" s="341" t="inlineStr">
        <is>
          <t>N/A</t>
        </is>
      </c>
      <c r="AT3" s="341" t="inlineStr">
        <is>
          <t>N/A</t>
        </is>
      </c>
      <c r="AU3" s="341" t="inlineStr">
        <is>
          <t>C26；C27；C28；D35</t>
        </is>
      </c>
      <c r="AV3" s="341" t="inlineStr">
        <is>
          <t>CO2</t>
        </is>
      </c>
      <c r="AW3" s="341" t="inlineStr">
        <is>
          <t>正向</t>
        </is>
      </c>
      <c r="AX3" s="341" t="inlineStr">
        <is>
          <t>节能；产业发展；技术创新</t>
        </is>
      </c>
      <c r="AY3" s="341" t="inlineStr">
        <is>
          <t>节能产品政府采购实施意见（财库〔2004〕185号）；关于调整优化节能产品、环境标志产品政府采购执行机制的通知（财库〔2019〕9号）；关于印发节能产品政府采购品目清单的通知（财库〔2019〕19号）</t>
        </is>
      </c>
      <c r="AZ3" s="341" t="inlineStr">
        <is>
          <t>http://www.ccgp.gov.cn/zcfg/mof/201311/t20131113_3591949.htm</t>
        </is>
      </c>
      <c r="BA3" s="341" t="inlineStr">
        <is>
          <t>https://www.gov.cn/zhengce/zhengceku/2019-10/15/content_5439979.htm; http://www.ccgp.gov.cn/zcfg/mof/201902/t20190213_11628855.htm</t>
        </is>
      </c>
      <c r="BB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污染防治；能源效率；循环经济</t>
        </is>
      </c>
      <c r="L4" s="341" t="inlineStr">
        <is>
          <t>间接</t>
        </is>
      </c>
      <c r="M4" s="341" t="inlineStr">
        <is>
          <t>国家</t>
        </is>
      </c>
      <c r="N4" s="341" t="inlineStr">
        <is>
          <t>N/A</t>
        </is>
      </c>
      <c r="O4" s="341" t="inlineStr">
        <is>
          <t>24/10/2006</t>
        </is>
      </c>
      <c r="P4" s="341" t="inlineStr">
        <is>
          <t>01/01/2007</t>
        </is>
      </c>
      <c r="Q4" s="341" t="inlineStr">
        <is>
          <t>N/A</t>
        </is>
      </c>
      <c r="R4" s="341" t="inlineStr">
        <is>
          <t>01/02/2019</t>
        </is>
      </c>
      <c r="S4" s="341" t="inlineStr">
        <is>
          <t>2019年2月1日财库〔2019〕9号改革：取消清单发布，改为品目清单管理，自2019年4月1日起执行。</t>
        </is>
      </c>
      <c r="T4" s="341">
        <f>IF(P4="","生效",IF(P4="N/A","生效",IF(TODAY()&lt;DATE(VALUE(RIGHT(P4,4)),VALUE(MID(P4,4,2)),VALUE(LEFT(P4,2))),"计划实施",IF(Q4="","生效",IF(Q4="N/A","生效",IF(TODAY()&lt;DATE(VALUE(RIGHT(Q4,4)),VALUE(MID(Q4,4,2)),VALUE(LEFT(Q4,2))),"生效","已终止"))))))</f>
        <v/>
      </c>
      <c r="U4" s="341" t="inlineStr">
        <is>
          <t>财政部；生态环境部（原国家环境保护总局）；国家市场监督管理总局</t>
        </is>
      </c>
      <c r="V4" s="341" t="inlineStr">
        <is>
          <t>办公设备；建材；家具；清洁用品；纺织品；纸制品；涂料；胶粘剂；载货汽车；乘用车；客车；专用车辆</t>
        </is>
      </c>
      <c r="W4" s="341" t="inlineStr">
        <is>
          <t>新建；既有</t>
        </is>
      </c>
      <c r="X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Y4" s="341" t="inlineStr">
        <is>
          <t>N/A</t>
        </is>
      </c>
      <c r="Z4" s="341" t="inlineStr">
        <is>
          <t>产品须符合中国环境标志产品认证标准（HJ标准系列）。具体技术参数按各产品的认证标准执行。</t>
        </is>
      </c>
      <c r="AA4" s="341" t="inlineStr">
        <is>
          <t>政府</t>
        </is>
      </c>
      <c r="AB4" s="341" t="inlineStr">
        <is>
          <t>各级国家机关、事业单位和团体组织。使用财政性资金进行采购的采购人。采购代理机构须在招标文件中载明环境标志产品优先采购要求。</t>
        </is>
      </c>
      <c r="AC4" s="341" t="inlineStr">
        <is>
          <t>购买或使用</t>
        </is>
      </c>
      <c r="AD4" s="341" t="inlineStr">
        <is>
          <t>采购人在性能、技术、服务等同条件下优先采购环境标志产品。招标文件须载明环保要求、合格条件和优先采购评审标准。财政部门审核政府采购资金支付时核对环境标志产品采购执行情况。</t>
        </is>
      </c>
      <c r="AE4" s="341" t="inlineStr">
        <is>
          <t>N/A</t>
        </is>
      </c>
      <c r="AF4" s="341" t="inlineStr">
        <is>
          <t>N/A</t>
        </is>
      </c>
      <c r="AG4" s="341" t="inlineStr">
        <is>
          <t>本工具为公共采购优先目录机制，非财政补贴类工具，无直接金额型政策强度指标。</t>
        </is>
      </c>
      <c r="AH4" s="341" t="inlineStr">
        <is>
          <t>①采购文件须载明环保要求和合格条件；②属于品目清单范围的产品须依据有效认证证书实施优先采购；③评审标准须包含环境标志产品优先条款；④履约验收须核验证书有效性。</t>
        </is>
      </c>
      <c r="AI4" s="341" t="inlineStr">
        <is>
          <t>N/A</t>
        </is>
      </c>
      <c r="AJ4" s="341" t="inlineStr">
        <is>
          <t>N/A</t>
        </is>
      </c>
      <c r="AK4" s="341" t="inlineStr">
        <is>
          <t>N/A</t>
        </is>
      </c>
      <c r="AL4" s="341" t="inlineStr">
        <is>
          <t>N/A</t>
        </is>
      </c>
      <c r="AM4" s="341" t="inlineStr">
        <is>
          <t>公开招标</t>
        </is>
      </c>
      <c r="AN4" s="341" t="inlineStr">
        <is>
          <t>同等条件下优先采购环境标志认证产品</t>
        </is>
      </c>
      <c r="AO4" s="341" t="inlineStr">
        <is>
          <t>财政部门监管</t>
        </is>
      </c>
      <c r="AP4" s="341" t="inlineStr">
        <is>
          <t>财政威慑</t>
        </is>
      </c>
      <c r="AQ4" s="341" t="inlineStr">
        <is>
          <t>N/A</t>
        </is>
      </c>
      <c r="AR4" s="341" t="inlineStr">
        <is>
          <t>不按品类分列。2024年全国优先采购环保产品795.47亿元（占同类产品87.98%），但该金额涵盖所有环保产品，非仅此政策工具对应金额。来源：财政部2024年全国政府采购简要情况</t>
        </is>
      </c>
      <c r="AS4" s="341" t="inlineStr">
        <is>
          <t>N/A</t>
        </is>
      </c>
      <c r="AT4" s="341" t="inlineStr">
        <is>
          <t>N/A</t>
        </is>
      </c>
      <c r="AU4" s="341" t="inlineStr">
        <is>
          <t>C16；C17；C20；C22；C23</t>
        </is>
      </c>
      <c r="AV4" s="341" t="inlineStr">
        <is>
          <t>CO2</t>
        </is>
      </c>
      <c r="AW4" s="341" t="inlineStr">
        <is>
          <t>正向</t>
        </is>
      </c>
      <c r="AX4" s="341" t="inlineStr">
        <is>
          <t>污染防治；循环经济；绿色消费</t>
        </is>
      </c>
      <c r="AY4" s="341" t="inlineStr">
        <is>
          <t>关于环境标志产品政府采购实施的意见（财库〔2006〕90号）；关于调整优化节能产品、环境标志产品政府采购执行机制的通知（财库〔2019〕9号）；关于印发环境标志产品政府采购品目清单的通知（财库〔2019〕18号）</t>
        </is>
      </c>
      <c r="AZ4" s="341" t="inlineStr">
        <is>
          <t>http://www.ccgp.gov.cn/zcfg/mof/201311/t20131113_3591927.htm</t>
        </is>
      </c>
      <c r="BA4" s="341" t="inlineStr">
        <is>
          <t>https://www.gov.cn/zhengce/zhengceku/2019-10/15/content_5439979.htm</t>
        </is>
      </c>
      <c r="BB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能源效率；污染防治；产业发展；电气化</t>
        </is>
      </c>
      <c r="L5" s="341" t="inlineStr">
        <is>
          <t>直接</t>
        </is>
      </c>
      <c r="M5" s="341" t="inlineStr">
        <is>
          <t>国家</t>
        </is>
      </c>
      <c r="N5" s="341" t="inlineStr">
        <is>
          <t>N/A</t>
        </is>
      </c>
      <c r="O5" s="341" t="inlineStr">
        <is>
          <t>11/06/2014</t>
        </is>
      </c>
      <c r="P5" s="341" t="inlineStr">
        <is>
          <t>11/06/2014</t>
        </is>
      </c>
      <c r="Q5" s="341" t="inlineStr">
        <is>
          <t>N/A</t>
        </is>
      </c>
      <c r="R5" s="341" t="inlineStr">
        <is>
          <t>30/12/2024</t>
        </is>
      </c>
      <c r="S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T5" s="341">
        <f>IF(P5="","生效",IF(P5="N/A","生效",IF(TODAY()&lt;DATE(VALUE(RIGHT(P5,4)),VALUE(MID(P5,4,2)),VALUE(LEFT(P5,2))),"计划实施",IF(Q5="","生效",IF(Q5="N/A","生效",IF(TODAY()&lt;DATE(VALUE(RIGHT(Q5,4)),VALUE(MID(Q5,4,2)),VALUE(LEFT(Q5,2))),"生效","已终止"))))))</f>
        <v/>
      </c>
      <c r="U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V5" s="341" t="inlineStr">
        <is>
          <t>道路车辆</t>
        </is>
      </c>
      <c r="W5" s="341" t="inlineStr">
        <is>
          <t>新建</t>
        </is>
      </c>
      <c r="X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Y5" s="341" t="inlineStr">
        <is>
          <t>N/A</t>
        </is>
      </c>
      <c r="Z5" s="341" t="inlineStr">
        <is>
          <t>新能源汽车占比原则不低于30%（2024年起）。机要通信等专用车辆原则100%采购新能源。轿车价格扣除财政补贴后不超过18万元。充电接口与车辆比例不低于1:1。</t>
        </is>
      </c>
      <c r="AA5" s="341" t="inlineStr">
        <is>
          <t>政府</t>
        </is>
      </c>
      <c r="AB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C5" s="341" t="inlineStr">
        <is>
          <t>购买或使用</t>
        </is>
      </c>
      <c r="AD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E5" s="341" t="inlineStr">
        <is>
          <t>30</t>
        </is>
      </c>
      <c r="AF5" s="341" t="inlineStr">
        <is>
          <t>%（新能源汽车采购比例最低要求）</t>
        </is>
      </c>
      <c r="AG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H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I5" s="341" t="inlineStr">
        <is>
          <t>N/A</t>
        </is>
      </c>
      <c r="AJ5" s="341" t="inlineStr">
        <is>
          <t>N/A</t>
        </is>
      </c>
      <c r="AK5" s="341" t="inlineStr">
        <is>
          <t>N/A</t>
        </is>
      </c>
      <c r="AL5" s="341" t="inlineStr">
        <is>
          <t>N/A</t>
        </is>
      </c>
      <c r="AM5" s="341" t="inlineStr">
        <is>
          <t>公开招标</t>
        </is>
      </c>
      <c r="AN5" s="341" t="inlineStr">
        <is>
          <t>新能源汽车采购比例要求（原则上不低于30%）</t>
        </is>
      </c>
      <c r="AO5" s="341" t="inlineStr">
        <is>
          <t>财政部门监管</t>
        </is>
      </c>
      <c r="AP5" s="341" t="inlineStr">
        <is>
          <t>财政威慑</t>
        </is>
      </c>
      <c r="AQ5" s="341" t="inlineStr">
        <is>
          <t>N/A</t>
        </is>
      </c>
      <c r="AR5" s="341" t="inlineStr">
        <is>
          <t>不公开。财政部不单独公布新能源汽车政府采购金额。政策要求年度公务用车采购中新能源占比原则上不低于30%。来源：关于印发政府采购领域支持绿色低碳发展若干措施的通知</t>
        </is>
      </c>
      <c r="AS5" s="341" t="inlineStr">
        <is>
          <t>N/A</t>
        </is>
      </c>
      <c r="AT5" s="341" t="inlineStr">
        <is>
          <t>N/A</t>
        </is>
      </c>
      <c r="AU5" s="341" t="inlineStr">
        <is>
          <t>C29；D35；H49</t>
        </is>
      </c>
      <c r="AV5" s="341" t="inlineStr">
        <is>
          <t>CO2</t>
        </is>
      </c>
      <c r="AW5" s="341" t="inlineStr">
        <is>
          <t>正向</t>
        </is>
      </c>
      <c r="AX5" s="341" t="inlineStr">
        <is>
          <t>污染防治；能源安全；技术创新；产业发展</t>
        </is>
      </c>
      <c r="AY5" s="341" t="inlineStr">
        <is>
          <t>政府机关及公共机构购买新能源汽车实施方案（国管节能〔2014〕293号）；关于进一步明确新能源汽车政府采购比例要求的通知（财办库〔2024〕269号）；关于继续开展新能源汽车推广应用工作的通知（财建〔2013〕551号）</t>
        </is>
      </c>
      <c r="AZ5" s="341" t="inlineStr">
        <is>
          <t>http://www.ccgp.gov.cn/zcfg/mof/202501/t20250103_24013065.htm</t>
        </is>
      </c>
      <c r="BA5" s="341" t="inlineStr">
        <is>
          <t>https://www.miit.gov.cn/zwgk/zcwj/wjfb/zbgy/art/2020/art_dd9dd5cf5b914533bb4c56d363410cb3.html; http://m.mof.gov.cn/czxw/202412/t20241230_3950760.htm</t>
        </is>
      </c>
      <c r="BB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绿色经济；能源效率；绿色消费</t>
        </is>
      </c>
      <c r="L6" s="341" t="inlineStr">
        <is>
          <t>直接</t>
        </is>
      </c>
      <c r="M6" s="341" t="inlineStr">
        <is>
          <t>国家</t>
        </is>
      </c>
      <c r="N6" s="341" t="inlineStr">
        <is>
          <t>N/A</t>
        </is>
      </c>
      <c r="O6" s="341" t="inlineStr">
        <is>
          <t>13/10/2020</t>
        </is>
      </c>
      <c r="P6" s="341" t="inlineStr">
        <is>
          <t>13/10/2020</t>
        </is>
      </c>
      <c r="Q6" s="341" t="inlineStr">
        <is>
          <t>N/A</t>
        </is>
      </c>
      <c r="R6" s="341" t="inlineStr">
        <is>
          <t>31/12/2024</t>
        </is>
      </c>
      <c r="S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T6" s="341">
        <f>IF(P6="","生效",IF(P6="N/A","生效",IF(TODAY()&lt;DATE(VALUE(RIGHT(P6,4)),VALUE(MID(P6,4,2)),VALUE(LEFT(P6,2))),"计划实施",IF(Q6="","生效",IF(Q6="N/A","生效",IF(TODAY()&lt;DATE(VALUE(RIGHT(Q6,4)),VALUE(MID(Q6,4,2)),VALUE(LEFT(Q6,2))),"生效","已终止"))))))</f>
        <v/>
      </c>
      <c r="U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V6" s="341" t="inlineStr">
        <is>
          <t>建筑物；建筑材料</t>
        </is>
      </c>
      <c r="W6" s="341" t="inlineStr">
        <is>
          <t>新建；既有</t>
        </is>
      </c>
      <c r="X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Y6" s="341" t="inlineStr">
        <is>
          <t>N/A</t>
        </is>
      </c>
      <c r="Z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A6" s="341" t="inlineStr">
        <is>
          <t>政府</t>
        </is>
      </c>
      <c r="AB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C6" s="341" t="inlineStr">
        <is>
          <t>购买或使用；投资</t>
        </is>
      </c>
      <c r="AD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E6" s="341" t="inlineStr">
        <is>
          <t>N/A</t>
        </is>
      </c>
      <c r="AF6" s="341" t="inlineStr">
        <is>
          <t>N/A</t>
        </is>
      </c>
      <c r="AG6" s="341" t="inlineStr">
        <is>
          <t>本工具为公共采购需求标准机制，非财政补贴类工具，无直接金额型政策强度指标。通过政府工程采购规模拉动绿色建材市场需求。</t>
        </is>
      </c>
      <c r="AH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I6" s="341" t="inlineStr">
        <is>
          <t>N/A</t>
        </is>
      </c>
      <c r="AJ6" s="341" t="inlineStr">
        <is>
          <t>N/A</t>
        </is>
      </c>
      <c r="AK6" s="341" t="inlineStr">
        <is>
          <t>N/A</t>
        </is>
      </c>
      <c r="AL6" s="341" t="inlineStr">
        <is>
          <t>N/A</t>
        </is>
      </c>
      <c r="AM6" s="341" t="inlineStr">
        <is>
          <t>公开招标</t>
        </is>
      </c>
      <c r="AN6" s="341" t="inlineStr">
        <is>
          <t>满足绿色建筑和绿色建材政府采购基本要求为采购实质性条件</t>
        </is>
      </c>
      <c r="AO6" s="341" t="inlineStr">
        <is>
          <t>财政部门监管；住建部门工程质量监管</t>
        </is>
      </c>
      <c r="AP6" s="341" t="inlineStr">
        <is>
          <t>合同执行</t>
        </is>
      </c>
      <c r="AQ6" s="341" t="inlineStr">
        <is>
          <t>N/A</t>
        </is>
      </c>
      <c r="AR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S6" s="341" t="inlineStr">
        <is>
          <t>N/A</t>
        </is>
      </c>
      <c r="AT6" s="341" t="inlineStr">
        <is>
          <t>N/A</t>
        </is>
      </c>
      <c r="AU6" s="341" t="inlineStr">
        <is>
          <t>F41；F42；F43；C23</t>
        </is>
      </c>
      <c r="AV6" s="341" t="inlineStr">
        <is>
          <t>CO2</t>
        </is>
      </c>
      <c r="AW6" s="341" t="inlineStr">
        <is>
          <t>正向</t>
        </is>
      </c>
      <c r="AX6" s="341" t="inlineStr">
        <is>
          <t>节能；污染防治；循环经济；技术创新</t>
        </is>
      </c>
      <c r="AY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AZ6" s="341" t="inlineStr">
        <is>
          <t>https://www.gov.cn/zhengce/zhengceku/2020-10/22/content_5553250.htm</t>
        </is>
      </c>
      <c r="BA6" s="341" t="inlineStr">
        <is>
          <t>https://www.gov.cn/zhengce/zhengceku/2020-10/22/content_5553250.htm; https://www.gov.cn/zhengce/zhengceku/2022-10/25/content_5721342.htm; https://www.gov.cn/zhengce/zhengceku/202501/content_6997931.htm</t>
        </is>
      </c>
      <c r="BB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减缓气候变化；能源效率；污染防治；循环经济</t>
        </is>
      </c>
      <c r="L7" s="341" t="inlineStr">
        <is>
          <t>直接</t>
        </is>
      </c>
      <c r="M7" s="341" t="inlineStr">
        <is>
          <t>国家</t>
        </is>
      </c>
      <c r="N7" s="341" t="inlineStr">
        <is>
          <t>N/A</t>
        </is>
      </c>
      <c r="O7" s="341" t="inlineStr">
        <is>
          <t>20/03/2023</t>
        </is>
      </c>
      <c r="P7" s="341" t="inlineStr">
        <is>
          <t>01/06/2023</t>
        </is>
      </c>
      <c r="Q7" s="341" t="inlineStr">
        <is>
          <t>N/A</t>
        </is>
      </c>
      <c r="R7" s="341" t="inlineStr">
        <is>
          <t>N/A</t>
        </is>
      </c>
      <c r="S7" s="341" t="inlineStr">
        <is>
          <t>N/A</t>
        </is>
      </c>
      <c r="T7" s="341">
        <f>IF(P7="","生效",IF(P7="N/A","生效",IF(TODAY()&lt;DATE(VALUE(RIGHT(P7,4)),VALUE(MID(P7,4,2)),VALUE(LEFT(P7,2))),"计划实施",IF(Q7="","生效",IF(Q7="N/A","生效",IF(TODAY()&lt;DATE(VALUE(RIGHT(Q7,4)),VALUE(MID(Q7,4,2)),VALUE(LEFT(Q7,2))),"生效","已终止"))))))</f>
        <v/>
      </c>
      <c r="U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V7" s="341" t="inlineStr">
        <is>
          <t>信息通信设备；电力设备；冷却系统</t>
        </is>
      </c>
      <c r="W7" s="341" t="inlineStr">
        <is>
          <t>新建；既有</t>
        </is>
      </c>
      <c r="X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Y7" s="341" t="inlineStr">
        <is>
          <t>N/A</t>
        </is>
      </c>
      <c r="Z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A7" s="341" t="inlineStr">
        <is>
          <t>政府</t>
        </is>
      </c>
      <c r="AB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C7" s="341" t="inlineStr">
        <is>
          <t>购买或使用</t>
        </is>
      </c>
      <c r="AD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E7" s="341" t="inlineStr">
        <is>
          <t>1.40；1.30</t>
        </is>
      </c>
      <c r="AF7" s="341" t="inlineStr">
        <is>
          <t>PUE（电能比）上限</t>
        </is>
      </c>
      <c r="AG7" s="341" t="inlineStr">
        <is>
          <t>2023年6月起PUE≤1.40；2025年起PUE≤1.30。依据GB 40879-2021，达到二级及以上能效等级。</t>
        </is>
      </c>
      <c r="AH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I7" s="341" t="inlineStr">
        <is>
          <t>N/A</t>
        </is>
      </c>
      <c r="AJ7" s="341" t="inlineStr">
        <is>
          <t>N/A</t>
        </is>
      </c>
      <c r="AK7" s="341" t="inlineStr">
        <is>
          <t>N/A</t>
        </is>
      </c>
      <c r="AL7" s="341" t="inlineStr">
        <is>
          <t>N/A</t>
        </is>
      </c>
      <c r="AM7" s="341" t="inlineStr">
        <is>
          <t>公开招标</t>
        </is>
      </c>
      <c r="AN7" s="341" t="inlineStr">
        <is>
          <t>须符合绿色数据中心政府采购需求标准（试行）</t>
        </is>
      </c>
      <c r="AO7" s="341" t="inlineStr">
        <is>
          <t>财政部门监管；第三方检测认证</t>
        </is>
      </c>
      <c r="AP7" s="341" t="inlineStr">
        <is>
          <t>合同执行</t>
        </is>
      </c>
      <c r="AQ7" s="341" t="inlineStr">
        <is>
          <t>N/A</t>
        </is>
      </c>
      <c r="AR7" s="341" t="inlineStr">
        <is>
          <t>不公开。绿色数据中心政府采购无单列全国金额。</t>
        </is>
      </c>
      <c r="AS7" s="341" t="inlineStr">
        <is>
          <t>N/A</t>
        </is>
      </c>
      <c r="AT7" s="341" t="inlineStr">
        <is>
          <t>N/A</t>
        </is>
      </c>
      <c r="AU7" s="341" t="inlineStr">
        <is>
          <t>J61；J62；J63</t>
        </is>
      </c>
      <c r="AV7" s="341" t="inlineStr">
        <is>
          <t>CO2</t>
        </is>
      </c>
      <c r="AW7" s="341" t="inlineStr">
        <is>
          <t>正向</t>
        </is>
      </c>
      <c r="AX7" s="341" t="inlineStr">
        <is>
          <t>节能；技术创新；产业发展</t>
        </is>
      </c>
      <c r="AY7" s="341" t="inlineStr">
        <is>
          <t>绿色数据中心政府采购需求标准（试行）（财库〔2023〕7号）；数据中心能效限定值及能效等级（GB 40879-2021）</t>
        </is>
      </c>
      <c r="AZ7" s="341" t="inlineStr">
        <is>
          <t>https://www.mee.gov.cn/xxgk2018/xxgk/xxgk10/202304/t20230417_1026869.html</t>
        </is>
      </c>
      <c r="BA7" s="341" t="inlineStr">
        <is>
          <t>http://m.mof.gov.cn/czxw/202304/t20230407_3877738.htm</t>
        </is>
      </c>
      <c r="BB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省级</t>
        </is>
      </c>
      <c r="N8" s="341" t="inlineStr">
        <is>
          <t>第一批试点覆盖河北、山西、内蒙古、浙江、安徽、福建、江西、山东、广西、重庆、四川、甘肃、宁夏、新疆共14个省（自治区、直辖市），共25项试点任务</t>
        </is>
      </c>
      <c r="O8" s="341" t="inlineStr">
        <is>
          <t>18/12/2025</t>
        </is>
      </c>
      <c r="P8" s="341" t="inlineStr">
        <is>
          <t>18/12/2025</t>
        </is>
      </c>
      <c r="Q8" s="341" t="inlineStr">
        <is>
          <t>N/A</t>
        </is>
      </c>
      <c r="R8" s="341" t="inlineStr">
        <is>
          <t>N/A</t>
        </is>
      </c>
      <c r="S8" s="341" t="inlineStr">
        <is>
          <t>N/A</t>
        </is>
      </c>
      <c r="T8" s="341">
        <f>IF(P8="","生效",IF(P8="N/A","生效",IF(TODAY()&lt;DATE(VALUE(RIGHT(P8,4)),VALUE(MID(P8,4,2)),VALUE(LEFT(P8,2))),"计划实施",IF(Q8="","生效",IF(Q8="N/A","生效",IF(TODAY()&lt;DATE(VALUE(RIGHT(Q8,4)),VALUE(MID(Q8,4,2)),VALUE(LEFT(Q8,2))),"生效","已终止"))))))</f>
        <v/>
      </c>
      <c r="U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V8" s="341" t="inlineStr">
        <is>
          <t>道路交通基础设施</t>
        </is>
      </c>
      <c r="W8" s="341" t="inlineStr">
        <is>
          <t>新建；既有</t>
        </is>
      </c>
      <c r="X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Y8" s="341" t="inlineStr">
        <is>
          <t>N/A</t>
        </is>
      </c>
      <c r="Z8" s="341" t="inlineStr">
        <is>
          <t>N/A</t>
        </is>
      </c>
      <c r="AA8" s="341" t="inlineStr">
        <is>
          <t>政府</t>
        </is>
      </c>
      <c r="AB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C8" s="341" t="inlineStr">
        <is>
          <t>购买或使用；投资</t>
        </is>
      </c>
      <c r="AD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E8" s="341" t="inlineStr">
        <is>
          <t>N/A</t>
        </is>
      </c>
      <c r="AF8" s="341" t="inlineStr">
        <is>
          <t>N/A</t>
        </is>
      </c>
      <c r="AG8" s="341" t="inlineStr">
        <is>
          <t>本工具为政府采购需求标准机制，非财政补贴类工具，无直接金额型政策强度指标。通过政府采购市场力量拉动公路绿色低碳技术和材料需求。纳入试点且符合信贷要求的项目可申请绿色金融支持。</t>
        </is>
      </c>
      <c r="AH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I8" s="341" t="inlineStr">
        <is>
          <t>N/A</t>
        </is>
      </c>
      <c r="AJ8" s="341" t="inlineStr">
        <is>
          <t>N/A</t>
        </is>
      </c>
      <c r="AK8" s="341" t="inlineStr">
        <is>
          <t>N/A</t>
        </is>
      </c>
      <c r="AL8" s="341" t="inlineStr">
        <is>
          <t>N/A</t>
        </is>
      </c>
      <c r="AM8" s="341" t="inlineStr">
        <is>
          <t>公开招标</t>
        </is>
      </c>
      <c r="AN8" s="341" t="inlineStr">
        <is>
          <t>满足《政府采购支持公路绿色低碳发展基本要求（试行）》为采购实质性要求或加分项</t>
        </is>
      </c>
      <c r="AO8" s="341" t="inlineStr">
        <is>
          <t>财政部门监管；交通运输部门项目监管</t>
        </is>
      </c>
      <c r="AP8" s="341" t="inlineStr">
        <is>
          <t>合同执行</t>
        </is>
      </c>
      <c r="AQ8" s="341" t="inlineStr">
        <is>
          <t>N/A</t>
        </is>
      </c>
      <c r="AR8" s="341" t="inlineStr">
        <is>
          <t>未公开。试点尚在申报批复阶段（首批申报2026年1月31日截止，2026年3月6日前批复），尚无年度支出数据。通过政府采购市场力量拉动绿色公路技术和材料需求。</t>
        </is>
      </c>
      <c r="AS8" s="341" t="inlineStr">
        <is>
          <t>N/A</t>
        </is>
      </c>
      <c r="AT8" s="341" t="inlineStr">
        <is>
          <t>N/A</t>
        </is>
      </c>
      <c r="AU8" s="341" t="inlineStr">
        <is>
          <t>F42</t>
        </is>
      </c>
      <c r="AV8" s="341" t="inlineStr">
        <is>
          <t>CO2</t>
        </is>
      </c>
      <c r="AW8" s="341" t="inlineStr">
        <is>
          <t>正向</t>
        </is>
      </c>
      <c r="AX8" s="341" t="inlineStr">
        <is>
          <t>节能；污染防治；循环经济；技术创新；产业发展</t>
        </is>
      </c>
      <c r="AY8" s="341" t="inlineStr">
        <is>
          <t>《关于组织开展“政府采购支持公路绿色低碳发展”试点工作的通知》（财库〔2025〕32号）</t>
        </is>
      </c>
      <c r="AZ8" s="341" t="inlineStr">
        <is>
          <t>https://www.gov.cn/zhengce/zhengceku/202601/content_7055549.htm</t>
        </is>
      </c>
      <c r="BA8" s="341" t="inlineStr">
        <is>
          <t>https://m.mof.gov.cn/zcfb/202601/t20260104_3981293.htm</t>
        </is>
      </c>
      <c r="BB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县级</t>
        </is>
      </c>
      <c r="N9" s="341" t="inlineStr">
        <is>
          <t>2024年首批67个试点县（后调整为辽宁、湖南、云南、甘肃、河南等省联合试点县），2025年第二批75个试点县（含联合体），覆盖26个省份；具体名单见财政部、工业和信息化部、交通运输部相关公示</t>
        </is>
      </c>
      <c r="O9" s="341" t="inlineStr">
        <is>
          <t>09/04/2024</t>
        </is>
      </c>
      <c r="P9" s="341" t="inlineStr">
        <is>
          <t>09/04/2024</t>
        </is>
      </c>
      <c r="Q9" s="341" t="inlineStr">
        <is>
          <t>31/12/2026</t>
        </is>
      </c>
      <c r="R9" s="341" t="inlineStr">
        <is>
          <t>06/03/2026</t>
        </is>
      </c>
      <c r="S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T9" s="341">
        <f>IF(P9="","生效",IF(P9="N/A","生效",IF(TODAY()&lt;DATE(VALUE(RIGHT(P9,4)),VALUE(MID(P9,4,2)),VALUE(LEFT(P9,2))),"计划实施",IF(Q9="","生效",IF(Q9="N/A","生效",IF(TODAY()&lt;DATE(VALUE(RIGHT(Q9,4)),VALUE(MID(Q9,4,2)),VALUE(LEFT(Q9,2))),"生效","已终止"))))))</f>
        <v/>
      </c>
      <c r="U9" s="341" t="inlineStr">
        <is>
          <t>财政部（主管奖励资金安排、拨付和清算）；工业和信息化部（主管充换电设施技术标准和产业发展）；交通运输部（主管公路沿线充换电设施规划和运营管理）；省级财政、工业和信息化、交通运输主管部门</t>
        </is>
      </c>
      <c r="V9" s="341" t="inlineStr">
        <is>
          <t>电力网；道路基础设施</t>
        </is>
      </c>
      <c r="W9" s="341" t="inlineStr">
        <is>
          <t>新建</t>
        </is>
      </c>
      <c r="X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Y9" s="341" t="inlineStr">
        <is>
          <t>2025年起新增电动重卡充换电设施。2026年新增绿电应用激励：光伏自发自用电量不低于40%的充换电设施可按1.2倍折算标准桩。</t>
        </is>
      </c>
      <c r="Z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A9" s="341" t="inlineStr">
        <is>
          <t>企业；政府</t>
        </is>
      </c>
      <c r="AB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C9" s="341" t="inlineStr">
        <is>
          <t>购买或使用；投资</t>
        </is>
      </c>
      <c r="AD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E9" s="341" t="inlineStr">
        <is>
          <t>4500</t>
        </is>
      </c>
      <c r="AF9" s="341" t="inlineStr">
        <is>
          <t>万元/试点县（3年累计最高）</t>
        </is>
      </c>
      <c r="AG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H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I9" s="341" t="inlineStr">
        <is>
          <t>N/A</t>
        </is>
      </c>
      <c r="AJ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K9" s="341" t="inlineStr">
        <is>
          <t>中央财政先预拨70%奖励资金，地方和企业配套投入建设运营</t>
        </is>
      </c>
      <c r="AL9" s="341" t="inlineStr">
        <is>
          <t>试点县申报，省级推荐，三部委联合评审择优确定</t>
        </is>
      </c>
      <c r="AM9" s="341" t="inlineStr"/>
      <c r="AN9" s="341" t="inlineStr"/>
      <c r="AO9" s="341" t="inlineStr"/>
      <c r="AP9" s="341" t="inlineStr"/>
      <c r="AQ9" s="341" t="inlineStr"/>
      <c r="AR9" s="341" t="inlineStr">
        <is>
          <t>每个试点县3年累计最高4500万元（先预拨≥70%、后清算），2024-2025年共约142个试点县。来源：财建〔2024〕57号（关于开展县域充换电设施补短板试点工作的通知）</t>
        </is>
      </c>
      <c r="AS9" s="341" t="inlineStr">
        <is>
          <t>N/A</t>
        </is>
      </c>
      <c r="AT9" s="341" t="inlineStr">
        <is>
          <t>N/A</t>
        </is>
      </c>
      <c r="AU9" s="341" t="inlineStr">
        <is>
          <t>D35</t>
        </is>
      </c>
      <c r="AV9" s="341" t="inlineStr">
        <is>
          <t>CO2</t>
        </is>
      </c>
      <c r="AW9" s="341" t="inlineStr">
        <is>
          <t>正向</t>
        </is>
      </c>
      <c r="AX9" s="341" t="inlineStr">
        <is>
          <t>污染防治；技术创新；产业发展</t>
        </is>
      </c>
      <c r="AY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AZ9" s="341" t="inlineStr">
        <is>
          <t>http://gdii.gd.gov.cn/attachment/0/573/573794/4673048.pdf</t>
        </is>
      </c>
      <c r="BA9" s="341" t="inlineStr">
        <is>
          <t>https://xxgk.mot.gov.cn/2020/jigou/glj/202502/t20250227_4164848.html; http://jjs.mof.gov.cn/tongzhigonggao/202603/t20260313_3985275.htm</t>
        </is>
      </c>
      <c r="BB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能源效率；减缓气候变化</t>
        </is>
      </c>
      <c r="L10" s="341" t="inlineStr">
        <is>
          <t>直接</t>
        </is>
      </c>
      <c r="M10" s="341" t="inlineStr">
        <is>
          <t>国家</t>
        </is>
      </c>
      <c r="N10" s="341" t="inlineStr">
        <is>
          <t>N/A</t>
        </is>
      </c>
      <c r="O10" s="341" t="inlineStr">
        <is>
          <t>17/03/2024</t>
        </is>
      </c>
      <c r="P10" s="341" t="inlineStr">
        <is>
          <t>17/03/2024</t>
        </is>
      </c>
      <c r="Q10" s="341" t="inlineStr">
        <is>
          <t>N/A</t>
        </is>
      </c>
      <c r="R10" s="341" t="inlineStr">
        <is>
          <t>19/09/2025</t>
        </is>
      </c>
      <c r="S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T10" s="341">
        <f>IF(P10="","生效",IF(P10="N/A","生效",IF(TODAY()&lt;DATE(VALUE(RIGHT(P10,4)),VALUE(MID(P10,4,2)),VALUE(LEFT(P10,2))),"计划实施",IF(Q10="","生效",IF(Q10="N/A","生效",IF(TODAY()&lt;DATE(VALUE(RIGHT(Q10,4)),VALUE(MID(Q10,4,2)),VALUE(LEFT(Q10,2))),"生效","已终止"))))))</f>
        <v/>
      </c>
      <c r="U10" s="341" t="inlineStr">
        <is>
          <t>国家发展和改革委员会（资源节约和环境保护司主管）；省级发展改革部门（项目汇总申报）；有关中央单位</t>
        </is>
      </c>
      <c r="V10" s="341" t="inlineStr">
        <is>
          <t>工业设施；发电设施；集中供热系统；算力基础设施；循环经济设施（城市矿产示范基地、资源循环利用基地、回收站点、绿色分拣中心）；碳捕集利用与封存设施；碳排放监测与核算系统；国家机关建筑</t>
        </is>
      </c>
      <c r="W10" s="341" t="inlineStr">
        <is>
          <t>新建；既有</t>
        </is>
      </c>
      <c r="X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Y10" s="341" t="inlineStr">
        <is>
          <t>已获得其他中央预算内投资专项支持的项目，不在本专项支持范围。资金只能用于前期手续齐全、具备开工条件的计划新开工或在建项目，不得用于已完工（含试运行）项目。</t>
        </is>
      </c>
      <c r="Z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A10" s="341" t="inlineStr">
        <is>
          <t>企业；政府</t>
        </is>
      </c>
      <c r="AB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C10" s="341" t="inlineStr">
        <is>
          <t>投资；生产、生成或转化；购买或使用</t>
        </is>
      </c>
      <c r="AD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E10" s="341" t="inlineStr">
        <is>
          <t>20；60；70；80</t>
        </is>
      </c>
      <c r="AF10" s="341" t="inlineStr">
        <is>
          <t>%（占核定总投资的中央预算内投资支持比例）</t>
        </is>
      </c>
      <c r="AG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H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I10" s="341" t="inlineStr">
        <is>
          <t>N/A</t>
        </is>
      </c>
      <c r="AJ10" s="341" t="inlineStr">
        <is>
          <t>N/A</t>
        </is>
      </c>
      <c r="AK10" s="341" t="inlineStr">
        <is>
          <t>否</t>
        </is>
      </c>
      <c r="AL10" s="341" t="inlineStr">
        <is>
          <t>省级发展改革部门汇总申报，国家发展改革委委托第三方评估择优批复</t>
        </is>
      </c>
      <c r="AM10" s="341" t="inlineStr">
        <is>
          <t>N/A</t>
        </is>
      </c>
      <c r="AN10" s="341" t="inlineStr">
        <is>
          <t>N/A</t>
        </is>
      </c>
      <c r="AO10" s="341" t="inlineStr">
        <is>
          <t>N/A</t>
        </is>
      </c>
      <c r="AP10" s="341" t="inlineStr">
        <is>
          <t>N/A</t>
        </is>
      </c>
      <c r="AQ10" s="341" t="inlineStr">
        <is>
          <t>N/A</t>
        </is>
      </c>
      <c r="AR10" s="341" t="inlineStr">
        <is>
          <t>不公开。国家发改委不公布各专项分年度拨款金额。2025年中央预算内投资总规模7,350亿元（所有领域合计）。来源：2025年政府工作报告</t>
        </is>
      </c>
      <c r="AS10" s="341" t="inlineStr">
        <is>
          <t>N/A</t>
        </is>
      </c>
      <c r="AT10" s="341" t="inlineStr">
        <is>
          <t>N/A</t>
        </is>
      </c>
      <c r="AU10" s="341" t="inlineStr">
        <is>
          <t>D35; C24; C23; C19; C20; C28; E36; E37; E38; E39; J61; J62; J63</t>
        </is>
      </c>
      <c r="AV10" s="341" t="inlineStr">
        <is>
          <t>CO2</t>
        </is>
      </c>
      <c r="AW10" s="341" t="inlineStr">
        <is>
          <t>正向</t>
        </is>
      </c>
      <c r="AX10" s="341" t="inlineStr">
        <is>
          <t>节能；循环经济；技术创新；产业发展；能源安全</t>
        </is>
      </c>
      <c r="AY10" s="341" t="inlineStr">
        <is>
          <t>节能降碳中央预算内投资专项管理办法（发改环资规〔2025〕1228号）</t>
        </is>
      </c>
      <c r="AZ10" s="341" t="inlineStr">
        <is>
          <t>https://www.ndrc.gov.cn/xxgk/zcfb/ghxwj/202510/t20251014_1400943_ext.html</t>
        </is>
      </c>
      <c r="BA10" s="341" t="inlineStr">
        <is>
          <t>https://www.ndrc.gov.cn/xxgk/zcfb/ghxwj/202404/t20240408_1365534.html</t>
        </is>
      </c>
      <c r="BB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国家</t>
        </is>
      </c>
      <c r="N11" s="341" t="inlineStr">
        <is>
          <t>N/A</t>
        </is>
      </c>
      <c r="O11" s="341" t="inlineStr">
        <is>
          <t>08/02/2021</t>
        </is>
      </c>
      <c r="P11" s="341" t="inlineStr">
        <is>
          <t>08/02/2021</t>
        </is>
      </c>
      <c r="Q11" s="341" t="inlineStr">
        <is>
          <t>31/12/2030</t>
        </is>
      </c>
      <c r="R11" s="341" t="inlineStr">
        <is>
          <t>27/11/2025</t>
        </is>
      </c>
      <c r="S11" s="341" t="inlineStr">
        <is>
          <t>替代铁路项目中央预算内投资专项管理办法（发改基础规〔2023〕1761号）。2025版名称从铁路项目调整为铁路专项，有效期明确至2030年12月31日。</t>
        </is>
      </c>
      <c r="T11" s="341">
        <f>IF(P11="","生效",IF(P11="N/A","生效",IF(TODAY()&lt;DATE(VALUE(RIGHT(P11,4)),VALUE(MID(P11,4,2)),VALUE(LEFT(P11,2))),"计划实施",IF(Q11="","生效",IF(Q11="N/A","生效",IF(TODAY()&lt;DATE(VALUE(RIGHT(Q11,4)),VALUE(MID(Q11,4,2)),VALUE(LEFT(Q11,2))),"生效","已终止"))))))</f>
        <v/>
      </c>
      <c r="U11" s="341" t="inlineStr">
        <is>
          <t>国家发展和改革委员会（基础设施发展司）；中国国家铁路集团有限公司（出资人代表）；省级发展改革部门</t>
        </is>
      </c>
      <c r="V11" s="341" t="inlineStr">
        <is>
          <t>铁路基础设施（干线铁路、城际铁路线路及配套设施）</t>
        </is>
      </c>
      <c r="W11" s="341" t="inlineStr">
        <is>
          <t>新建；既有</t>
        </is>
      </c>
      <c r="X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Y11" s="341" t="inlineStr">
        <is>
          <t>特殊地区（西藏、南疆四地州等）可采用全额资本金方式支持。项目须已纳入规划、通过审批/核准/备案、纳入重大建设项目库并具备开工条件、建设资金来源和条件基本落实。</t>
        </is>
      </c>
      <c r="Z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A11" s="341" t="inlineStr">
        <is>
          <t>企业；政府</t>
        </is>
      </c>
      <c r="AB11" s="341" t="inlineStr">
        <is>
          <t>中国国家铁路集团有限公司（国铁集团）作为中央出资人代表。省级发展改革部门可申请中央预算内投资作为地方资本金投入。项目单位须为符合条件的铁路建设企业或项目公司。</t>
        </is>
      </c>
      <c r="AC11" s="341" t="inlineStr">
        <is>
          <t>投资</t>
        </is>
      </c>
      <c r="AD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E11" s="341" t="inlineStr">
        <is>
          <t>10；15；20；30；40；50；70；90</t>
        </is>
      </c>
      <c r="AF11" s="341" t="inlineStr">
        <is>
          <t>%（占项目资本金的中央预算内投资比例）</t>
        </is>
      </c>
      <c r="AG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H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I11" s="341" t="inlineStr">
        <is>
          <t>N/A</t>
        </is>
      </c>
      <c r="AJ11" s="341" t="inlineStr">
        <is>
          <t>N/A</t>
        </is>
      </c>
      <c r="AK11" s="341" t="inlineStr">
        <is>
          <t>否</t>
        </is>
      </c>
      <c r="AL11" s="341" t="inlineStr">
        <is>
          <t>省级发展改革部门或国铁集团报送申请，国家发展改革委审核批复</t>
        </is>
      </c>
      <c r="AM11" s="341" t="inlineStr">
        <is>
          <t>N/A</t>
        </is>
      </c>
      <c r="AN11" s="341" t="inlineStr">
        <is>
          <t>N/A</t>
        </is>
      </c>
      <c r="AO11" s="341" t="inlineStr">
        <is>
          <t>N/A</t>
        </is>
      </c>
      <c r="AP11" s="341" t="inlineStr">
        <is>
          <t>N/A</t>
        </is>
      </c>
      <c r="AQ11" s="341" t="inlineStr">
        <is>
          <t>N/A</t>
        </is>
      </c>
      <c r="AR11" s="341" t="inlineStr">
        <is>
          <t>不公开。国家发改委不单独公布中央预算内投资的铁路份额。2025年全国铁路固定资产投资总额9,015亿元（含多渠道资金）。来源：国铁集团2025年统计公报</t>
        </is>
      </c>
      <c r="AS11" s="341" t="inlineStr">
        <is>
          <t>N/A</t>
        </is>
      </c>
      <c r="AT11" s="341" t="inlineStr">
        <is>
          <t>N/A</t>
        </is>
      </c>
      <c r="AU11" s="341" t="inlineStr">
        <is>
          <t>H49; F42</t>
        </is>
      </c>
      <c r="AV11" s="341" t="inlineStr">
        <is>
          <t>CO2</t>
        </is>
      </c>
      <c r="AW11" s="341" t="inlineStr">
        <is>
          <t>正向</t>
        </is>
      </c>
      <c r="AX11" s="341" t="inlineStr">
        <is>
          <t>污染防治；产业发展；能源安全</t>
        </is>
      </c>
      <c r="AY11" s="341" t="inlineStr">
        <is>
          <t>铁路专项中央预算内投资管理办法（发改基础规〔2025〕1516号）</t>
        </is>
      </c>
      <c r="AZ11" s="341" t="inlineStr">
        <is>
          <t>https://www.gov.cn/gongbao/2026/issue_12526/202601/content_7056484.html</t>
        </is>
      </c>
      <c r="BA11" s="341" t="inlineStr">
        <is>
          <t>https://www.ndrc.gov.cn/xxgk/zcfb/ghxwj/202401/t20240117_1363432.html; https://zfxxgk.ndrc.gov.cn/web/iteminfo.jsp?id=17930</t>
        </is>
      </c>
      <c r="BB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国家</t>
        </is>
      </c>
      <c r="N12" s="341" t="inlineStr">
        <is>
          <t>N/A</t>
        </is>
      </c>
      <c r="O12" s="341" t="inlineStr">
        <is>
          <t>15/03/2024</t>
        </is>
      </c>
      <c r="P12" s="341" t="inlineStr">
        <is>
          <t>15/03/2024</t>
        </is>
      </c>
      <c r="Q12" s="341" t="inlineStr">
        <is>
          <t>31/12/2028</t>
        </is>
      </c>
      <c r="R12" s="341" t="inlineStr">
        <is>
          <t>N/A</t>
        </is>
      </c>
      <c r="S12" s="341" t="inlineStr">
        <is>
          <t>N/A</t>
        </is>
      </c>
      <c r="T12" s="341">
        <f>IF(P12="","生效",IF(P12="N/A","生效",IF(TODAY()&lt;DATE(VALUE(RIGHT(P12,4)),VALUE(MID(P12,4,2)),VALUE(LEFT(P12,2))),"计划实施",IF(Q12="","生效",IF(Q12="N/A","生效",IF(TODAY()&lt;DATE(VALUE(RIGHT(Q12,4)),VALUE(MID(Q12,4,2)),VALUE(LEFT(Q12,2))),"生效","已终止"))))))</f>
        <v/>
      </c>
      <c r="U12" s="341" t="inlineStr">
        <is>
          <t>国家发展和改革委员会（基础设施发展司）；交通运输部（行业主管部门）；省级发展改革部门</t>
        </is>
      </c>
      <c r="V12" s="341" t="inlineStr">
        <is>
          <t>水运基础设施（内河航道；通航建筑物（船闸、升船机）；航电枢纽；航道配套设施（维护疏浚船舶基地、航标维护基地、航道维护码头）；沿海港口港航公共基础设施（进港航道、防波堤、锚地）；船舶岸电受电设施）</t>
        </is>
      </c>
      <c r="W12" s="341" t="inlineStr">
        <is>
          <t>新建；既有</t>
        </is>
      </c>
      <c r="X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Y12" s="341" t="inlineStr">
        <is>
          <t>N/A</t>
        </is>
      </c>
      <c r="Z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A12" s="341" t="inlineStr">
        <is>
          <t>企业；政府</t>
        </is>
      </c>
      <c r="AB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C12" s="341" t="inlineStr">
        <is>
          <t>投资</t>
        </is>
      </c>
      <c r="AD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E12" s="341" t="inlineStr">
        <is>
          <t>30；40；50；60；80；100</t>
        </is>
      </c>
      <c r="AF12" s="341" t="inlineStr">
        <is>
          <t>%（占工程费用或项目资本金或项目投资的中央预算内投资支持比例）</t>
        </is>
      </c>
      <c r="AG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H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I12" s="341" t="inlineStr">
        <is>
          <t>N/A</t>
        </is>
      </c>
      <c r="AJ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K12" s="341" t="inlineStr">
        <is>
          <t>否</t>
        </is>
      </c>
      <c r="AL12" s="341" t="inlineStr">
        <is>
          <t>省级发展改革部门汇总申报，国家发展改革委审核下达。长江干线航道项目由国家发展改革委直接审批。沿海港口项目优先支持国家重大战略实施项目。</t>
        </is>
      </c>
      <c r="AM12" s="341" t="inlineStr">
        <is>
          <t>N/A</t>
        </is>
      </c>
      <c r="AN12" s="341" t="inlineStr">
        <is>
          <t>N/A</t>
        </is>
      </c>
      <c r="AO12" s="341" t="inlineStr">
        <is>
          <t>N/A</t>
        </is>
      </c>
      <c r="AP12" s="341" t="inlineStr">
        <is>
          <t>N/A</t>
        </is>
      </c>
      <c r="AQ12" s="341" t="inlineStr">
        <is>
          <t>N/A</t>
        </is>
      </c>
      <c r="AR12" s="341" t="inlineStr">
        <is>
          <t>不公开。国家发改委不公布该专项的分年度拨款金额。水运中央预算内投资专项管理办法（发改基础规〔2024〕306号）仅规定支持比例，未列明年度总额。</t>
        </is>
      </c>
      <c r="AS12" s="341" t="inlineStr">
        <is>
          <t>N/A</t>
        </is>
      </c>
      <c r="AT12" s="341" t="inlineStr">
        <is>
          <t>N/A</t>
        </is>
      </c>
      <c r="AU12" s="341" t="inlineStr">
        <is>
          <t>H50；H52</t>
        </is>
      </c>
      <c r="AV12" s="341" t="inlineStr">
        <is>
          <t>CO2</t>
        </is>
      </c>
      <c r="AW12" s="341" t="inlineStr">
        <is>
          <t>正向</t>
        </is>
      </c>
      <c r="AX12" s="341" t="inlineStr">
        <is>
          <t>污染防治；产业发展；能源安全</t>
        </is>
      </c>
      <c r="AY12" s="341" t="inlineStr">
        <is>
          <t>水运中央预算内投资专项管理办法（发改基础规〔2024〕306号）</t>
        </is>
      </c>
      <c r="AZ12" s="341" t="inlineStr">
        <is>
          <t>https://www.ndrc.gov.cn/xxgk/zcfb/ghxwj/202403/t20240326_1365287_ext.html</t>
        </is>
      </c>
      <c r="BA12" s="341" t="inlineStr">
        <is>
          <t>https://zfxxgk.ndrc.gov.cn/web/iteminfo.jsp?id=20355</t>
        </is>
      </c>
      <c r="BB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生态保护；循环经济</t>
        </is>
      </c>
      <c r="L13" s="341" t="inlineStr">
        <is>
          <t>间接</t>
        </is>
      </c>
      <c r="M13" s="341" t="inlineStr">
        <is>
          <t>国家</t>
        </is>
      </c>
      <c r="N13" s="341" t="inlineStr">
        <is>
          <t>N/A</t>
        </is>
      </c>
      <c r="O13" s="341" t="inlineStr">
        <is>
          <t>06/05/2024</t>
        </is>
      </c>
      <c r="P13" s="341" t="inlineStr">
        <is>
          <t>06/05/2024</t>
        </is>
      </c>
      <c r="Q13" s="341" t="inlineStr">
        <is>
          <t>N/A</t>
        </is>
      </c>
      <c r="R13" s="341" t="inlineStr">
        <is>
          <t>21/05/2026</t>
        </is>
      </c>
      <c r="S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T13" s="341">
        <f>IF(P13="","生效",IF(P13="N/A","生效",IF(TODAY()&lt;DATE(VALUE(RIGHT(P13,4)),VALUE(MID(P13,4,2)),VALUE(LEFT(P13,2))),"计划实施",IF(Q13="","生效",IF(Q13="N/A","生效",IF(TODAY()&lt;DATE(VALUE(RIGHT(Q13,4)),VALUE(MID(Q13,4,2)),VALUE(LEFT(Q13,2))),"生效","已终止"))))))</f>
        <v/>
      </c>
      <c r="U13" s="341" t="inlineStr">
        <is>
          <t>国家发展和改革委员会（农村经济司）；国家林业和草原局；省级发展改革部门会同行业主管部门</t>
        </is>
      </c>
      <c r="V13" s="341" t="inlineStr">
        <is>
          <t>森林；草地；湿地；自然保护地（国家公园、自然保护区）；林草防火设施；林草种质资源设施；国家储备林；野生动植物保护设施</t>
        </is>
      </c>
      <c r="W13" s="341" t="inlineStr">
        <is>
          <t>新建；既有</t>
        </is>
      </c>
      <c r="X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Y13" s="341" t="inlineStr">
        <is>
          <t>西藏自治区项目中央预算内投资支持比例为100%（部分按定额安排的项目除外）。项目须纳入国家重大建设项目库，由省级发展改革部门会同行业主管部门联合报送。</t>
        </is>
      </c>
      <c r="Z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A13" s="341" t="inlineStr">
        <is>
          <t>企业；政府</t>
        </is>
      </c>
      <c r="AB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C13" s="341" t="inlineStr">
        <is>
          <t>投资；购买或使用</t>
        </is>
      </c>
      <c r="AD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E13" s="341" t="inlineStr">
        <is>
          <t>60；70；80；90；100</t>
        </is>
      </c>
      <c r="AF13" s="341" t="inlineStr">
        <is>
          <t>%（占核定总投资的中央预算内投资支持比例）</t>
        </is>
      </c>
      <c r="AG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H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I13" s="341" t="inlineStr">
        <is>
          <t>N/A</t>
        </is>
      </c>
      <c r="AJ13" s="341" t="inlineStr">
        <is>
          <t>N/A</t>
        </is>
      </c>
      <c r="AK13" s="341" t="inlineStr">
        <is>
          <t>否</t>
        </is>
      </c>
      <c r="AL13" s="341" t="inlineStr">
        <is>
          <t>省级发展改革部门会同行业主管部门联合报送，国家发展改革委审核下达</t>
        </is>
      </c>
      <c r="AM13" s="341" t="inlineStr">
        <is>
          <t>N/A</t>
        </is>
      </c>
      <c r="AN13" s="341" t="inlineStr">
        <is>
          <t>N/A</t>
        </is>
      </c>
      <c r="AO13" s="341" t="inlineStr">
        <is>
          <t>N/A</t>
        </is>
      </c>
      <c r="AP13" s="341" t="inlineStr">
        <is>
          <t>N/A</t>
        </is>
      </c>
      <c r="AQ13" s="341" t="inlineStr">
        <is>
          <t>N/A</t>
        </is>
      </c>
      <c r="AR13" s="341" t="inlineStr">
        <is>
          <t>不公开。国家发改委不公布该专项全国年度总额。仅有省级零星数据（如云南2025年获15.27亿元）。来源：云南省发改委网站</t>
        </is>
      </c>
      <c r="AS13" s="341" t="inlineStr">
        <is>
          <t>N/A</t>
        </is>
      </c>
      <c r="AT13" s="341" t="inlineStr">
        <is>
          <t>N/A</t>
        </is>
      </c>
      <c r="AU13" s="341" t="inlineStr">
        <is>
          <t>A02; A03</t>
        </is>
      </c>
      <c r="AV13" s="341" t="inlineStr">
        <is>
          <t>CO2</t>
        </is>
      </c>
      <c r="AW13" s="341" t="inlineStr">
        <is>
          <t>正向</t>
        </is>
      </c>
      <c r="AX13" s="341" t="inlineStr">
        <is>
          <t>生物多样性保护；生态保护；荒漠化防治</t>
        </is>
      </c>
      <c r="AY13" s="341" t="inlineStr">
        <is>
          <t>生态保护修复领域中央预算内投资专项管理办法（发改农经〔2026〕713号）</t>
        </is>
      </c>
      <c r="AZ13" s="341" t="inlineStr">
        <is>
          <t>https://www.ndrc.gov.cn/xwdt/tzgg/202606/t20260608_1405756.html</t>
        </is>
      </c>
      <c r="BA13" s="341" t="inlineStr">
        <is>
          <t>https://zfxxgk.ndrc.gov.cn/web/iteminfo.jsp?id=20380</t>
        </is>
      </c>
      <c r="BB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减缓气候变化；污染防治；生态保护；非化石能源；绿色消费；绿色金融</t>
        </is>
      </c>
      <c r="L14" s="341" t="inlineStr">
        <is>
          <t>直接</t>
        </is>
      </c>
      <c r="M14" s="341" t="inlineStr">
        <is>
          <t>国家</t>
        </is>
      </c>
      <c r="N14" s="341" t="inlineStr">
        <is>
          <t>N/A</t>
        </is>
      </c>
      <c r="O14" s="341" t="inlineStr">
        <is>
          <t>14/07/2020</t>
        </is>
      </c>
      <c r="P14" s="341" t="inlineStr">
        <is>
          <t>14/07/2020</t>
        </is>
      </c>
      <c r="Q14" s="341" t="inlineStr">
        <is>
          <t>N/A</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V14" s="341" t="inlineStr">
        <is>
          <t>绿色环保节能项目（包括绿色产业升级项目、污染治理项目、生态修复项目、清洁能源项目、绿色交通项目）；被投资企业股权；绿色基础设施资产</t>
        </is>
      </c>
      <c r="W14" s="341" t="inlineStr">
        <is>
          <t>新建；既有</t>
        </is>
      </c>
      <c r="X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Y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Z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A14" s="341" t="inlineStr">
        <is>
          <t>企业</t>
        </is>
      </c>
      <c r="AB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C14" s="341" t="inlineStr">
        <is>
          <t>投资</t>
        </is>
      </c>
      <c r="AD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E14" s="341" t="inlineStr">
        <is>
          <t>885</t>
        </is>
      </c>
      <c r="AF14" s="341" t="inlineStr">
        <is>
          <t>亿元人民币（首期注册资本）</t>
        </is>
      </c>
      <c r="AG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H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I14" s="341" t="inlineStr">
        <is>
          <t>N/A</t>
        </is>
      </c>
      <c r="AJ14" s="341" t="inlineStr">
        <is>
          <t>N/A</t>
        </is>
      </c>
      <c r="AK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L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M14" s="341" t="inlineStr"/>
      <c r="AN14" s="341" t="inlineStr"/>
      <c r="AO14" s="341" t="inlineStr"/>
      <c r="AP14" s="341" t="inlineStr"/>
      <c r="AQ14" s="341" t="inlineStr"/>
      <c r="AR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S14" s="341" t="inlineStr">
        <is>
          <t>N/A</t>
        </is>
      </c>
      <c r="AT14" s="341" t="inlineStr">
        <is>
          <t>N/A</t>
        </is>
      </c>
      <c r="AU14" s="341" t="inlineStr">
        <is>
          <t>D35; C24; C23; C19; C20; C28; E36; E37; E38; E39; H49; A02; A03; J61; J62; J63</t>
        </is>
      </c>
      <c r="AV14" s="341" t="inlineStr">
        <is>
          <t>CO2; CH4; N2O; HFCs</t>
        </is>
      </c>
      <c r="AW14" s="341" t="inlineStr">
        <is>
          <t>正向</t>
        </is>
      </c>
      <c r="AX14" s="341" t="inlineStr">
        <is>
          <t>污染防治；生态保护；技术创新；产业发展；能源安全</t>
        </is>
      </c>
      <c r="AY14" s="341" t="inlineStr">
        <is>
          <t>国家绿色发展基金股份有限公司章程；国家绿色发展基金设立方案</t>
        </is>
      </c>
      <c r="AZ14" s="341" t="inlineStr">
        <is>
          <t>http://www.mof.gov.cn/zhengwuxinxi/tupianxinwen1/202007/t20200715_3550334.htm</t>
        </is>
      </c>
      <c r="BA14" s="341" t="inlineStr">
        <is>
          <t>https://www.ngd-fund.com; http://www.mof.gov.cn/zhengwuxinxi/xinwenlianbo/shanghaicaizhengxinxilianbo/202007/t20200722_3554610.htm</t>
        </is>
      </c>
      <c r="BB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城市级</t>
        </is>
      </c>
      <c r="N15" s="341" t="inlineStr">
        <is>
          <t>通过揭榜挂帅方式择优确定5个城市群开展试点（具体名单以官方公示为准）</t>
        </is>
      </c>
      <c r="O15" s="341" t="inlineStr">
        <is>
          <t>06/03/2026</t>
        </is>
      </c>
      <c r="P15" s="341" t="inlineStr">
        <is>
          <t>16/03/2026</t>
        </is>
      </c>
      <c r="Q15" s="341" t="inlineStr">
        <is>
          <t>31/12/2030</t>
        </is>
      </c>
      <c r="R15" s="341" t="inlineStr">
        <is>
          <t>N/A</t>
        </is>
      </c>
      <c r="S15" s="341" t="inlineStr">
        <is>
          <t>本办法刚于2026年3月发布，目前为初始版本。申报截止日期为2026年4月15日，后续可能根据遴选和实施方案评审情况印发补充通知。</t>
        </is>
      </c>
      <c r="T15" s="341">
        <f>IF(P15="","生效",IF(P15="N/A","生效",IF(TODAY()&lt;DATE(VALUE(RIGHT(P15,4)),VALUE(MID(P15,4,2)),VALUE(LEFT(P15,2))),"计划实施",IF(Q15="","生效",IF(Q15="N/A","生效",IF(TODAY()&lt;DATE(VALUE(RIGHT(Q15,4)),VALUE(MID(Q15,4,2)),VALUE(LEFT(Q15,2))),"生效","已终止"))))))</f>
        <v/>
      </c>
      <c r="U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V15" s="341" t="inlineStr">
        <is>
          <t>道路车辆；工业厂房；发电厂；管道</t>
        </is>
      </c>
      <c r="W15" s="341" t="inlineStr">
        <is>
          <t>新建</t>
        </is>
      </c>
      <c r="X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Y15" s="341" t="inlineStr">
        <is>
          <t>严禁以绿色氨醇名义建设煤基（煤气化）制氨/醇项目。清洁低碳氢须符合国家可再生能源制氢相关标准。试点城市群须形成地域联通、产业协同、生态闭环的氢能应用网络。</t>
        </is>
      </c>
      <c r="Z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A15" s="341" t="inlineStr">
        <is>
          <t>企业</t>
        </is>
      </c>
      <c r="AB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C15" s="341" t="inlineStr">
        <is>
          <t>研发；生产、发电或转化；购买或使用</t>
        </is>
      </c>
      <c r="AD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E15" s="341" t="inlineStr">
        <is>
          <t>16</t>
        </is>
      </c>
      <c r="AF15" s="341" t="inlineStr">
        <is>
          <t>亿元/城市群（最高奖励上限）</t>
        </is>
      </c>
      <c r="AG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H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I15" s="341" t="inlineStr">
        <is>
          <t>N/A</t>
        </is>
      </c>
      <c r="AJ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K15" s="341" t="inlineStr">
        <is>
          <t>中央财政先预拨后清算，城市群和企业配套投入</t>
        </is>
      </c>
      <c r="AL15" s="341" t="inlineStr">
        <is>
          <t>城市群自愿组合申报，揭榜挂帅方式，三部委择优确定5个试点</t>
        </is>
      </c>
      <c r="AM15" s="341" t="inlineStr"/>
      <c r="AN15" s="341" t="inlineStr"/>
      <c r="AO15" s="341" t="inlineStr"/>
      <c r="AP15" s="341" t="inlineStr"/>
      <c r="AQ15" s="341" t="inlineStr"/>
      <c r="AR15" s="341" t="inlineStr">
        <is>
          <t>5个城市群4年试点期合计奖励上限80亿元（单个城市群上限16亿元），每年约20亿元。以奖代补、先预拨后清算。来源：工信部联节〔2026〕59号</t>
        </is>
      </c>
      <c r="AS15" s="341" t="inlineStr">
        <is>
          <t>N/A</t>
        </is>
      </c>
      <c r="AT15" s="341" t="inlineStr">
        <is>
          <t>N/A</t>
        </is>
      </c>
      <c r="AU15" s="341" t="inlineStr">
        <is>
          <t>C20；D35；H49</t>
        </is>
      </c>
      <c r="AV15" s="341" t="inlineStr">
        <is>
          <t>CO2</t>
        </is>
      </c>
      <c r="AW15" s="341" t="inlineStr">
        <is>
          <t>正向</t>
        </is>
      </c>
      <c r="AX15" s="341" t="inlineStr">
        <is>
          <t>污染防治；技术创新；产业发展；能源安全</t>
        </is>
      </c>
      <c r="AY15" s="341" t="inlineStr">
        <is>
          <t>关于开展氢能综合应用试点工作的通知（工信部联节〔2026〕59号）；氢能产业发展中长期规划（2021—2035年）</t>
        </is>
      </c>
      <c r="AZ15" s="341" t="inlineStr">
        <is>
          <t>https://www.miit.gov.cn/zwgk/zcwj/wjfb/tz/art/2026/art_d2957277c4684eb59c0c0de01af59434.html</t>
        </is>
      </c>
      <c r="BA15" s="341" t="inlineStr">
        <is>
          <t>https://www.miit.gov.cn/jgsj/jns/gzdt/art/2026/art_0c5107aca7b4466e9ada0aea737d542f.html</t>
        </is>
      </c>
      <c r="BB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减缓气候变化；能源安全；产业发展；技术创新；电气化</t>
        </is>
      </c>
      <c r="L16" s="341" t="inlineStr">
        <is>
          <t>直接</t>
        </is>
      </c>
      <c r="M16" s="341" t="inlineStr">
        <is>
          <t>国家</t>
        </is>
      </c>
      <c r="N16" s="341" t="inlineStr">
        <is>
          <t>N/A</t>
        </is>
      </c>
      <c r="O16" s="341" t="inlineStr">
        <is>
          <t>17/11/2015</t>
        </is>
      </c>
      <c r="P16" s="341" t="inlineStr">
        <is>
          <t>17/11/2015</t>
        </is>
      </c>
      <c r="Q16" s="341" t="inlineStr">
        <is>
          <t>N/A</t>
        </is>
      </c>
      <c r="R16" s="341" t="inlineStr">
        <is>
          <t>N/A</t>
        </is>
      </c>
      <c r="S16" s="341" t="inlineStr">
        <is>
          <t>专项于2024年从科技部移交国家能源局管理。2024年8月国家能源局发布2024年度项目申报指南，2025年5月发布2025年度指南。十四五结束后专项是否延续待十五五规划确定。</t>
        </is>
      </c>
      <c r="T16" s="341">
        <f>IF(P16="","生效",IF(P16="N/A","生效",IF(TODAY()&lt;DATE(VALUE(RIGHT(P16,4)),VALUE(MID(P16,4,2)),VALUE(LEFT(P16,2))),"计划实施",IF(Q16="","生效",IF(Q16="N/A","生效",IF(TODAY()&lt;DATE(VALUE(RIGHT(Q16,4)),VALUE(MID(Q16,4,2)),VALUE(LEFT(Q16,2))),"生效","已终止"))))))</f>
        <v/>
      </c>
      <c r="U16" s="341" t="inlineStr">
        <is>
          <t>工业和信息化部（十四五期间主责单位）；国家科技管理信息系统公共服务平台（申报受理渠道）</t>
        </is>
      </c>
      <c r="V16" s="341" t="inlineStr">
        <is>
          <t>新能源汽车相关技术研发成果（专利、样机、示范线）；动力电池及管理系统；电机驱动与电力电子系统；智能驾驶系统；燃料电池动力系统</t>
        </is>
      </c>
      <c r="W16" s="341" t="inlineStr">
        <is>
          <t>新建</t>
        </is>
      </c>
      <c r="X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Y16" s="341" t="inlineStr">
        <is>
          <t>N/A</t>
        </is>
      </c>
      <c r="Z16" s="341" t="inlineStr">
        <is>
          <t>单个项目国拨经费一般为1175万至5554万元不等（2018年数据）。2024年8项任务拟安排国拨经费3.25亿元。企业牵头项目配套经费与国拨经费比例不低于2:1。</t>
        </is>
      </c>
      <c r="AA16" s="341" t="inlineStr">
        <is>
          <t>企业；政府</t>
        </is>
      </c>
      <c r="AB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C16" s="341" t="inlineStr">
        <is>
          <t>研发、示范和部署</t>
        </is>
      </c>
      <c r="AD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E16" s="341" t="inlineStr">
        <is>
          <t>3.25</t>
        </is>
      </c>
      <c r="AF16" s="341" t="inlineStr">
        <is>
          <t>亿元人民币/年（2024年度国拨经费概算）</t>
        </is>
      </c>
      <c r="AG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H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I16" s="341" t="inlineStr">
        <is>
          <t>N/A</t>
        </is>
      </c>
      <c r="AJ16" s="341" t="inlineStr">
        <is>
          <t>N/A</t>
        </is>
      </c>
      <c r="AK16" s="341" t="inlineStr">
        <is>
          <t>是。企业牵头申报的共性关键技术类和应用示范类项目须提供配套经费，配套经费与国拨经费比例不低于2:1（2024年标准）。基础研究类项目原则上不要求配套经费。</t>
        </is>
      </c>
      <c r="AL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M16" s="341" t="inlineStr">
        <is>
          <t>N/A</t>
        </is>
      </c>
      <c r="AN16" s="341" t="inlineStr">
        <is>
          <t>N/A</t>
        </is>
      </c>
      <c r="AO16" s="341" t="inlineStr">
        <is>
          <t>N/A</t>
        </is>
      </c>
      <c r="AP16" s="341" t="inlineStr">
        <is>
          <t>N/A</t>
        </is>
      </c>
      <c r="AQ16" s="341" t="inlineStr">
        <is>
          <t>N/A</t>
        </is>
      </c>
      <c r="AR16" s="341" t="inlineStr">
        <is>
          <t>2023年度国拨经费概算3.46亿元；2024年度国拨经费概算3.25亿元。来源：工业和信息化部2023年、2024年度项目申报指南。十三五期间年度经费波动较大，2018年约9亿元。</t>
        </is>
      </c>
      <c r="AS16" s="341" t="inlineStr">
        <is>
          <t>N/A</t>
        </is>
      </c>
      <c r="AT16" s="341" t="inlineStr">
        <is>
          <t>N/A</t>
        </is>
      </c>
      <c r="AU16" s="341" t="inlineStr">
        <is>
          <t>C29; C28; C27; C26; D35; G45; J62; J63; M72</t>
        </is>
      </c>
      <c r="AV16" s="341" t="inlineStr">
        <is>
          <t>CO2</t>
        </is>
      </c>
      <c r="AW16" s="341" t="inlineStr">
        <is>
          <t>正向</t>
        </is>
      </c>
      <c r="AX16" s="341" t="inlineStr">
        <is>
          <t>技术创新；产业发展；能源安全；污染防治</t>
        </is>
      </c>
      <c r="AY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AZ16" s="341" t="inlineStr">
        <is>
          <t>https://wap.miit.gov.cn/gyhxxhb/jgsj/gxjss/wjfb/art/2024/art_5073358011a14275befeebf4c6e8236c.html</t>
        </is>
      </c>
      <c r="BA16" s="341" t="inlineStr">
        <is>
          <t>https://service.most.gov.cn</t>
        </is>
      </c>
      <c r="BB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国家</t>
        </is>
      </c>
      <c r="N17" s="341" t="inlineStr">
        <is>
          <t>N/A</t>
        </is>
      </c>
      <c r="O17" s="341" t="inlineStr">
        <is>
          <t>01/01/2023</t>
        </is>
      </c>
      <c r="P17" s="341" t="inlineStr">
        <is>
          <t>01/01/2023</t>
        </is>
      </c>
      <c r="Q17" s="341" t="inlineStr">
        <is>
          <t>N/A</t>
        </is>
      </c>
      <c r="R17" s="341" t="inlineStr">
        <is>
          <t>N/A</t>
        </is>
      </c>
      <c r="S17" s="341" t="inlineStr">
        <is>
          <t>专项于2024年从科技部移交国家能源局管理。2024年8月国家能源局发布2024年度项目申报指南，2025年5月发布2025年度指南。十四五结束后专项是否延续待十五五规划确定。</t>
        </is>
      </c>
      <c r="T17" s="341">
        <f>IF(P17="","生效",IF(P17="N/A","生效",IF(TODAY()&lt;DATE(VALUE(RIGHT(P17,4)),VALUE(MID(P17,4,2)),VALUE(LEFT(P17,2))),"计划实施",IF(Q17="","生效",IF(Q17="N/A","生效",IF(TODAY()&lt;DATE(VALUE(RIGHT(Q17,4)),VALUE(MID(Q17,4,2)),VALUE(LEFT(Q17,2))),"生效","已终止"))))))</f>
        <v/>
      </c>
      <c r="U17" s="341" t="inlineStr">
        <is>
          <t>国家能源局（十四五后期主责单位）；科技部（十四五前期管理单位）；国家科技管理信息系统公共服务平台（申报受理渠道）</t>
        </is>
      </c>
      <c r="V17" s="341" t="inlineStr">
        <is>
          <t>氢能技术研发成果和示范设施（制氢装备、储运设施、加氢站、燃料电池系统等）</t>
        </is>
      </c>
      <c r="W17" s="341" t="inlineStr">
        <is>
          <t>新建</t>
        </is>
      </c>
      <c r="X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Y17" s="341" t="inlineStr">
        <is>
          <t>N/A</t>
        </is>
      </c>
      <c r="Z17" s="341" t="inlineStr">
        <is>
          <t>2024年13项任务国拨经费概算2.54亿元，2023年19项任务3.4亿元。企业牵头项目配套经费与国拨经费比例不低于2:1。</t>
        </is>
      </c>
      <c r="AA17" s="341" t="inlineStr">
        <is>
          <t>企业；政府</t>
        </is>
      </c>
      <c r="AB17" s="341" t="inlineStr">
        <is>
          <t>申报单位须为在中国大陆境内注册的科研院所、高等学校和企业。应用示范类项目须企业牵头申报。项目负责人须具有高级职称或博士学位。青年科学家项目负责人年龄不超过40周岁。</t>
        </is>
      </c>
      <c r="AC17" s="341" t="inlineStr">
        <is>
          <t>研发、示范和部署</t>
        </is>
      </c>
      <c r="AD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E17" s="341" t="inlineStr">
        <is>
          <t>2.54</t>
        </is>
      </c>
      <c r="AF17" s="341" t="inlineStr">
        <is>
          <t>亿元人民币/年（2024年度国拨经费概算）</t>
        </is>
      </c>
      <c r="AG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H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I17" s="341" t="inlineStr">
        <is>
          <t>N/A</t>
        </is>
      </c>
      <c r="AJ17" s="341" t="inlineStr">
        <is>
          <t>N/A</t>
        </is>
      </c>
      <c r="AK17" s="341" t="inlineStr">
        <is>
          <t>是。应用示范类和共性关键技术类项目须企业牵头，配套经费与国拨经费比例不低于2:1。基础研究类和青年科学家项目原则上不要求配套经费。</t>
        </is>
      </c>
      <c r="AL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M17" s="341" t="inlineStr">
        <is>
          <t>N/A</t>
        </is>
      </c>
      <c r="AN17" s="341" t="inlineStr">
        <is>
          <t>N/A</t>
        </is>
      </c>
      <c r="AO17" s="341" t="inlineStr">
        <is>
          <t>N/A</t>
        </is>
      </c>
      <c r="AP17" s="341" t="inlineStr">
        <is>
          <t>N/A</t>
        </is>
      </c>
      <c r="AQ17" s="341" t="inlineStr">
        <is>
          <t>N/A</t>
        </is>
      </c>
      <c r="AR17" s="341" t="inlineStr">
        <is>
          <t>2023年度国拨经费概算3.4亿元；2024年度国拨经费概算2.54亿元；2025年度国拨经费概算0.2亿元。来源：科技部2023年度、国家能源局2024年度和2025年度项目申报指南。</t>
        </is>
      </c>
      <c r="AS17" s="341" t="inlineStr">
        <is>
          <t>N/A</t>
        </is>
      </c>
      <c r="AT17" s="341" t="inlineStr">
        <is>
          <t>N/A</t>
        </is>
      </c>
      <c r="AU17" s="341" t="inlineStr">
        <is>
          <t>C20; C24; C28; D35; G45; H49; M72</t>
        </is>
      </c>
      <c r="AV17" s="341" t="inlineStr">
        <is>
          <t>CO2</t>
        </is>
      </c>
      <c r="AW17" s="341" t="inlineStr">
        <is>
          <t>正向</t>
        </is>
      </c>
      <c r="AX17" s="341" t="inlineStr">
        <is>
          <t>技术创新；产业发展；能源安全；污染防治</t>
        </is>
      </c>
      <c r="AY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AZ17" s="341" t="inlineStr">
        <is>
          <t>https://service.most.gov.cn</t>
        </is>
      </c>
      <c r="BA17" s="341" t="inlineStr">
        <is>
          <t>N/A</t>
        </is>
      </c>
      <c r="BB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减缓气候变化；能源安全；产业发展；技术创新；非化石能源</t>
        </is>
      </c>
      <c r="L18" s="341" t="inlineStr">
        <is>
          <t>直接</t>
        </is>
      </c>
      <c r="M18" s="341" t="inlineStr">
        <is>
          <t>国家</t>
        </is>
      </c>
      <c r="N18" s="341" t="inlineStr">
        <is>
          <t>N/A</t>
        </is>
      </c>
      <c r="O18" s="341" t="inlineStr">
        <is>
          <t>15/08/2024</t>
        </is>
      </c>
      <c r="P18" s="341" t="inlineStr">
        <is>
          <t>15/08/2024</t>
        </is>
      </c>
      <c r="Q18" s="341" t="inlineStr">
        <is>
          <t>N/A</t>
        </is>
      </c>
      <c r="R18" s="341" t="inlineStr">
        <is>
          <t>N/A</t>
        </is>
      </c>
      <c r="S18" s="341" t="inlineStr">
        <is>
          <t>专项于2024年从原可再生能源与氢能技术重点专项中独立出来，由国家能源局管理。2024年8月发布首个年度项目申报指南（国能发科技〔2024〕63号）。十四五结束后专项是否延续待十五五规划确定。</t>
        </is>
      </c>
      <c r="T18" s="341">
        <f>IF(P18="","生效",IF(P18="N/A","生效",IF(TODAY()&lt;DATE(VALUE(RIGHT(P18,4)),VALUE(MID(P18,4,2)),VALUE(LEFT(P18,2))),"计划实施",IF(Q18="","生效",IF(Q18="N/A","生效",IF(TODAY()&lt;DATE(VALUE(RIGHT(Q18,4)),VALUE(MID(Q18,4,2)),VALUE(LEFT(Q18,2))),"生效","已终止"))))))</f>
        <v/>
      </c>
      <c r="U18" s="341" t="inlineStr">
        <is>
          <t>国家能源局（十四五期间主责单位）；国家科技管理信息系统公共服务平台（申报受理渠道）</t>
        </is>
      </c>
      <c r="V18" s="341" t="inlineStr">
        <is>
          <t>可再生能源技术研发成果和示范设施（光伏电池、风电机组、生物质燃料生产设施等）</t>
        </is>
      </c>
      <c r="W18" s="341" t="inlineStr">
        <is>
          <t>新建</t>
        </is>
      </c>
      <c r="X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Y18" s="341" t="inlineStr">
        <is>
          <t>N/A</t>
        </is>
      </c>
      <c r="Z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A18" s="341" t="inlineStr">
        <is>
          <t>企业；政府</t>
        </is>
      </c>
      <c r="AB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C18" s="341" t="inlineStr">
        <is>
          <t>研发、示范和部署</t>
        </is>
      </c>
      <c r="AD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E18" s="341" t="inlineStr">
        <is>
          <t>3.76</t>
        </is>
      </c>
      <c r="AF18" s="341" t="inlineStr">
        <is>
          <t>亿元人民币/年（2024年度国拨经费概算）</t>
        </is>
      </c>
      <c r="AG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H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I18" s="341" t="inlineStr">
        <is>
          <t>N/A</t>
        </is>
      </c>
      <c r="AJ18" s="341" t="inlineStr">
        <is>
          <t>N/A</t>
        </is>
      </c>
      <c r="AK18" s="341" t="inlineStr">
        <is>
          <t>是。共性关键技术类和应用示范类项目须提供配套经费，配套经费与国拨经费比例不低于1:1。基础研究类和青年科学家项目原则上不要求配套经费。</t>
        </is>
      </c>
      <c r="AL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M18" s="341" t="inlineStr">
        <is>
          <t>N/A</t>
        </is>
      </c>
      <c r="AN18" s="341" t="inlineStr">
        <is>
          <t>N/A</t>
        </is>
      </c>
      <c r="AO18" s="341" t="inlineStr">
        <is>
          <t>N/A</t>
        </is>
      </c>
      <c r="AP18" s="341" t="inlineStr">
        <is>
          <t>N/A</t>
        </is>
      </c>
      <c r="AQ18" s="341" t="inlineStr">
        <is>
          <t>N/A</t>
        </is>
      </c>
      <c r="AR18" s="341" t="inlineStr">
        <is>
          <t>2024年度国拨经费概算3.76亿元（21项指南任务）。来源：国家能源局2024年度项目申报指南（国能发科技〔2024〕63号）。</t>
        </is>
      </c>
      <c r="AS18" s="341" t="inlineStr">
        <is>
          <t>N/A</t>
        </is>
      </c>
      <c r="AT18" s="341" t="inlineStr">
        <is>
          <t>N/A</t>
        </is>
      </c>
      <c r="AU18" s="341" t="inlineStr">
        <is>
          <t>D35; C28; C20</t>
        </is>
      </c>
      <c r="AV18" s="341" t="inlineStr">
        <is>
          <t>CO2</t>
        </is>
      </c>
      <c r="AW18" s="341" t="inlineStr">
        <is>
          <t>正向</t>
        </is>
      </c>
      <c r="AX18" s="341" t="inlineStr">
        <is>
          <t>技术创新；产业发展；能源安全；污染防治</t>
        </is>
      </c>
      <c r="AY18" s="341" t="inlineStr">
        <is>
          <t>国家能源局关于发布国家重点研发计划可再生能源技术重点专项2024年度项目申报指南的通知（国能发科技〔2024〕63号）</t>
        </is>
      </c>
      <c r="AZ18" s="341" t="inlineStr">
        <is>
          <t>https://service.most.gov.cn</t>
        </is>
      </c>
      <c r="BA18" s="341" t="inlineStr">
        <is>
          <t>N/A</t>
        </is>
      </c>
      <c r="BB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国家</t>
        </is>
      </c>
      <c r="N19" s="341" t="inlineStr">
        <is>
          <t>N/A</t>
        </is>
      </c>
      <c r="O19" s="341" t="inlineStr">
        <is>
          <t>02/02/2021</t>
        </is>
      </c>
      <c r="P19" s="341" t="inlineStr">
        <is>
          <t>02/02/2021</t>
        </is>
      </c>
      <c r="Q19" s="341" t="inlineStr">
        <is>
          <t>N/A</t>
        </is>
      </c>
      <c r="R19" s="341" t="inlineStr">
        <is>
          <t>N/A</t>
        </is>
      </c>
      <c r="S19" s="341" t="inlineStr">
        <is>
          <t>专项于2024年从科技部（工信部产业发展促进中心管理）移交国家能源局管理。2024年8月发布2024年度项目申报指南（国能发科技〔2024〕65号），2025年5月发布2025年度指南。十五五期间是否延续待规划确定。</t>
        </is>
      </c>
      <c r="T19" s="341">
        <f>IF(P19="","生效",IF(P19="N/A","生效",IF(TODAY()&lt;DATE(VALUE(RIGHT(P19,4)),VALUE(MID(P19,4,2)),VALUE(LEFT(P19,2))),"计划实施",IF(Q19="","生效",IF(Q19="N/A","生效",IF(TODAY()&lt;DATE(VALUE(RIGHT(Q19,4)),VALUE(MID(Q19,4,2)),VALUE(LEFT(Q19,2))),"生效","已终止"))))))</f>
        <v/>
      </c>
      <c r="U19" s="341" t="inlineStr">
        <is>
          <t>国家能源局（十四五后期主责单位）；科技部（十四五前期管理单位，工信部产业发展促进中心为专业管理机构）；国家科技管理信息系统公共服务平台（申报受理渠道）</t>
        </is>
      </c>
      <c r="V19" s="341" t="inlineStr">
        <is>
          <t>储能技术研发成果和示范设施（锂离子电池储能、液流电池、压缩空气储能、超级电容器、固态电池等）；智能电网技术研发成果和示范设施</t>
        </is>
      </c>
      <c r="W19" s="341" t="inlineStr">
        <is>
          <t>新建</t>
        </is>
      </c>
      <c r="X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Y19" s="341" t="inlineStr">
        <is>
          <t>N/A</t>
        </is>
      </c>
      <c r="Z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A19" s="341" t="inlineStr">
        <is>
          <t>企业；政府</t>
        </is>
      </c>
      <c r="AB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C19" s="341" t="inlineStr">
        <is>
          <t>研发、示范和部署</t>
        </is>
      </c>
      <c r="AD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E19" s="341" t="inlineStr">
        <is>
          <t>N/A</t>
        </is>
      </c>
      <c r="AF19" s="341" t="inlineStr">
        <is>
          <t>N/A</t>
        </is>
      </c>
      <c r="AG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H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I19" s="341" t="inlineStr">
        <is>
          <t>N/A</t>
        </is>
      </c>
      <c r="AJ19" s="341" t="inlineStr">
        <is>
          <t>N/A</t>
        </is>
      </c>
      <c r="AK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L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M19" s="341" t="inlineStr">
        <is>
          <t>N/A</t>
        </is>
      </c>
      <c r="AN19" s="341" t="inlineStr">
        <is>
          <t>N/A</t>
        </is>
      </c>
      <c r="AO19" s="341" t="inlineStr">
        <is>
          <t>N/A</t>
        </is>
      </c>
      <c r="AP19" s="341" t="inlineStr">
        <is>
          <t>N/A</t>
        </is>
      </c>
      <c r="AQ19" s="341" t="inlineStr">
        <is>
          <t>N/A</t>
        </is>
      </c>
      <c r="AR19" s="341" t="inlineStr">
        <is>
          <t>2021年度国拨经费概算6.67亿元。2024年度经费未公开。来源：科技部2021年度项目申报指南。</t>
        </is>
      </c>
      <c r="AS19" s="341" t="inlineStr">
        <is>
          <t>N/A</t>
        </is>
      </c>
      <c r="AT19" s="341" t="inlineStr">
        <is>
          <t>N/A</t>
        </is>
      </c>
      <c r="AU19" s="341" t="inlineStr">
        <is>
          <t>D35; C28; C27; C26; M72; J62; J63</t>
        </is>
      </c>
      <c r="AV19" s="341" t="inlineStr">
        <is>
          <t>CO2</t>
        </is>
      </c>
      <c r="AW19" s="341" t="inlineStr">
        <is>
          <t>正向</t>
        </is>
      </c>
      <c r="AX19" s="341" t="inlineStr">
        <is>
          <t>技术创新；能源安全；产业发展</t>
        </is>
      </c>
      <c r="AY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AZ19" s="341" t="inlineStr">
        <is>
          <t>https://service.most.gov.cn</t>
        </is>
      </c>
      <c r="BA19" s="341" t="inlineStr">
        <is>
          <t>N/A</t>
        </is>
      </c>
      <c r="BB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国家</t>
        </is>
      </c>
      <c r="N20" s="341" t="inlineStr">
        <is>
          <t>N/A</t>
        </is>
      </c>
      <c r="O20" s="341" t="inlineStr">
        <is>
          <t>01/01/2022</t>
        </is>
      </c>
      <c r="P20" s="341" t="inlineStr">
        <is>
          <t>01/01/2022</t>
        </is>
      </c>
      <c r="Q20" s="341" t="inlineStr">
        <is>
          <t>31/12/2026</t>
        </is>
      </c>
      <c r="R20" s="341" t="inlineStr">
        <is>
          <t>N/A</t>
        </is>
      </c>
      <c r="S20" s="341" t="inlineStr">
        <is>
          <t>该专项执行期为2022-2026年，贯穿十四五中后期。2023年管理改革后主责单位调整为生态环境部。每年发布年度项目申报指南调整具体任务，2024年8月发布2024年度指南（环科财函〔2024〕55号）。</t>
        </is>
      </c>
      <c r="T20" s="341">
        <f>IF(P20="","生效",IF(P20="N/A","生效",IF(TODAY()&lt;DATE(VALUE(RIGHT(P20,4)),VALUE(MID(P20,4,2)),VALUE(LEFT(P20,2))),"计划实施",IF(Q20="","生效",IF(Q20="N/A","生效",IF(TODAY()&lt;DATE(VALUE(RIGHT(Q20,4)),VALUE(MID(Q20,4,2)),VALUE(LEFT(Q20,2))),"生效","已终止"))))))</f>
        <v/>
      </c>
      <c r="U20" s="341" t="inlineStr">
        <is>
          <t>生态环境部（主责单位）；自然科学基金委中国21世纪议程管理中心（项目管理专业机构）；国家科技管理信息系统公共服务平台（申报受理渠道）</t>
        </is>
      </c>
      <c r="V20" s="341" t="inlineStr">
        <is>
          <t>循环经济技术研发成果和示范设施（固废资源化利用装备、清洁生产工艺、废旧物资智能拆解装备、绿色产品设计工具/数据库等）</t>
        </is>
      </c>
      <c r="W20" s="341" t="inlineStr">
        <is>
          <t>新建</t>
        </is>
      </c>
      <c r="X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Y20" s="341" t="inlineStr">
        <is>
          <t>N/A</t>
        </is>
      </c>
      <c r="Z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A20" s="341" t="inlineStr">
        <is>
          <t>企业；政府</t>
        </is>
      </c>
      <c r="AB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C20" s="341" t="inlineStr">
        <is>
          <t>研发、示范和部署</t>
        </is>
      </c>
      <c r="AD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E20" s="341" t="inlineStr">
        <is>
          <t>4.38</t>
        </is>
      </c>
      <c r="AF20" s="341" t="inlineStr">
        <is>
          <t>亿元人民币/年（2024年度中央财政经费概算）</t>
        </is>
      </c>
      <c r="AG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H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I20" s="341" t="inlineStr">
        <is>
          <t>N/A</t>
        </is>
      </c>
      <c r="AJ20" s="341" t="inlineStr">
        <is>
          <t>N/A</t>
        </is>
      </c>
      <c r="AK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L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M20" s="341" t="inlineStr">
        <is>
          <t>N/A</t>
        </is>
      </c>
      <c r="AN20" s="341" t="inlineStr">
        <is>
          <t>N/A</t>
        </is>
      </c>
      <c r="AO20" s="341" t="inlineStr">
        <is>
          <t>N/A</t>
        </is>
      </c>
      <c r="AP20" s="341" t="inlineStr">
        <is>
          <t>N/A</t>
        </is>
      </c>
      <c r="AQ20" s="341" t="inlineStr">
        <is>
          <t>N/A</t>
        </is>
      </c>
      <c r="AR20" s="341" t="inlineStr">
        <is>
          <t>2024年度中央财政经费概算4.38亿元（28项研究任务）。2022年度首批约30个项目安排国拨经费约6亿元。来源：生态环境部2022年度、2024年度项目申报指南（环科财函〔2024〕55号）。</t>
        </is>
      </c>
      <c r="AS20" s="341" t="inlineStr">
        <is>
          <t>N/A</t>
        </is>
      </c>
      <c r="AT20" s="341" t="inlineStr">
        <is>
          <t>N/A</t>
        </is>
      </c>
      <c r="AU20" s="341" t="inlineStr">
        <is>
          <t>C24; C20; C19; C28; E38; F41; F42; M72</t>
        </is>
      </c>
      <c r="AV20" s="341" t="inlineStr">
        <is>
          <t>CO2</t>
        </is>
      </c>
      <c r="AW20" s="341" t="inlineStr">
        <is>
          <t>正向</t>
        </is>
      </c>
      <c r="AX20" s="341" t="inlineStr">
        <is>
          <t>污染防治；资源节约；产业发展；技术创新</t>
        </is>
      </c>
      <c r="AY20" s="341" t="inlineStr">
        <is>
          <t>生态环境部关于发布国家重点研发计划循环经济关键技术与装备重点专项2024年度项目申报指南的通知（环科财函〔2024〕55号）；十四五循环经济发展规划（国发〔2021〕23号）</t>
        </is>
      </c>
      <c r="AZ20" s="341" t="inlineStr">
        <is>
          <t>https://service.most.gov.cn</t>
        </is>
      </c>
      <c r="BA20" s="341" t="inlineStr">
        <is>
          <t>https://www.acca21.org.cn</t>
        </is>
      </c>
      <c r="BB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国家</t>
        </is>
      </c>
      <c r="N21" s="341" t="inlineStr">
        <is>
          <t>N/A</t>
        </is>
      </c>
      <c r="O21" s="341" t="inlineStr">
        <is>
          <t>28/10/2002</t>
        </is>
      </c>
      <c r="P21" s="341" t="inlineStr">
        <is>
          <t>01/09/2003</t>
        </is>
      </c>
      <c r="Q21" s="341" t="inlineStr">
        <is>
          <t>N/A</t>
        </is>
      </c>
      <c r="R21" s="341" t="inlineStr">
        <is>
          <t>29/12/2018</t>
        </is>
      </c>
      <c r="S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T21" s="341">
        <f>IF(P21="","生效",IF(P21="N/A","生效",IF(TODAY()&lt;DATE(VALUE(RIGHT(P21,4)),VALUE(MID(P21,4,2)),VALUE(LEFT(P21,2))),"计划实施",IF(Q21="","生效",IF(Q21="N/A","生效",IF(TODAY()&lt;DATE(VALUE(RIGHT(Q21,4)),VALUE(MID(Q21,4,2)),VALUE(LEFT(Q21,2))),"生效","已终止"))))))</f>
        <v/>
      </c>
      <c r="U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V21" s="341" t="inlineStr">
        <is>
          <t>土地利用规划；区域、流域、海域建设开发利用规划；工业、农业、能源、交通等专项规划；建设项目</t>
        </is>
      </c>
      <c r="W21" s="341" t="inlineStr">
        <is>
          <t>新建</t>
        </is>
      </c>
      <c r="X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Y21" s="341" t="inlineStr">
        <is>
          <t>N/A</t>
        </is>
      </c>
      <c r="Z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A21" s="341" t="inlineStr">
        <is>
          <t>政府</t>
        </is>
      </c>
      <c r="AB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C21" s="341" t="inlineStr">
        <is>
          <t>规划编制与审批</t>
        </is>
      </c>
      <c r="AD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E21" s="341" t="inlineStr">
        <is>
          <t>N/A</t>
        </is>
      </c>
      <c r="AF21" s="341" t="inlineStr">
        <is>
          <t>N/A</t>
        </is>
      </c>
      <c r="AG21" s="341" t="inlineStr">
        <is>
          <t>N/A</t>
        </is>
      </c>
      <c r="AH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I21" s="341" t="inlineStr">
        <is>
          <t>N/A</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M72；N77；O84</t>
        </is>
      </c>
      <c r="AV21" s="341" t="inlineStr">
        <is>
          <t>CO2; CH4; N2O</t>
        </is>
      </c>
      <c r="AW21" s="341" t="inlineStr">
        <is>
          <t>正向</t>
        </is>
      </c>
      <c r="AX21" s="341" t="inlineStr">
        <is>
          <t>污染防治；生态保护；资源节约；公众健康</t>
        </is>
      </c>
      <c r="AY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AZ21" s="341" t="inlineStr">
        <is>
          <t>https://www.gov.cn/zhengce/content/2009-08/21/content_4815.htm</t>
        </is>
      </c>
      <c r="BA21" s="341" t="inlineStr">
        <is>
          <t>http://www.npc.gov.cn/npc/c1773/c2518/2019zhhbsjx/sjxflfg/201906/t20190628_298339.html</t>
        </is>
      </c>
      <c r="BB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国家</t>
        </is>
      </c>
      <c r="N22" s="341" t="inlineStr">
        <is>
          <t>N/A</t>
        </is>
      </c>
      <c r="O22" s="341" t="inlineStr">
        <is>
          <t>17/09/2010</t>
        </is>
      </c>
      <c r="P22" s="341" t="inlineStr">
        <is>
          <t>01/11/2010</t>
        </is>
      </c>
      <c r="Q22" s="341" t="inlineStr">
        <is>
          <t>N/A</t>
        </is>
      </c>
      <c r="R22" s="341" t="inlineStr">
        <is>
          <t>17/07/2025</t>
        </is>
      </c>
      <c r="S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T22" s="341">
        <f>IF(P22="","生效",IF(P22="N/A","生效",IF(TODAY()&lt;DATE(VALUE(RIGHT(P22,4)),VALUE(MID(P22,4,2)),VALUE(LEFT(P22,2))),"计划实施",IF(Q22="","生效",IF(Q22="N/A","生效",IF(TODAY()&lt;DATE(VALUE(RIGHT(Q22,4)),VALUE(MID(Q22,4,2)),VALUE(LEFT(Q22,2))),"生效","已终止"))))))</f>
        <v/>
      </c>
      <c r="U22" s="341" t="inlineStr">
        <is>
          <t>国家发展改革委（审查重大项目和制定政策标准）；省级发展改革部门或省级政府指定的节能审查机关（审查省级权限内项目）；市级发展改革部门或市级节能审查机关（审查市级权限内项目）</t>
        </is>
      </c>
      <c r="V22" s="341" t="inlineStr">
        <is>
          <t>固定资产投资项目（新建、改建、扩建、技术改造）</t>
        </is>
      </c>
      <c r="W22" s="341" t="inlineStr">
        <is>
          <t>新建；既有</t>
        </is>
      </c>
      <c r="X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Y22" s="341" t="inlineStr">
        <is>
          <t>N/A</t>
        </is>
      </c>
      <c r="Z22" s="341" t="inlineStr">
        <is>
          <t>N/A</t>
        </is>
      </c>
      <c r="AA22" s="341" t="inlineStr">
        <is>
          <t>企业</t>
        </is>
      </c>
      <c r="AB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C22" s="341" t="inlineStr">
        <is>
          <t>节能审查；碳排放评价；节能验收；监督检查</t>
        </is>
      </c>
      <c r="AD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E22" s="341" t="inlineStr">
        <is>
          <t>N/A</t>
        </is>
      </c>
      <c r="AF22" s="341" t="inlineStr">
        <is>
          <t>N/A</t>
        </is>
      </c>
      <c r="AG22" s="341" t="inlineStr">
        <is>
          <t>N/A</t>
        </is>
      </c>
      <c r="AH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I22" s="341" t="inlineStr">
        <is>
          <t>N/A</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O84</t>
        </is>
      </c>
      <c r="AV22" s="341" t="inlineStr">
        <is>
          <t>CO2</t>
        </is>
      </c>
      <c r="AW22" s="341" t="inlineStr">
        <is>
          <t>正向</t>
        </is>
      </c>
      <c r="AX22" s="341" t="inlineStr">
        <is>
          <t>节能；能源安全；产业发展</t>
        </is>
      </c>
      <c r="AY22" s="341" t="inlineStr">
        <is>
          <t>《固定资产投资项目节能审查和碳排放评价办法》（国家发展和改革委员会令第31号，2025年7月17日公布，2025年9月1日起施行）</t>
        </is>
      </c>
      <c r="AZ22" s="341" t="inlineStr">
        <is>
          <t>https://www.gov.cn/gongbao/2025/issue_12246/202508/content_7038015.html</t>
        </is>
      </c>
      <c r="BA22" s="341" t="inlineStr">
        <is>
          <t>https://www.ndrc.gov.cn/fzggw/jgsj/hzs/sjdt/201009/t20100921_1131153.html</t>
        </is>
      </c>
      <c r="BB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污染防治；循环经济</t>
        </is>
      </c>
      <c r="L23" s="341" t="inlineStr">
        <is>
          <t>间接</t>
        </is>
      </c>
      <c r="M23" s="341" t="inlineStr">
        <is>
          <t>国家</t>
        </is>
      </c>
      <c r="N23" s="341" t="inlineStr">
        <is>
          <t>N/A</t>
        </is>
      </c>
      <c r="O23" s="341" t="inlineStr">
        <is>
          <t>29/06/2002</t>
        </is>
      </c>
      <c r="P23" s="341" t="inlineStr">
        <is>
          <t>01/01/2003</t>
        </is>
      </c>
      <c r="Q23" s="341" t="inlineStr">
        <is>
          <t>N/A</t>
        </is>
      </c>
      <c r="R23" s="341" t="inlineStr">
        <is>
          <t>01/07/2016</t>
        </is>
      </c>
      <c r="S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T23" s="341">
        <f>IF(P23="","生效",IF(P23="N/A","生效",IF(TODAY()&lt;DATE(VALUE(RIGHT(P23,4)),VALUE(MID(P23,4,2)),VALUE(LEFT(P23,2))),"计划实施",IF(Q23="","生效",IF(Q23="N/A","生效",IF(TODAY()&lt;DATE(VALUE(RIGHT(Q23,4)),VALUE(MID(Q23,4,2)),VALUE(LEFT(Q23,2))),"生效","已终止"))))))</f>
        <v/>
      </c>
      <c r="U23" s="341" t="inlineStr">
        <is>
          <t>生态环境主管部门（第（一）（三）类情形牵头）；节能主管部门（第（二）类情形牵头）；清洁生产综合协调部门（统筹协调）</t>
        </is>
      </c>
      <c r="V23" s="341" t="inlineStr">
        <is>
          <t>工业企业生产设施和工艺（列入强制性清洁生产审核名单的企业）</t>
        </is>
      </c>
      <c r="W23" s="341" t="inlineStr">
        <is>
          <t>既有</t>
        </is>
      </c>
      <c r="X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Y23" s="341" t="inlineStr">
        <is>
          <t>N/A</t>
        </is>
      </c>
      <c r="Z23" s="341" t="inlineStr">
        <is>
          <t>N/A</t>
        </is>
      </c>
      <c r="AA23" s="341" t="inlineStr">
        <is>
          <t>企业</t>
        </is>
      </c>
      <c r="AB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C23" s="341" t="inlineStr">
        <is>
          <t>清洁生产审核；清洁生产方案实施；持续清洁生产</t>
        </is>
      </c>
      <c r="AD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E23" s="341" t="inlineStr">
        <is>
          <t>N/A</t>
        </is>
      </c>
      <c r="AF23" s="341" t="inlineStr">
        <is>
          <t>N/A</t>
        </is>
      </c>
      <c r="AG23" s="341" t="inlineStr">
        <is>
          <t>N/A</t>
        </is>
      </c>
      <c r="AH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I23" s="341" t="inlineStr">
        <is>
          <t>N/A</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O84</t>
        </is>
      </c>
      <c r="AV23" s="341" t="inlineStr">
        <is>
          <t>CO2</t>
        </is>
      </c>
      <c r="AW23" s="341" t="inlineStr">
        <is>
          <t>正向</t>
        </is>
      </c>
      <c r="AX23" s="341" t="inlineStr">
        <is>
          <t>污染防治；资源节约；节能</t>
        </is>
      </c>
      <c r="AY23" s="341" t="inlineStr">
        <is>
          <t>《清洁生产审核办法》（国家发展和改革委员会、环境保护部令第38号，2016年5月16日发布，2016年7月1日施行）</t>
        </is>
      </c>
      <c r="AZ23" s="341" t="inlineStr">
        <is>
          <t>https://www.gov.cn/gongbao/content/2016/content_5100040.htm</t>
        </is>
      </c>
      <c r="BA23" s="341" t="inlineStr">
        <is>
          <t>https://www.gov.cn/gongbao/content/2002/content_61640.htm</t>
        </is>
      </c>
      <c r="BB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国家</t>
        </is>
      </c>
      <c r="N24" s="341" t="inlineStr">
        <is>
          <t>N/A</t>
        </is>
      </c>
      <c r="O24" s="341" t="inlineStr">
        <is>
          <t>28/10/2002</t>
        </is>
      </c>
      <c r="P24" s="341" t="inlineStr">
        <is>
          <t>01/09/2003</t>
        </is>
      </c>
      <c r="Q24" s="341" t="inlineStr">
        <is>
          <t>N/A</t>
        </is>
      </c>
      <c r="R24" s="341" t="inlineStr">
        <is>
          <t>29/12/2018</t>
        </is>
      </c>
      <c r="S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T24" s="341">
        <f>IF(P24="","生效",IF(P24="N/A","生效",IF(TODAY()&lt;DATE(VALUE(RIGHT(P24,4)),VALUE(MID(P24,4,2)),VALUE(LEFT(P24,2))),"计划实施",IF(Q24="","生效",IF(Q24="N/A","生效",IF(TODAY()&lt;DATE(VALUE(RIGHT(Q24,4)),VALUE(MID(Q24,4,2)),VALUE(LEFT(Q24,2))),"生效","已终止"))))))</f>
        <v/>
      </c>
      <c r="U24" s="341" t="inlineStr">
        <is>
          <t>生态环境部（制定分类管理名录、审批重大项目和核设施项目）；省级生态环境主管部门（审批省级权限内项目）；市级生态环境主管部门（审批市级权限内项目）</t>
        </is>
      </c>
      <c r="V24" s="341" t="inlineStr">
        <is>
          <t>建设项目（按环境影响程度分为三类：报告书、报告表、登记表）</t>
        </is>
      </c>
      <c r="W24" s="341" t="inlineStr">
        <is>
          <t>新建</t>
        </is>
      </c>
      <c r="X24" s="341" t="inlineStr">
        <is>
          <t>生态环境部制定《建设项目环境影响评价分类管理名录》，明确各类别建设项目的环评文件类型要求。名录根据行业类别、工艺特点、规模和选址等因素确定分类。</t>
        </is>
      </c>
      <c r="Y24" s="341" t="inlineStr">
        <is>
          <t>N/A</t>
        </is>
      </c>
      <c r="Z24" s="341" t="inlineStr">
        <is>
          <t>N/A</t>
        </is>
      </c>
      <c r="AA24" s="341" t="inlineStr">
        <is>
          <t>企业</t>
        </is>
      </c>
      <c r="AB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C24" s="341" t="inlineStr">
        <is>
          <t>审批；备案；跟踪检查；环境影响后评价</t>
        </is>
      </c>
      <c r="AD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E24" s="341" t="inlineStr">
        <is>
          <t>N/A</t>
        </is>
      </c>
      <c r="AF24" s="341" t="inlineStr">
        <is>
          <t>N/A</t>
        </is>
      </c>
      <c r="AG24" s="341" t="inlineStr">
        <is>
          <t>N/A</t>
        </is>
      </c>
      <c r="AH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I24" s="341" t="inlineStr">
        <is>
          <t>N/A</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O84</t>
        </is>
      </c>
      <c r="AV24" s="341" t="inlineStr">
        <is>
          <t>CO2; CH4; N2O</t>
        </is>
      </c>
      <c r="AW24" s="341" t="inlineStr">
        <is>
          <t>正向</t>
        </is>
      </c>
      <c r="AX24" s="341" t="inlineStr">
        <is>
          <t>污染防治；生态保护；资源节约</t>
        </is>
      </c>
      <c r="AY24" s="341" t="inlineStr">
        <is>
          <t>《中华人民共和国环境影响评价法》（2002年10月28日第九届全国人大常委会第三十次会议通过，2016年7月2日、2018年12月29日修正，主席令第24号）</t>
        </is>
      </c>
      <c r="AZ24" s="341" t="inlineStr">
        <is>
          <t>http://www.npc.gov.cn/npc/c1773/c2518/2019zhhbsjx/sjxflfg/201906/t20190628_298339.html</t>
        </is>
      </c>
      <c r="BA24" s="341" t="inlineStr">
        <is>
          <t>N/A</t>
        </is>
      </c>
      <c r="BB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国家</t>
        </is>
      </c>
      <c r="N25" s="341" t="inlineStr">
        <is>
          <t>N/A</t>
        </is>
      </c>
      <c r="O25" s="341" t="inlineStr">
        <is>
          <t>12/04/2026</t>
        </is>
      </c>
      <c r="P25" s="341" t="inlineStr">
        <is>
          <t>12/04/2026</t>
        </is>
      </c>
      <c r="Q25" s="341" t="inlineStr">
        <is>
          <t>N/A</t>
        </is>
      </c>
      <c r="R25" s="341" t="inlineStr">
        <is>
          <t>N/A</t>
        </is>
      </c>
      <c r="S25" s="341" t="inlineStr">
        <is>
          <t>本办法于2026年2月26日经中央政治局常委会会议审议批准，2026年4月12日由中共中央办公厅、国务院办公厅发布，自2026年度起对各省（区、市）开展评价考核，为初始版本。</t>
        </is>
      </c>
      <c r="T25" s="341">
        <f>IF(P25="","生效",IF(P25="N/A","生效",IF(TODAY()&lt;DATE(VALUE(RIGHT(P25,4)),VALUE(MID(P25,4,2)),VALUE(LEFT(P25,2))),"计划实施",IF(Q25="","生效",IF(Q25="N/A","生效",IF(TODAY()&lt;DATE(VALUE(RIGHT(Q25,4)),VALUE(MID(Q25,4,2)),VALUE(LEFT(Q25,2))),"生效","已终止"))))))</f>
        <v/>
      </c>
      <c r="U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V25" s="341" t="inlineStr">
        <is>
          <t>N/A</t>
        </is>
      </c>
      <c r="W25" s="341" t="inlineStr">
        <is>
          <t>N/A</t>
        </is>
      </c>
      <c r="X25" s="341" t="inlineStr">
        <is>
          <t>本工具为政府绩效评价考核制度，不针对具体物理资产进行监管。</t>
        </is>
      </c>
      <c r="Y25" s="341" t="inlineStr">
        <is>
          <t>N/A</t>
        </is>
      </c>
      <c r="Z25" s="341" t="inlineStr">
        <is>
          <t>N/A</t>
        </is>
      </c>
      <c r="AA25" s="341" t="inlineStr">
        <is>
          <t>政府</t>
        </is>
      </c>
      <c r="AB25" s="341" t="inlineStr">
        <is>
          <t>考核对象为各省、自治区、直辖市党委和政府，实行党政同责。省级党委和政府对本地区碳达峰碳中和工作负总责，按要求开展年度自评并向党中央、国务院提交自评报告。</t>
        </is>
      </c>
      <c r="AC25" s="341" t="inlineStr">
        <is>
          <t>评价考核</t>
        </is>
      </c>
      <c r="AD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E25" s="341" t="inlineStr">
        <is>
          <t>N/A</t>
        </is>
      </c>
      <c r="AF25" s="341" t="inlineStr">
        <is>
          <t>N/A</t>
        </is>
      </c>
      <c r="AG25" s="341" t="inlineStr">
        <is>
          <t>N/A</t>
        </is>
      </c>
      <c r="AH25" s="341" t="inlineStr">
        <is>
          <t>5项控制指标必须全部达标；9项支撑指标中不达标项少于3项。控制指标任一项不达标或支撑指标3项及以上不达标，考核结果为不合格。数据造假直接评为不合格。</t>
        </is>
      </c>
      <c r="AI25" s="341" t="inlineStr">
        <is>
          <t>N/A</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O84</t>
        </is>
      </c>
      <c r="AV25" s="341" t="inlineStr">
        <is>
          <t>CO2</t>
        </is>
      </c>
      <c r="AW25" s="341" t="inlineStr">
        <is>
          <t>正向</t>
        </is>
      </c>
      <c r="AX25" s="341" t="inlineStr">
        <is>
          <t>能源安全；产业发展；污染防治</t>
        </is>
      </c>
      <c r="AY25" s="341" t="inlineStr">
        <is>
          <t>中共中央办公厅、国务院办公厅《碳达峰碳中和综合评价考核办法》（2026年2月26日中央政治局常委会会议审议批准，2026年4月12日发布）</t>
        </is>
      </c>
      <c r="AZ25" s="341" t="inlineStr">
        <is>
          <t>https://www.gov.cn/gongbao/2026/issue_12726/202605/content_7068093.html</t>
        </is>
      </c>
      <c r="BA25" s="341" t="inlineStr">
        <is>
          <t>N/A</t>
        </is>
      </c>
      <c r="BB25" s="341" t="inlineStr"/>
    </row>
  </sheetData>
  <mergeCells count="9">
    <mergeCell ref="G1:L1"/>
    <mergeCell ref="AU1:AX1"/>
    <mergeCell ref="V1:AJ1"/>
    <mergeCell ref="AY1:BA1"/>
    <mergeCell ref="M1:U1"/>
    <mergeCell ref="AK1:AR1"/>
    <mergeCell ref="C1:F1"/>
    <mergeCell ref="AS1:AT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E32"/>
  <sheetViews>
    <sheetView topLeftCell="AG1" workbookViewId="0">
      <selection activeCell="BC1" sqref="BC1:BD1"/>
    </sheetView>
  </sheetViews>
  <sheetFormatPr baseColWidth="8" defaultRowHeight="13.5"/>
  <sheetData>
    <row r="1" ht="15.75" customHeight="1">
      <c r="A1" s="436" t="inlineStr">
        <is>
          <t>识别信息</t>
        </is>
      </c>
      <c r="C1" s="437" t="inlineStr">
        <is>
          <t>工具分类</t>
        </is>
      </c>
      <c r="G1" s="438" t="inlineStr">
        <is>
          <t>政策描述</t>
        </is>
      </c>
      <c r="M1" s="454" t="inlineStr">
        <is>
          <t>行政信息</t>
        </is>
      </c>
      <c r="N1" s="329" t="n"/>
      <c r="O1" s="329" t="n"/>
      <c r="P1" s="329" t="n"/>
      <c r="Q1" s="329" t="n"/>
      <c r="R1" s="329" t="n"/>
      <c r="S1" s="329" t="n"/>
      <c r="T1" s="329" t="n"/>
      <c r="U1" s="329" t="n"/>
      <c r="V1" s="455" t="inlineStr">
        <is>
          <t>政策规制基础与强度</t>
        </is>
      </c>
      <c r="W1" s="329" t="n"/>
      <c r="X1" s="329" t="n"/>
      <c r="Y1" s="329" t="n"/>
      <c r="Z1" s="329" t="n"/>
      <c r="AA1" s="329" t="n"/>
      <c r="AB1" s="329" t="n"/>
      <c r="AC1" s="329" t="n"/>
      <c r="AD1" s="329" t="n"/>
      <c r="AE1" s="329" t="n"/>
      <c r="AF1" s="329" t="n"/>
      <c r="AG1" s="329" t="n"/>
      <c r="AH1" s="329" t="n"/>
      <c r="AI1" s="329" t="n"/>
      <c r="AJ1" s="329" t="n"/>
      <c r="AK1" s="456" t="inlineStr">
        <is>
          <t>工具特定属性</t>
        </is>
      </c>
      <c r="AL1" s="327" t="n"/>
      <c r="AM1" s="327" t="n"/>
      <c r="AN1" s="327" t="n"/>
      <c r="AO1" s="327" t="n"/>
      <c r="AP1" s="327" t="n"/>
      <c r="AQ1" s="327" t="n"/>
      <c r="AR1" s="327" t="n"/>
      <c r="AS1" s="327" t="n"/>
      <c r="AT1" s="327" t="n"/>
      <c r="AU1" s="457" t="inlineStr">
        <is>
          <t>温室气体排放基础</t>
        </is>
      </c>
      <c r="AV1" s="327" t="n"/>
      <c r="AW1" s="455" t="inlineStr">
        <is>
          <t>分类与指标</t>
        </is>
      </c>
      <c r="AX1" s="329" t="n"/>
      <c r="AY1" s="329" t="n"/>
      <c r="AZ1" s="329" t="n"/>
      <c r="BA1" s="458" t="inlineStr">
        <is>
          <t>立法参考</t>
        </is>
      </c>
      <c r="BB1" s="329" t="n"/>
      <c r="BC1" s="361" t="n"/>
      <c r="BD1" s="430" t="n"/>
      <c r="BE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工具联动</t>
        </is>
      </c>
      <c r="AL2" s="339" t="inlineStr">
        <is>
          <t>信息采集责任方</t>
        </is>
      </c>
      <c r="AM2" s="339" t="inlineStr">
        <is>
          <t>信息传输方式</t>
        </is>
      </c>
      <c r="AN2" s="339" t="inlineStr">
        <is>
          <t>信息提供频率</t>
        </is>
      </c>
      <c r="AO2" s="339" t="inlineStr">
        <is>
          <t>信息公开可用性</t>
        </is>
      </c>
      <c r="AP2" s="339" t="inlineStr">
        <is>
          <t>标签类型</t>
        </is>
      </c>
      <c r="AQ2" s="339" t="inlineStr">
        <is>
          <t>合规监测</t>
        </is>
      </c>
      <c r="AR2" s="339" t="inlineStr">
        <is>
          <t>合规执行</t>
        </is>
      </c>
      <c r="AS2" s="339" t="inlineStr">
        <is>
          <t>合规促进</t>
        </is>
      </c>
      <c r="AT2" s="339" t="inlineStr">
        <is>
          <t>能力建设、培训/教育、宣传和奖励计划详情</t>
        </is>
      </c>
      <c r="AU2" s="362" t="inlineStr">
        <is>
          <t>温室气体排放覆盖（绝对量）</t>
        </is>
      </c>
      <c r="AV2" s="362" t="inlineStr">
        <is>
          <t>温室气体排放覆盖（占国内排放百分比）</t>
        </is>
      </c>
      <c r="AW2" s="335" t="inlineStr">
        <is>
          <t>经济行业</t>
        </is>
      </c>
      <c r="AX2" s="335" t="inlineStr">
        <is>
          <t>受影响的温室气体</t>
        </is>
      </c>
      <c r="AY2" s="335" t="inlineStr">
        <is>
          <t>减缓效果</t>
        </is>
      </c>
      <c r="AZ2" s="335" t="inlineStr">
        <is>
          <t>减缓协同效益</t>
        </is>
      </c>
      <c r="BA2" s="337" t="inlineStr">
        <is>
          <t>法律文件名称</t>
        </is>
      </c>
      <c r="BB2" s="337" t="inlineStr">
        <is>
          <t>法律文件链接</t>
        </is>
      </c>
      <c r="BC2" s="337" t="inlineStr">
        <is>
          <t>其他网页链接</t>
        </is>
      </c>
      <c r="BD2" s="363" t="n"/>
      <c r="BE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国家</t>
        </is>
      </c>
      <c r="N3" s="341" t="inlineStr">
        <is>
          <t>N/A</t>
        </is>
      </c>
      <c r="O3" s="341" t="inlineStr">
        <is>
          <t>11/04/2007</t>
        </is>
      </c>
      <c r="P3" s="341" t="inlineStr">
        <is>
          <t>01/05/2008</t>
        </is>
      </c>
      <c r="Q3" s="341" t="inlineStr">
        <is>
          <t>N/A</t>
        </is>
      </c>
      <c r="R3" s="341" t="inlineStr">
        <is>
          <t>11/12/2021</t>
        </is>
      </c>
      <c r="S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T3" s="341">
        <f>IF(P3="","生效",IF(P3="N/A","生效",IF(TODAY()&lt;DATE(VALUE(RIGHT(P3,4)),VALUE(MID(P3,4,2)),VALUE(LEFT(P3,2))),"计划实施",IF(Q3="","生效",IF(Q3="N/A","生效",IF(TODAY()&lt;DATE(VALUE(RIGHT(Q3,4)),VALUE(MID(Q3,4,2)),VALUE(LEFT(Q3,2))),"生效","已终止"))))))</f>
        <v/>
      </c>
      <c r="U3" s="341" t="inlineStr">
        <is>
          <t>生态环境部；地方各级生态环境主管部门</t>
        </is>
      </c>
      <c r="V3" s="341" t="inlineStr">
        <is>
          <t>工业企业及其生产经营设施</t>
        </is>
      </c>
      <c r="W3" s="341" t="inlineStr">
        <is>
          <t>既有</t>
        </is>
      </c>
      <c r="X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Y3" s="341" t="inlineStr">
        <is>
          <t>N/A</t>
        </is>
      </c>
      <c r="Z3" s="341" t="inlineStr">
        <is>
          <t>N/A</t>
        </is>
      </c>
      <c r="AA3" s="341" t="inlineStr">
        <is>
          <t>企业</t>
        </is>
      </c>
      <c r="AB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C3" s="341" t="inlineStr">
        <is>
          <t>生产</t>
        </is>
      </c>
      <c r="AD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E3" s="341" t="inlineStr">
        <is>
          <t>N/A</t>
        </is>
      </c>
      <c r="AF3" s="341" t="inlineStr">
        <is>
          <t>N/A</t>
        </is>
      </c>
      <c r="AG3" s="341" t="inlineStr">
        <is>
          <t>N/A</t>
        </is>
      </c>
      <c r="AH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I3" s="341" t="inlineStr">
        <is>
          <t>N/A</t>
        </is>
      </c>
      <c r="AJ3" s="341" t="inlineStr">
        <is>
          <t>N/A</t>
        </is>
      </c>
      <c r="AK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L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M3" s="341" t="inlineStr">
        <is>
          <t>通过全国统一的企业环境信息依法披露系统在线编制、上传和公开（网络披露）；披露报告向社会公开，公众可通过系统查询。</t>
        </is>
      </c>
      <c r="AN3" s="341" t="inlineStr">
        <is>
          <t>年度报告每年披露一次（一般于次年3月15日前）；临时报告在发生规定情形后的规定时限内披露。</t>
        </is>
      </c>
      <c r="AO3" s="341" t="inlineStr">
        <is>
          <t>是。企业环境信息依法披露报告通过全国统一的企业环境信息依法披露系统向社会公开，公众、投资者、金融机构和监管部门可在线查询，披露信息长期留存可追溯。</t>
        </is>
      </c>
      <c r="AP3" s="341" t="inlineStr">
        <is>
          <t>N/A</t>
        </is>
      </c>
      <c r="AQ3" s="341" t="inlineStr">
        <is>
          <t>政府机构开展的监督检查</t>
        </is>
      </c>
      <c r="AR3" s="341" t="inlineStr">
        <is>
          <t>行政处罚；罚款；责令改正；纳入信用记录</t>
        </is>
      </c>
      <c r="AS3" s="341" t="inlineStr">
        <is>
          <t>环境信用评价激励</t>
        </is>
      </c>
      <c r="AT3" s="341" t="inlineStr">
        <is>
          <t>组织开展企业环境信息依法披露培训和政策宣贯；建设和推广企业环境信息依法披露系统；发布格式准则和填报指南，指导企业规范披露。</t>
        </is>
      </c>
      <c r="AU3" s="341" t="inlineStr">
        <is>
          <t>N/A</t>
        </is>
      </c>
      <c r="AV3" s="341" t="inlineStr">
        <is>
          <t>N/A</t>
        </is>
      </c>
      <c r="AW3" s="341" t="inlineStr">
        <is>
          <t>C19; C20; C23; C24; D35</t>
        </is>
      </c>
      <c r="AX3" s="341" t="inlineStr">
        <is>
          <t>CO2</t>
        </is>
      </c>
      <c r="AY3" s="341" t="inlineStr">
        <is>
          <t>正向</t>
        </is>
      </c>
      <c r="AZ3" s="341" t="inlineStr">
        <is>
          <t>污染防治；技术创新</t>
        </is>
      </c>
      <c r="BA3" s="341" t="inlineStr">
        <is>
          <t>企业环境信息依法披露管理办法（生态环境部令第24号）</t>
        </is>
      </c>
      <c r="BB3" s="341" t="inlineStr">
        <is>
          <t>https://www.mee.gov.cn/xxgk2018/xxgk/xxgk02/202112/t20211221_964837.html</t>
        </is>
      </c>
      <c r="BC3" s="341" t="inlineStr">
        <is>
          <t>环境信息公开办法（试行）（国家环境保护总局令第35号）：https://www.gov.cn/gongbao/content/2008/content_892212.htm</t>
        </is>
      </c>
      <c r="BD3" s="341" t="inlineStr"/>
      <c r="BE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国家</t>
        </is>
      </c>
      <c r="N4" s="341" t="inlineStr">
        <is>
          <t>N/A</t>
        </is>
      </c>
      <c r="O4" s="341" t="inlineStr">
        <is>
          <t>12/04/2024</t>
        </is>
      </c>
      <c r="P4" s="341" t="inlineStr">
        <is>
          <t>01/05/2024</t>
        </is>
      </c>
      <c r="Q4" s="341" t="inlineStr">
        <is>
          <t>N/A</t>
        </is>
      </c>
      <c r="R4" s="341" t="inlineStr">
        <is>
          <t>N/A</t>
        </is>
      </c>
      <c r="S4" s="341" t="inlineStr">
        <is>
          <t>N/A</t>
        </is>
      </c>
      <c r="T4" s="341">
        <f>IF(P4="","生效",IF(P4="N/A","生效",IF(TODAY()&lt;DATE(VALUE(RIGHT(P4,4)),VALUE(MID(P4,4,2)),VALUE(LEFT(P4,2))),"计划实施",IF(Q4="","生效",IF(Q4="N/A","生效",IF(TODAY()&lt;DATE(VALUE(RIGHT(Q4,4)),VALUE(MID(Q4,4,2)),VALUE(LEFT(Q4,2))),"生效","已终止"))))))</f>
        <v/>
      </c>
      <c r="U4" s="341" t="inlineStr">
        <is>
          <t>中国证券监督管理委员会（指导）；上海证券交易所；深圳证券交易所；北京证券交易所</t>
        </is>
      </c>
      <c r="V4" s="341" t="inlineStr">
        <is>
          <t>上市公司可持续发展报告（企业信息披露）</t>
        </is>
      </c>
      <c r="W4" s="341" t="inlineStr">
        <is>
          <t>N/A</t>
        </is>
      </c>
      <c r="X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Y4" s="341" t="inlineStr">
        <is>
          <t>N/A</t>
        </is>
      </c>
      <c r="Z4" s="341" t="inlineStr">
        <is>
          <t>N/A</t>
        </is>
      </c>
      <c r="AA4" s="341" t="inlineStr">
        <is>
          <t>企业</t>
        </is>
      </c>
      <c r="AB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C4" s="341" t="inlineStr">
        <is>
          <t>注册、许可及行政管理</t>
        </is>
      </c>
      <c r="AD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E4" s="341" t="inlineStr">
        <is>
          <t>N/A</t>
        </is>
      </c>
      <c r="AF4" s="341" t="inlineStr">
        <is>
          <t>N/A</t>
        </is>
      </c>
      <c r="AG4" s="341" t="inlineStr">
        <is>
          <t>N/A</t>
        </is>
      </c>
      <c r="AH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I4" s="341" t="inlineStr">
        <is>
          <t>N/A</t>
        </is>
      </c>
      <c r="AJ4" s="341" t="inlineStr">
        <is>
          <t>N/A</t>
        </is>
      </c>
      <c r="AK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L4" s="341" t="inlineStr">
        <is>
          <t>上市公司按照指引框架自行编制可持续发展报告，采集和核算温室气体排放等ESG数据；鼓励上市公司聘请第三方机构对可持续发展报告进行鉴证。</t>
        </is>
      </c>
      <c r="AM4" s="341" t="inlineStr">
        <is>
          <t>上市公司通过交易所指定的信息披露平台（如上交所官网、深交所官网、北交所官网、巨潮资讯网等）公开披露可持续发展报告（网络公示）。</t>
        </is>
      </c>
      <c r="AN4" s="341" t="inlineStr">
        <is>
          <t>按年度披露（每个会计年度结束后四个月内，与年度报告同时或独立发布）。</t>
        </is>
      </c>
      <c r="AO4" s="341" t="inlineStr">
        <is>
          <t>是（公开）。上市公司通过交易所指定的信息披露平台向社会公众全文公开披露可持续发展报告。</t>
        </is>
      </c>
      <c r="AP4" s="341" t="inlineStr">
        <is>
          <t>N/A</t>
        </is>
      </c>
      <c r="AQ4" s="341" t="inlineStr">
        <is>
          <t>政府机构开展的监督检查</t>
        </is>
      </c>
      <c r="AR4" s="341" t="inlineStr">
        <is>
          <t>责令改正；通报</t>
        </is>
      </c>
      <c r="AS4" s="341" t="inlineStr">
        <is>
          <t>其他激励或支持</t>
        </is>
      </c>
      <c r="AT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U4" s="341" t="inlineStr">
        <is>
          <t>N/A（本工具为上市公司ESG信息披露规则，通过资本市场信息披露机制提升企业气候透明度并引导资本导向绿色低碳领域，无直接可量化的温室气体排放覆盖量）</t>
        </is>
      </c>
      <c r="AV4" s="341" t="inlineStr">
        <is>
          <t>N/A（本工具为间接信息披露工具，无直接的温室气体排放覆盖占比）</t>
        </is>
      </c>
      <c r="AW4" s="341" t="inlineStr">
        <is>
          <t>K64</t>
        </is>
      </c>
      <c r="AX4" s="341" t="inlineStr">
        <is>
          <t>CO2; CH4; N2O; HFCs; PFCs; SF6; NF3</t>
        </is>
      </c>
      <c r="AY4" s="341" t="inlineStr">
        <is>
          <t>正向</t>
        </is>
      </c>
      <c r="AZ4" s="341" t="inlineStr">
        <is>
          <t>产业发展；技术创新；污染防治</t>
        </is>
      </c>
      <c r="BA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B4" s="341" t="inlineStr">
        <is>
          <t>https://www.sse.com.cn/lawandrules/sselawsrules2025/stocks/mainipo/c/c_20250516_10779150.shtml</t>
        </is>
      </c>
      <c r="BC4" s="341" t="inlineStr">
        <is>
          <t>http://www.szse.cn/www/sustainablefinance/document/guide/t20240412_606839.html；https://www.bse.cn/cxjg_list/200021393.html；https://www.sse.com.cn/lawandrules/guide/stock/zbxxpljg/ssgszljg/c/c_20250117_10770284.shtml（编制指南）</t>
        </is>
      </c>
      <c r="BD4" s="341" t="inlineStr"/>
      <c r="BE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国家</t>
        </is>
      </c>
      <c r="N5" s="341" t="inlineStr">
        <is>
          <t>N/A</t>
        </is>
      </c>
      <c r="O5" s="341" t="inlineStr">
        <is>
          <t>10/12/2014</t>
        </is>
      </c>
      <c r="P5" s="341" t="inlineStr">
        <is>
          <t>09/01/2015</t>
        </is>
      </c>
      <c r="Q5" s="341" t="inlineStr">
        <is>
          <t>N/A</t>
        </is>
      </c>
      <c r="R5" s="341" t="inlineStr">
        <is>
          <t>25/01/2024</t>
        </is>
      </c>
      <c r="S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T5" s="341">
        <f>IF(P5="","生效",IF(P5="N/A","生效",IF(TODAY()&lt;DATE(VALUE(RIGHT(P5,4)),VALUE(MID(P5,4,2)),VALUE(LEFT(P5,2))),"计划实施",IF(Q5="","生效",IF(Q5="N/A","生效",IF(TODAY()&lt;DATE(VALUE(RIGHT(Q5,4)),VALUE(MID(Q5,4,2)),VALUE(LEFT(Q5,2))),"生效","已终止"))))))</f>
        <v/>
      </c>
      <c r="U5" s="341" t="inlineStr">
        <is>
          <t>生态环境部（应对气候变化司）；省级生态环境主管部门；设区的市级生态环境主管部门</t>
        </is>
      </c>
      <c r="V5" s="341" t="inlineStr">
        <is>
          <t>重点排放单位的生产设施和排放源</t>
        </is>
      </c>
      <c r="W5" s="341" t="inlineStr">
        <is>
          <t>既有</t>
        </is>
      </c>
      <c r="X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Y5" s="341" t="inlineStr">
        <is>
          <t>N/A</t>
        </is>
      </c>
      <c r="Z5" s="341" t="inlineStr">
        <is>
          <t>≥2.6万吨CO2e/年</t>
        </is>
      </c>
      <c r="AA5" s="341" t="inlineStr">
        <is>
          <t>企业</t>
        </is>
      </c>
      <c r="AB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C5" s="341" t="inlineStr">
        <is>
          <t>生产</t>
        </is>
      </c>
      <c r="AD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E5" s="341" t="inlineStr">
        <is>
          <t>2.6万</t>
        </is>
      </c>
      <c r="AF5" s="341" t="inlineStr">
        <is>
          <t>吨二氧化碳当量/年</t>
        </is>
      </c>
      <c r="AG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H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I5" s="341" t="inlineStr">
        <is>
          <t>N/A</t>
        </is>
      </c>
      <c r="AJ5" s="341" t="inlineStr">
        <is>
          <t>N/A</t>
        </is>
      </c>
      <c r="AK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L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M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N5" s="341" t="inlineStr">
        <is>
          <t>年度排放报告每年报送一次（一般于次年3月31日前）；第三方核查由省级生态环境主管部门在排放报告提交后统一组织开展（每年一次）。</t>
        </is>
      </c>
      <c r="AO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P5" s="341" t="inlineStr">
        <is>
          <t>N/A</t>
        </is>
      </c>
      <c r="AQ5" s="341" t="inlineStr">
        <is>
          <t>政府机构开展的监督检查</t>
        </is>
      </c>
      <c r="AR5" s="341" t="inlineStr">
        <is>
          <t>行政处罚；罚款；责令改正；纳入信用记录</t>
        </is>
      </c>
      <c r="AS5" s="341" t="inlineStr">
        <is>
          <t>其他激励或支持</t>
        </is>
      </c>
      <c r="AT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U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V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W5" s="341" t="inlineStr">
        <is>
          <t>D35; C24; C23; C20; C21; C17; H51</t>
        </is>
      </c>
      <c r="AX5" s="341" t="inlineStr">
        <is>
          <t>CO2; CH4; N2O; HFCs; PFCs; SF6</t>
        </is>
      </c>
      <c r="AY5" s="341" t="inlineStr">
        <is>
          <t>正向</t>
        </is>
      </c>
      <c r="AZ5" s="341" t="inlineStr">
        <is>
          <t>污染防治；节能</t>
        </is>
      </c>
      <c r="BA5" s="341" t="inlineStr">
        <is>
          <t>关于做好2023—2025年部分重点行业企业温室气体排放报告与核查工作的通知</t>
        </is>
      </c>
      <c r="BB5" s="341" t="inlineStr">
        <is>
          <t>https://www.mee.gov.cn/xxgk2018/xxgk/xxgk06/202310/t20231018_1043427.html</t>
        </is>
      </c>
      <c r="BC5" s="341" t="inlineStr">
        <is>
          <t>碳排放权交易管理暂行条例（国务院令第775号）：https://www.gov.cn/zhengce/content/202402/content_6929567.htm；碳排放权交易管理办法（试行）（生态环境部令第19号）：https://www.mee.gov.cn/xxgk2018/xxgk/xxgk02/202101/t20210105_816131.html</t>
        </is>
      </c>
      <c r="BD5" s="341" t="inlineStr"/>
      <c r="BE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信息披露；绿色经济；绿色金融</t>
        </is>
      </c>
      <c r="L6" s="341" t="inlineStr">
        <is>
          <t>直接</t>
        </is>
      </c>
      <c r="M6" s="341" t="inlineStr">
        <is>
          <t>国家</t>
        </is>
      </c>
      <c r="N6" s="341" t="inlineStr">
        <is>
          <t>N/A</t>
        </is>
      </c>
      <c r="O6" s="341" t="inlineStr">
        <is>
          <t>27/07/2018</t>
        </is>
      </c>
      <c r="P6" s="341" t="inlineStr">
        <is>
          <t>27/07/2018</t>
        </is>
      </c>
      <c r="Q6" s="341" t="inlineStr">
        <is>
          <t>N/A</t>
        </is>
      </c>
      <c r="R6" s="341" t="inlineStr">
        <is>
          <t>09/06/2021</t>
        </is>
      </c>
      <c r="S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T6" s="341">
        <f>IF(P6="","生效",IF(P6="N/A","生效",IF(TODAY()&lt;DATE(VALUE(RIGHT(P6,4)),VALUE(MID(P6,4,2)),VALUE(LEFT(P6,2))),"计划实施",IF(Q6="","生效",IF(Q6="N/A","生效",IF(TODAY()&lt;DATE(VALUE(RIGHT(Q6,4)),VALUE(MID(Q6,4,2)),VALUE(LEFT(Q6,2))),"生效","已终止"))))))</f>
        <v/>
      </c>
      <c r="U6" s="341" t="inlineStr">
        <is>
          <t>中国人民银行；中国人民银行分支机构</t>
        </is>
      </c>
      <c r="V6" s="341" t="inlineStr">
        <is>
          <t>绿色金融业务</t>
        </is>
      </c>
      <c r="W6" s="341" t="inlineStr">
        <is>
          <t>N/A</t>
        </is>
      </c>
      <c r="X6" s="341" t="inlineStr">
        <is>
          <t>本工具为绿色金融业绩评价制度，评价对象为银行业金融机构的绿色金融业务（绿色贷款、绿色债券等），不直接监管实体排放资产。</t>
        </is>
      </c>
      <c r="Y6" s="341" t="inlineStr">
        <is>
          <t>N/A</t>
        </is>
      </c>
      <c r="Z6" s="341" t="inlineStr">
        <is>
          <t>N/A</t>
        </is>
      </c>
      <c r="AA6" s="341" t="inlineStr">
        <is>
          <t>企业</t>
        </is>
      </c>
      <c r="AB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C6" s="341" t="inlineStr">
        <is>
          <t>注册、许可及行政管理</t>
        </is>
      </c>
      <c r="AD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E6" s="341" t="inlineStr">
        <is>
          <t>N/A</t>
        </is>
      </c>
      <c r="AF6" s="341" t="inlineStr">
        <is>
          <t>N/A</t>
        </is>
      </c>
      <c r="AG6" s="341" t="inlineStr">
        <is>
          <t>N/A</t>
        </is>
      </c>
      <c r="AH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I6" s="341" t="inlineStr">
        <is>
          <t>N/A</t>
        </is>
      </c>
      <c r="AJ6" s="341" t="inlineStr">
        <is>
          <t>N/A</t>
        </is>
      </c>
      <c r="AK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L6" s="341" t="inlineStr">
        <is>
          <t>被评价银行业金融机构按要求提供绿色金融业务数据和相关材料（数据主要来源于绿色贷款专项统计等既有统计）；中国人民银行及其分支机构负责数据核实、评价计算和结果形成。</t>
        </is>
      </c>
      <c r="AM6" s="341" t="inlineStr">
        <is>
          <t>被评价机构通过中国人民银行相关报送渠道提交绿色金融业务数据和评价材料（网络报送）；评价结果由中国人民银行反馈至被评价机构。</t>
        </is>
      </c>
      <c r="AN6" s="341" t="inlineStr">
        <is>
          <t>按季度开展评价（每季度评价一次）。</t>
        </is>
      </c>
      <c r="AO6" s="341" t="inlineStr">
        <is>
          <t>否（不公开）。绿色金融评价结果纳入中国人民银行金融机构评级，主要用于监管和政策，单个机构评价结果一般不对外公开。</t>
        </is>
      </c>
      <c r="AP6" s="341" t="inlineStr">
        <is>
          <t>N/A</t>
        </is>
      </c>
      <c r="AQ6" s="341" t="inlineStr">
        <is>
          <t>政府机构开展的监督检查</t>
        </is>
      </c>
      <c r="AR6" s="341" t="inlineStr">
        <is>
          <t>责令改正；通报</t>
        </is>
      </c>
      <c r="AS6" s="341" t="inlineStr">
        <is>
          <t>其他激励或支持</t>
        </is>
      </c>
      <c r="AT6" s="341" t="inlineStr">
        <is>
          <t>发布《银行业金融机构绿色金融评价方案》及评价指标、评分标准和操作细则；组织被评价机构开展绿色金融评价业务培训和政策解读；通过评价结果反馈和沟通指导金融机构改进绿色金融业务。</t>
        </is>
      </c>
      <c r="AU6" s="341" t="inlineStr">
        <is>
          <t>N/A（本工具为绿色金融业绩评价制度，通过激励约束金融机构绿色金融供给间接支持减排，无直接可量化的温室气体排放覆盖量）</t>
        </is>
      </c>
      <c r="AV6" s="341" t="inlineStr">
        <is>
          <t>N/A（本工具为间接金融工具，无直接的温室气体排放覆盖占比）</t>
        </is>
      </c>
      <c r="AW6" s="341" t="inlineStr">
        <is>
          <t>K64</t>
        </is>
      </c>
      <c r="AX6" s="341" t="inlineStr">
        <is>
          <t>CO2</t>
        </is>
      </c>
      <c r="AY6" s="341" t="inlineStr">
        <is>
          <t>正向</t>
        </is>
      </c>
      <c r="AZ6" s="341" t="inlineStr">
        <is>
          <t>产业发展；技术创新</t>
        </is>
      </c>
      <c r="BA6" s="341" t="inlineStr">
        <is>
          <t>中国人民银行关于印发《银行业金融机构绿色金融评价方案》的通知</t>
        </is>
      </c>
      <c r="BB6" s="341" t="inlineStr">
        <is>
          <t>https://www.gov.cn/zhengce/zhengceku/2021-06/11/content_5616962.htm</t>
        </is>
      </c>
      <c r="BC6" s="341" t="inlineStr">
        <is>
          <t>N/A</t>
        </is>
      </c>
      <c r="BD6" s="341" t="inlineStr"/>
      <c r="BE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信息披露；绿色经济；绿色金融</t>
        </is>
      </c>
      <c r="L7" s="341" t="inlineStr">
        <is>
          <t>间接</t>
        </is>
      </c>
      <c r="M7" s="341" t="inlineStr">
        <is>
          <t>国家</t>
        </is>
      </c>
      <c r="N7" s="341" t="inlineStr">
        <is>
          <t>N/A</t>
        </is>
      </c>
      <c r="O7" s="341" t="inlineStr">
        <is>
          <t>04/07/2013</t>
        </is>
      </c>
      <c r="P7" s="341" t="inlineStr">
        <is>
          <t>04/07/2013</t>
        </is>
      </c>
      <c r="Q7" s="341" t="inlineStr">
        <is>
          <t>N/A</t>
        </is>
      </c>
      <c r="R7" s="341" t="inlineStr">
        <is>
          <t>27/12/2019</t>
        </is>
      </c>
      <c r="S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T7" s="341">
        <f>IF(P7="","生效",IF(P7="N/A","生效",IF(TODAY()&lt;DATE(VALUE(RIGHT(P7,4)),VALUE(MID(P7,4,2)),VALUE(LEFT(P7,2))),"计划实施",IF(Q7="","生效",IF(Q7="N/A","生效",IF(TODAY()&lt;DATE(VALUE(RIGHT(Q7,4)),VALUE(MID(Q7,4,2)),VALUE(LEFT(Q7,2))),"生效","已终止"))))))</f>
        <v/>
      </c>
      <c r="U7" s="341" t="inlineStr">
        <is>
          <t>中国人民银行；中国人民银行分支机构</t>
        </is>
      </c>
      <c r="V7" s="341" t="inlineStr">
        <is>
          <t>绿色贷款业务</t>
        </is>
      </c>
      <c r="W7" s="341" t="inlineStr">
        <is>
          <t>N/A</t>
        </is>
      </c>
      <c r="X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Y7" s="341" t="inlineStr">
        <is>
          <t>N/A</t>
        </is>
      </c>
      <c r="Z7" s="341" t="inlineStr">
        <is>
          <t>N/A</t>
        </is>
      </c>
      <c r="AA7" s="341" t="inlineStr">
        <is>
          <t>企业</t>
        </is>
      </c>
      <c r="AB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C7" s="341" t="inlineStr">
        <is>
          <t>注册、许可及行政管理</t>
        </is>
      </c>
      <c r="AD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E7" s="341" t="inlineStr">
        <is>
          <t>N/A</t>
        </is>
      </c>
      <c r="AF7" s="341" t="inlineStr">
        <is>
          <t>N/A</t>
        </is>
      </c>
      <c r="AG7" s="341" t="inlineStr">
        <is>
          <t>N/A</t>
        </is>
      </c>
      <c r="AH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I7" s="341" t="inlineStr">
        <is>
          <t>N/A</t>
        </is>
      </c>
      <c r="AJ7" s="341" t="inlineStr">
        <is>
          <t>N/A</t>
        </is>
      </c>
      <c r="AK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L7" s="341" t="inlineStr">
        <is>
          <t>银行业金融机构自行按照绿色贷款专项统计制度的统计口径和分类标准，采集、核算和填报本机构绿色贷款统计数据；中国人民银行及其分支机构负责数据审核、汇总和质量核查。</t>
        </is>
      </c>
      <c r="AM7" s="341" t="inlineStr">
        <is>
          <t>银行业金融机构通过中国人民银行金融统计监测管理信息系统等报送渠道在线报送绿色贷款专项统计报表（网络报送）。</t>
        </is>
      </c>
      <c r="AN7" s="341" t="inlineStr">
        <is>
          <t>按季度报送（每季度末后规定期限内报送上一季度绿色贷款统计数据）。</t>
        </is>
      </c>
      <c r="AO7" s="341" t="inlineStr">
        <is>
          <t>是（部分公开）。中国人民银行定期通过《金融机构贷款投向统计报告》等发布绿色贷款总量、增速和结构等汇总统计数据；单个金融机构的明细数据主要服务于监管和政策制定，不对外公开。</t>
        </is>
      </c>
      <c r="AP7" s="341" t="inlineStr">
        <is>
          <t>N/A</t>
        </is>
      </c>
      <c r="AQ7" s="341" t="inlineStr">
        <is>
          <t>政府机构开展的监督检查</t>
        </is>
      </c>
      <c r="AR7" s="341" t="inlineStr">
        <is>
          <t>责令改正；通报</t>
        </is>
      </c>
      <c r="AS7" s="341" t="inlineStr">
        <is>
          <t>其他激励或支持</t>
        </is>
      </c>
      <c r="AT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U7" s="341" t="inlineStr">
        <is>
          <t>N/A（本工具为绿色金融统计制度，通过引导信贷资源配置间接支持绿色低碳发展，无直接可量化的温室气体排放覆盖量）</t>
        </is>
      </c>
      <c r="AV7" s="341" t="inlineStr">
        <is>
          <t>N/A（本工具为间接金融工具，无直接的温室气体排放覆盖占比）</t>
        </is>
      </c>
      <c r="AW7" s="341" t="inlineStr">
        <is>
          <t>K64</t>
        </is>
      </c>
      <c r="AX7" s="341" t="inlineStr">
        <is>
          <t>CO2</t>
        </is>
      </c>
      <c r="AY7" s="341" t="inlineStr">
        <is>
          <t>正向</t>
        </is>
      </c>
      <c r="AZ7" s="341" t="inlineStr">
        <is>
          <t>产业发展；技术创新；污染防治</t>
        </is>
      </c>
      <c r="BA7" s="341" t="inlineStr">
        <is>
          <t>中国人民银行关于修订绿色贷款专项统计制度的通知</t>
        </is>
      </c>
      <c r="BB7" s="341" t="inlineStr">
        <is>
          <t>http://www.gzgfa.org.cn/Guojiazhengce-35/171.html</t>
        </is>
      </c>
      <c r="BC7" s="341" t="inlineStr">
        <is>
          <t>N/A</t>
        </is>
      </c>
      <c r="BD7" s="341" t="inlineStr"/>
      <c r="BE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信息披露；绿色经济；绿色金融</t>
        </is>
      </c>
      <c r="L8" s="341" t="inlineStr">
        <is>
          <t>间接</t>
        </is>
      </c>
      <c r="M8" s="341" t="inlineStr">
        <is>
          <t>国家</t>
        </is>
      </c>
      <c r="N8" s="341" t="inlineStr">
        <is>
          <t>N/A</t>
        </is>
      </c>
      <c r="O8" s="341" t="inlineStr">
        <is>
          <t>10/11/2022</t>
        </is>
      </c>
      <c r="P8" s="341" t="inlineStr">
        <is>
          <t>10/11/2022</t>
        </is>
      </c>
      <c r="Q8" s="341" t="inlineStr">
        <is>
          <t>N/A</t>
        </is>
      </c>
      <c r="R8" s="341" t="inlineStr">
        <is>
          <t>N/A</t>
        </is>
      </c>
      <c r="S8" s="341" t="inlineStr">
        <is>
          <t>N/A</t>
        </is>
      </c>
      <c r="T8" s="341">
        <f>IF(P8="","生效",IF(P8="N/A","生效",IF(TODAY()&lt;DATE(VALUE(RIGHT(P8,4)),VALUE(MID(P8,4,2)),VALUE(LEFT(P8,2))),"计划实施",IF(Q8="","生效",IF(Q8="N/A","生效",IF(TODAY()&lt;DATE(VALUE(RIGHT(Q8,4)),VALUE(MID(Q8,4,2)),VALUE(LEFT(Q8,2))),"生效","已终止"))))))</f>
        <v/>
      </c>
      <c r="U8" s="341" t="inlineStr">
        <is>
          <t>国家金融监督管理总局（原中国银保监会）；国家金融监督管理总局派出机构</t>
        </is>
      </c>
      <c r="V8" s="341" t="inlineStr">
        <is>
          <t>绿色保险业务</t>
        </is>
      </c>
      <c r="W8" s="341" t="inlineStr">
        <is>
          <t>N/A</t>
        </is>
      </c>
      <c r="X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Y8" s="341" t="inlineStr">
        <is>
          <t>N/A</t>
        </is>
      </c>
      <c r="Z8" s="341" t="inlineStr">
        <is>
          <t>N/A</t>
        </is>
      </c>
      <c r="AA8" s="341" t="inlineStr">
        <is>
          <t>企业</t>
        </is>
      </c>
      <c r="AB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C8" s="341" t="inlineStr">
        <is>
          <t>注册、许可及行政管理</t>
        </is>
      </c>
      <c r="AD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E8" s="341" t="inlineStr">
        <is>
          <t>N/A</t>
        </is>
      </c>
      <c r="AF8" s="341" t="inlineStr">
        <is>
          <t>N/A</t>
        </is>
      </c>
      <c r="AG8" s="341" t="inlineStr">
        <is>
          <t>N/A</t>
        </is>
      </c>
      <c r="AH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I8" s="341" t="inlineStr">
        <is>
          <t>N/A</t>
        </is>
      </c>
      <c r="AJ8" s="341" t="inlineStr">
        <is>
          <t>N/A</t>
        </is>
      </c>
      <c r="AK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L8" s="341" t="inlineStr">
        <is>
          <t>保险公司总公司自行按照绿色保险业务统计制度的统计口径和分类标准，汇总本公司绿色保险业务数据并填报；国家金融监督管理总局（原中国银保监会）负责数据审核和汇总。</t>
        </is>
      </c>
      <c r="AM8" s="341" t="inlineStr">
        <is>
          <t>保险公司总公司通过创新业务统计信息系统在线报送绿色保险业务统计报表（网络报送）。</t>
        </is>
      </c>
      <c r="AN8" s="341" t="inlineStr">
        <is>
          <t>按月报送（每月规定期限内报送上月绿色保险业务统计数据）。</t>
        </is>
      </c>
      <c r="AO8" s="341" t="inlineStr">
        <is>
          <t>是（部分公开）。监管部门通过行业统计和相关报告发布绿色保险业务总量等汇总数据；单个保险公司的明细数据主要服务于监管，不对外公开。</t>
        </is>
      </c>
      <c r="AP8" s="341" t="inlineStr">
        <is>
          <t>N/A</t>
        </is>
      </c>
      <c r="AQ8" s="341" t="inlineStr">
        <is>
          <t>政府机构开展的监督检查</t>
        </is>
      </c>
      <c r="AR8" s="341" t="inlineStr">
        <is>
          <t>责令改正；通报</t>
        </is>
      </c>
      <c r="AS8" s="341" t="inlineStr">
        <is>
          <t>其他激励或支持</t>
        </is>
      </c>
      <c r="AT8" s="341" t="inlineStr">
        <is>
          <t>发布绿色保险业务统计制度及统计口径、指标说明和填报指南；组织保险公司开展绿色保险业务统计培训；建设和维护创新业务统计信息系统绿色保险统计模块。</t>
        </is>
      </c>
      <c r="AU8" s="341" t="inlineStr">
        <is>
          <t>N/A（本工具为绿色金融统计制度，通过保险保障和资金支持间接服务绿色低碳发展，无直接可量化的温室气体排放覆盖量）</t>
        </is>
      </c>
      <c r="AV8" s="341" t="inlineStr">
        <is>
          <t>N/A（本工具为间接金融工具，无直接的温室气体排放覆盖占比）</t>
        </is>
      </c>
      <c r="AW8" s="341" t="inlineStr">
        <is>
          <t>K65</t>
        </is>
      </c>
      <c r="AX8" s="341" t="inlineStr">
        <is>
          <t>CO2</t>
        </is>
      </c>
      <c r="AY8" s="341" t="inlineStr">
        <is>
          <t>正向</t>
        </is>
      </c>
      <c r="AZ8" s="341" t="inlineStr">
        <is>
          <t>产业发展；污染防治；生态保护</t>
        </is>
      </c>
      <c r="BA8" s="341" t="inlineStr">
        <is>
          <t>中国银保监会办公厅关于印发绿色保险业务统计制度的通知</t>
        </is>
      </c>
      <c r="BB8" s="341" t="inlineStr">
        <is>
          <t>https://www.nfra.gov.cn/cn/view/pages/ItemDetail.html?docId=1081137&amp;itemId=915&amp;generaltype=0</t>
        </is>
      </c>
      <c r="BC8" s="341" t="inlineStr">
        <is>
          <t>N/A</t>
        </is>
      </c>
      <c r="BD8" s="341" t="inlineStr"/>
      <c r="BE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能源效率</t>
        </is>
      </c>
      <c r="L9" s="341" t="inlineStr">
        <is>
          <t>间接</t>
        </is>
      </c>
      <c r="M9" s="341" t="inlineStr">
        <is>
          <t>国家</t>
        </is>
      </c>
      <c r="N9" s="341" t="inlineStr">
        <is>
          <t>N/A</t>
        </is>
      </c>
      <c r="O9" s="341" t="inlineStr">
        <is>
          <t>01/08/2008</t>
        </is>
      </c>
      <c r="P9" s="341" t="inlineStr">
        <is>
          <t>01/10/2008</t>
        </is>
      </c>
      <c r="Q9" s="341" t="inlineStr">
        <is>
          <t>N/A</t>
        </is>
      </c>
      <c r="R9" s="341" t="inlineStr">
        <is>
          <t>01/03/2017</t>
        </is>
      </c>
      <c r="S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T9" s="341">
        <f>IF(P9="","生效",IF(P9="N/A","生效",IF(TODAY()&lt;DATE(VALUE(RIGHT(P9,4)),VALUE(MID(P9,4,2)),VALUE(LEFT(P9,2))),"计划实施",IF(Q9="","生效",IF(Q9="N/A","生效",IF(TODAY()&lt;DATE(VALUE(RIGHT(Q9,4)),VALUE(MID(Q9,4,2)),VALUE(LEFT(Q9,2))),"生效","已终止"))))))</f>
        <v/>
      </c>
      <c r="U9" s="341" t="inlineStr">
        <is>
          <t>国家机关事务管理局；国家统计局；国家发展和改革委员会；县级以上人民政府管理机关事务工作的机构</t>
        </is>
      </c>
      <c r="V9" s="341" t="inlineStr">
        <is>
          <t>公共机构建筑、用能系统及公务用车</t>
        </is>
      </c>
      <c r="W9" s="341" t="inlineStr">
        <is>
          <t>既有</t>
        </is>
      </c>
      <c r="X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Y9" s="341" t="inlineStr">
        <is>
          <t>N/A</t>
        </is>
      </c>
      <c r="Z9" s="341" t="inlineStr">
        <is>
          <t>N/A</t>
        </is>
      </c>
      <c r="AA9" s="341" t="inlineStr">
        <is>
          <t>政府</t>
        </is>
      </c>
      <c r="AB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C9" s="341" t="inlineStr">
        <is>
          <t>使用</t>
        </is>
      </c>
      <c r="AD9" s="341" t="inlineStr">
        <is>
          <t>公共机构在日常运行中消费能源资源的活动。公共机构须建立能源资源消费统计台账，按季度/年度报送能源资源消费数据；重点用能单位须配合开展能源审计，接受用能状况核查和节能诊断。</t>
        </is>
      </c>
      <c r="AE9" s="341" t="inlineStr">
        <is>
          <t>N/A</t>
        </is>
      </c>
      <c r="AF9" s="341" t="inlineStr">
        <is>
          <t>N/A</t>
        </is>
      </c>
      <c r="AG9" s="341" t="inlineStr">
        <is>
          <t>N/A</t>
        </is>
      </c>
      <c r="AH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I9" s="341" t="inlineStr">
        <is>
          <t>N/A</t>
        </is>
      </c>
      <c r="AJ9" s="341" t="inlineStr">
        <is>
          <t>N/A</t>
        </is>
      </c>
      <c r="AK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L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M9" s="341" t="inlineStr">
        <is>
          <t>通过公共机构能源资源消费统计信息系统在线填报和逐级上报（网络报送）；能源审计报告以书面形式提交管理机关事务工作的机构。</t>
        </is>
      </c>
      <c r="AN9" s="341" t="inlineStr">
        <is>
          <t>能源资源消费统计按季度和年度定期报送；能源审计按规定周期（一般每若干年一次）对重点用能公共机构开展。</t>
        </is>
      </c>
      <c r="AO9" s="341" t="inlineStr">
        <is>
          <t>是（部分公开）。国家机关事务管理局定期汇总并通报全国公共机构能源资源消费统计情况，部分汇总数据向社会公开；单个公共机构的详细能耗数据主要用于节能管理和目标考核。</t>
        </is>
      </c>
      <c r="AP9" s="341" t="inlineStr">
        <is>
          <t>N/A</t>
        </is>
      </c>
      <c r="AQ9" s="341" t="inlineStr">
        <is>
          <t>政府机构开展的监督检查</t>
        </is>
      </c>
      <c r="AR9" s="341" t="inlineStr">
        <is>
          <t>行政处罚；通报批评；责令整改</t>
        </is>
      </c>
      <c r="AS9" s="341" t="inlineStr">
        <is>
          <t>表彰奖励</t>
        </is>
      </c>
      <c r="AT9" s="341" t="inlineStr">
        <is>
          <t>组织开展公共机构能源资源消费统计和能源审计业务培训；推广能耗监测和统计信息化系统；结合节约型机关创建开展节能宣传。</t>
        </is>
      </c>
      <c r="AU9" s="341" t="inlineStr">
        <is>
          <t>N/A</t>
        </is>
      </c>
      <c r="AV9" s="341" t="inlineStr">
        <is>
          <t>N/A</t>
        </is>
      </c>
      <c r="AW9" s="341" t="inlineStr">
        <is>
          <t>O84; P85; Q86</t>
        </is>
      </c>
      <c r="AX9" s="341" t="inlineStr">
        <is>
          <t>CO2</t>
        </is>
      </c>
      <c r="AY9" s="341" t="inlineStr">
        <is>
          <t>正向</t>
        </is>
      </c>
      <c r="AZ9" s="341" t="inlineStr">
        <is>
          <t>节能；资源节约</t>
        </is>
      </c>
      <c r="BA9" s="341" t="inlineStr">
        <is>
          <t>公共机构节能条例（国务院令第531号）</t>
        </is>
      </c>
      <c r="BB9" s="341" t="inlineStr">
        <is>
          <t>https://www.gov.cn/zhengce/2008-08/11/content_2602516.htm</t>
        </is>
      </c>
      <c r="BC9" s="341" t="inlineStr">
        <is>
          <t>公共机构能源审计管理暂行办法：https://gbc.ggj.gov.cn/zcfg/bmgz/202201/t20220126_34491.htm</t>
        </is>
      </c>
      <c r="BD9" s="341" t="inlineStr"/>
      <c r="BE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能源效率；信息披露；绿色消费</t>
        </is>
      </c>
      <c r="L10" s="341" t="inlineStr">
        <is>
          <t>间接</t>
        </is>
      </c>
      <c r="M10" s="341" t="inlineStr">
        <is>
          <t>国家</t>
        </is>
      </c>
      <c r="N10" s="341" t="inlineStr">
        <is>
          <t>N/A</t>
        </is>
      </c>
      <c r="O10" s="341" t="inlineStr">
        <is>
          <t>13/08/2004</t>
        </is>
      </c>
      <c r="P10" s="341" t="inlineStr">
        <is>
          <t>01/03/2005</t>
        </is>
      </c>
      <c r="Q10" s="341" t="inlineStr">
        <is>
          <t>N/A</t>
        </is>
      </c>
      <c r="R10" s="341" t="inlineStr">
        <is>
          <t>29/02/2016</t>
        </is>
      </c>
      <c r="S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T10" s="341">
        <f>IF(P10="","生效",IF(P10="N/A","生效",IF(TODAY()&lt;DATE(VALUE(RIGHT(P10,4)),VALUE(MID(P10,4,2)),VALUE(LEFT(P10,2))),"计划实施",IF(Q10="","生效",IF(Q10="N/A","生效",IF(TODAY()&lt;DATE(VALUE(RIGHT(Q10,4)),VALUE(MID(Q10,4,2)),VALUE(LEFT(Q10,2))),"生效","已终止"))))))</f>
        <v/>
      </c>
      <c r="U10" s="341" t="inlineStr">
        <is>
          <t>国家发展和改革委员会；国家市场监督管理总局；中国标准化研究院（授权备案机构）</t>
        </is>
      </c>
      <c r="V10" s="341" t="inlineStr">
        <is>
          <t>列入目录的用能产品</t>
        </is>
      </c>
      <c r="W10" s="341" t="inlineStr">
        <is>
          <t>既有</t>
        </is>
      </c>
      <c r="X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Y10" s="341" t="inlineStr">
        <is>
          <t>N/A</t>
        </is>
      </c>
      <c r="Z10" s="341" t="inlineStr">
        <is>
          <t>N/A</t>
        </is>
      </c>
      <c r="AA10" s="341" t="inlineStr">
        <is>
          <t>企业</t>
        </is>
      </c>
      <c r="AB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C10" s="341" t="inlineStr">
        <is>
          <t>生产；进口；销售</t>
        </is>
      </c>
      <c r="AD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E10" s="341" t="inlineStr">
        <is>
          <t>N/A</t>
        </is>
      </c>
      <c r="AF10" s="341" t="inlineStr">
        <is>
          <t>N/A</t>
        </is>
      </c>
      <c r="AG10" s="341" t="inlineStr">
        <is>
          <t>N/A</t>
        </is>
      </c>
      <c r="AH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I10" s="341" t="inlineStr">
        <is>
          <t>N/A</t>
        </is>
      </c>
      <c r="AJ10" s="341" t="inlineStr">
        <is>
          <t>N/A</t>
        </is>
      </c>
      <c r="AK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L10" s="341" t="inlineStr">
        <is>
          <t>生产者/进口商自行或委托第三方检测机构检测确定产品能效等级，向中国标准化研究院备案并提供检测报告。中国标准化研究院负责能效标识备案信息系统的管理和维护。</t>
        </is>
      </c>
      <c r="AM10" s="341" t="inlineStr">
        <is>
          <t>产品实物或最小包装上粘贴/印刷能效标识（物理载体）；网络销售须在产品信息展示主页面醒目位置展示标识图像或包含能效信息码（电子载体）；备案信息在中国能效标识网公开（网络公示）。</t>
        </is>
      </c>
      <c r="AN10" s="341" t="inlineStr">
        <is>
          <t>一次性（产品上市前备案）；产品型号或能效信息变更时须重新备案；标识在产品上持续展示至最终销售。</t>
        </is>
      </c>
      <c r="AO10" s="341" t="inlineStr">
        <is>
          <t>是。中国能效标识网（www.energylabel.com.cn）公开备案产品的能效标识信息，消费者可在线查询和验证。市场监管部门定期公布能效标识监督抽查结果。</t>
        </is>
      </c>
      <c r="AP10" s="341" t="inlineStr">
        <is>
          <t>比较性标签（1-5级能效等级，等级制，含能效信息码/二维码）</t>
        </is>
      </c>
      <c r="AQ10" s="341" t="inlineStr">
        <is>
          <t>政府机构开展的监督检查</t>
        </is>
      </c>
      <c r="AR10" s="341" t="inlineStr">
        <is>
          <t>行政处罚；罚款；责令整改；信用惩戒</t>
        </is>
      </c>
      <c r="AS10" s="341" t="inlineStr">
        <is>
          <t>税收优惠；财政补贴</t>
        </is>
      </c>
      <c r="AT10" s="341" t="inlineStr">
        <is>
          <t>结合全国节能宣传周等开展能效标识宣传和消费者教育，提高公众高效用能意识；对企业和检测机构开展能效标识技术培训。</t>
        </is>
      </c>
      <c r="AU10" s="341" t="inlineStr">
        <is>
          <t>N/A</t>
        </is>
      </c>
      <c r="AV10" s="341" t="inlineStr">
        <is>
          <t>N/A</t>
        </is>
      </c>
      <c r="AW10" s="341" t="inlineStr">
        <is>
          <t>C27; C28; G47</t>
        </is>
      </c>
      <c r="AX10" s="341" t="inlineStr">
        <is>
          <t>CO2</t>
        </is>
      </c>
      <c r="AY10" s="341" t="inlineStr">
        <is>
          <t>正向</t>
        </is>
      </c>
      <c r="AZ10" s="341" t="inlineStr">
        <is>
          <t>节能；绿色消费；技术创新</t>
        </is>
      </c>
      <c r="BA10" s="341" t="inlineStr">
        <is>
          <t>能源效率标识管理办法（国家发展改革委、国家质检总局第35号令，2016年修订）</t>
        </is>
      </c>
      <c r="BB10" s="341" t="inlineStr">
        <is>
          <t>https://www.gov.cn/gongbao/content/2016/content_5074057.htm</t>
        </is>
      </c>
      <c r="BC10" s="341" t="inlineStr">
        <is>
          <t>https://www.energylabel.com.cn</t>
        </is>
      </c>
      <c r="BD10" s="341" t="inlineStr"/>
      <c r="BE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能源效率；信息披露；绿色经济</t>
        </is>
      </c>
      <c r="L11" s="341" t="inlineStr">
        <is>
          <t>间接</t>
        </is>
      </c>
      <c r="M11" s="341" t="inlineStr">
        <is>
          <t>国家</t>
        </is>
      </c>
      <c r="N11" s="341" t="inlineStr">
        <is>
          <t>N/A</t>
        </is>
      </c>
      <c r="O11" s="341" t="inlineStr">
        <is>
          <t>28/04/2008</t>
        </is>
      </c>
      <c r="P11" s="341" t="inlineStr">
        <is>
          <t>28/04/2008</t>
        </is>
      </c>
      <c r="Q11" s="341" t="inlineStr">
        <is>
          <t>N/A</t>
        </is>
      </c>
      <c r="R11" s="341" t="inlineStr">
        <is>
          <t>N/A</t>
        </is>
      </c>
      <c r="S11" s="341" t="inlineStr">
        <is>
          <t>N/A</t>
        </is>
      </c>
      <c r="T11" s="341">
        <f>IF(P11="","生效",IF(P11="N/A","生效",IF(TODAY()&lt;DATE(VALUE(RIGHT(P11,4)),VALUE(MID(P11,4,2)),VALUE(LEFT(P11,2))),"计划实施",IF(Q11="","生效",IF(Q11="N/A","生效",IF(TODAY()&lt;DATE(VALUE(RIGHT(Q11,4)),VALUE(MID(Q11,4,2)),VALUE(LEFT(Q11,2))),"生效","已终止"))))))</f>
        <v/>
      </c>
      <c r="U11" s="341" t="inlineStr">
        <is>
          <t>住房和城乡建设部；省级住房城乡建设主管部门；国家和省级建筑能效测评机构</t>
        </is>
      </c>
      <c r="V11" s="341" t="inlineStr">
        <is>
          <t>民用建筑</t>
        </is>
      </c>
      <c r="W11" s="341" t="inlineStr">
        <is>
          <t>既有</t>
        </is>
      </c>
      <c r="X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Y11" s="341" t="inlineStr">
        <is>
          <t>N/A</t>
        </is>
      </c>
      <c r="Z11" s="341" t="inlineStr">
        <is>
          <t>N/A</t>
        </is>
      </c>
      <c r="AA11" s="341" t="inlineStr">
        <is>
          <t>企业</t>
        </is>
      </c>
      <c r="AB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C11" s="341" t="inlineStr">
        <is>
          <t>设计；建造；运行</t>
        </is>
      </c>
      <c r="AD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E11" s="341" t="inlineStr">
        <is>
          <t>N/A</t>
        </is>
      </c>
      <c r="AF11" s="341" t="inlineStr">
        <is>
          <t>N/A</t>
        </is>
      </c>
      <c r="AG11" s="341" t="inlineStr">
        <is>
          <t>N/A</t>
        </is>
      </c>
      <c r="AH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I11" s="341" t="inlineStr">
        <is>
          <t>N/A</t>
        </is>
      </c>
      <c r="AJ11" s="341" t="inlineStr">
        <is>
          <t>N/A</t>
        </is>
      </c>
      <c r="AK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L11" s="341" t="inlineStr">
        <is>
          <t>建设单位/产权所有人委托经住房城乡建设主管部门认定的建筑能效测评机构进行测评；测评机构依据技术导则进行计算和必要的现场检测，向主管部门提交测评报告；主管部门审核后核发标识。</t>
        </is>
      </c>
      <c r="AM11" s="341" t="inlineStr">
        <is>
          <t>能效标识以星级证书和标识牌形式在建筑入口或显著位置明示（物理载体）；测评结果纳入建筑节能监管信息平台和建筑能耗公示系统（网络公示）。</t>
        </is>
      </c>
      <c r="AN11" s="341" t="inlineStr">
        <is>
          <t>理论值标识：竣工验收后一次性核发（有效期1年）；实测值标识：运行满一年后一次性更新（有效期5年）；到期后须重新测评换发。</t>
        </is>
      </c>
      <c r="AO11" s="341" t="inlineStr">
        <is>
          <t>是。测评结果和标识信息通过建筑节能监管信息平台和建筑能耗公示系统向公众公开。标识牌在建筑入口或显著位置公示，供社会公众查看。</t>
        </is>
      </c>
      <c r="AP11" s="341" t="inlineStr">
        <is>
          <t>比较性标签（1-5星级，★至★★★★★，基于建筑节能率高于强制性标准基准的幅度）</t>
        </is>
      </c>
      <c r="AQ11" s="341" t="inlineStr">
        <is>
          <t>政府机构开展的监督检查</t>
        </is>
      </c>
      <c r="AR11" s="341" t="inlineStr">
        <is>
          <t>行政处罚；责令整改；取消测评机构资格</t>
        </is>
      </c>
      <c r="AS11" s="341" t="inlineStr">
        <is>
          <t>N/A</t>
        </is>
      </c>
      <c r="AT11" s="341" t="inlineStr">
        <is>
          <t>组织开展建筑能效测评技术培训，支持国家和省级建筑能效测评机构的认定和能力建设；结合绿色建筑推广开展建筑能效标识宣传。</t>
        </is>
      </c>
      <c r="AU11" s="341" t="inlineStr">
        <is>
          <t>N/A</t>
        </is>
      </c>
      <c r="AV11" s="341" t="inlineStr">
        <is>
          <t>N/A</t>
        </is>
      </c>
      <c r="AW11" s="341" t="inlineStr">
        <is>
          <t>F41</t>
        </is>
      </c>
      <c r="AX11" s="341" t="inlineStr">
        <is>
          <t>CO2</t>
        </is>
      </c>
      <c r="AY11" s="341" t="inlineStr">
        <is>
          <t>正向</t>
        </is>
      </c>
      <c r="AZ11" s="341" t="inlineStr">
        <is>
          <t>节能；产业发展</t>
        </is>
      </c>
      <c r="BA11" s="341" t="inlineStr">
        <is>
          <t>关于试行民用建筑能效测评标识制度的通知（建科[2008]80号）</t>
        </is>
      </c>
      <c r="BB11" s="341" t="inlineStr">
        <is>
          <t>https://www.mohurd.gov.cn/gongkai/zc/wjk/art/2008/art_17339_167570.html</t>
        </is>
      </c>
      <c r="BC11" s="341" t="inlineStr">
        <is>
          <t>民用建筑节能条例（国务院令第530号）：https://www.gov.cn/zhengce/content/2008-08/08/content_4927.htm</t>
        </is>
      </c>
      <c r="BD11" s="341" t="inlineStr"/>
      <c r="BE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能源效率；绿色消费；信息披露</t>
        </is>
      </c>
      <c r="L12" s="341" t="inlineStr">
        <is>
          <t>间接</t>
        </is>
      </c>
      <c r="M12" s="341" t="inlineStr">
        <is>
          <t>国家</t>
        </is>
      </c>
      <c r="N12" s="341" t="inlineStr">
        <is>
          <t>N/A</t>
        </is>
      </c>
      <c r="O12" s="341" t="inlineStr">
        <is>
          <t>31/12/2008</t>
        </is>
      </c>
      <c r="P12" s="341" t="inlineStr">
        <is>
          <t>01/01/2010</t>
        </is>
      </c>
      <c r="Q12" s="341" t="inlineStr">
        <is>
          <t>N/A</t>
        </is>
      </c>
      <c r="R12" s="341" t="inlineStr">
        <is>
          <t>2017</t>
        </is>
      </c>
      <c r="S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T12" s="341">
        <f>IF(P12="","生效",IF(P12="N/A","生效",IF(TODAY()&lt;DATE(VALUE(RIGHT(P12,4)),VALUE(MID(P12,4,2)),VALUE(LEFT(P12,2))),"计划实施",IF(Q12="","生效",IF(Q12="N/A","生效",IF(TODAY()&lt;DATE(VALUE(RIGHT(Q12,4)),VALUE(MID(Q12,4,2)),VALUE(LEFT(Q12,2))),"生效","已终止"))))))</f>
        <v/>
      </c>
      <c r="U12" s="341" t="inlineStr">
        <is>
          <t>工业和信息化部；国家市场监督管理总局；中国汽车技术研究中心（技术支撑单位）</t>
        </is>
      </c>
      <c r="V12" s="341" t="inlineStr">
        <is>
          <t>轻型汽车（M1、M2、N1类，总质量≤3500kg）</t>
        </is>
      </c>
      <c r="W12" s="341" t="inlineStr">
        <is>
          <t>既有</t>
        </is>
      </c>
      <c r="X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Y12" s="341" t="inlineStr">
        <is>
          <t>N/A</t>
        </is>
      </c>
      <c r="Z12" s="341" t="inlineStr">
        <is>
          <t>N/A</t>
        </is>
      </c>
      <c r="AA12" s="341" t="inlineStr">
        <is>
          <t>企业</t>
        </is>
      </c>
      <c r="AB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C12" s="341" t="inlineStr">
        <is>
          <t>生产；进口；销售</t>
        </is>
      </c>
      <c r="AD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E12" s="341" t="inlineStr">
        <is>
          <t>N/A</t>
        </is>
      </c>
      <c r="AF12" s="341" t="inlineStr">
        <is>
          <t>N/A</t>
        </is>
      </c>
      <c r="AG12" s="341" t="inlineStr">
        <is>
          <t>N/A</t>
        </is>
      </c>
      <c r="AH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I12" s="341" t="inlineStr">
        <is>
          <t>N/A</t>
        </is>
      </c>
      <c r="AJ12" s="341" t="inlineStr">
        <is>
          <t>N/A</t>
        </is>
      </c>
      <c r="AK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L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M12" s="341" t="inlineStr">
        <is>
          <t>标识以物理标签形式粘贴于每辆出厂新车的侧车窗或风挡玻璃上（面向车外，便于消费者在车外阅读）；工信部在官方网站（www.miit.gov.cn）定期发布"汽车燃料消耗量通告"，公布各车型油耗数据（网络公示）。</t>
        </is>
      </c>
      <c r="AN12" s="341" t="inlineStr">
        <is>
          <t>一次性（车型上市前备案）。车型能源消耗量数据变更时须重新备案。每辆新车出厂时均须粘贴标识，直至销售给最终消费者。工信部定期（通常每年数次）发布车型油耗通告。</t>
        </is>
      </c>
      <c r="AO12" s="341" t="inlineStr">
        <is>
          <t>是。工信部定期在官方网站公布所有备案车型的燃料消耗量/能源消耗量数据，供社会公众查询和比较；消费者购车时可直接在车辆侧车窗或风挡玻璃上查看粘贴的标识。</t>
        </is>
      </c>
      <c r="AP12" s="341" t="inlineStr">
        <is>
          <t>比较性标签（含综合、市区、市郊燃料消耗量数值及适用的强制性限值标准，便于消费者横向比较）</t>
        </is>
      </c>
      <c r="AQ12" s="341" t="inlineStr">
        <is>
          <t>政府机构开展的监督检查</t>
        </is>
      </c>
      <c r="AR12" s="341" t="inlineStr">
        <is>
          <t>行政处罚；责令整改</t>
        </is>
      </c>
      <c r="AS12" s="341" t="inlineStr">
        <is>
          <t>N/A</t>
        </is>
      </c>
      <c r="AT12" s="341" t="inlineStr">
        <is>
          <t>通过工信部"汽车燃料消耗量通告"定期公开发布车型油耗数据，引导消费者选购节能汽车，促进汽车生产企业开发高效节能车型。结合节能宣传周等活动开展汽车节能消费宣传。</t>
        </is>
      </c>
      <c r="AU12" s="341" t="inlineStr">
        <is>
          <t>N/A</t>
        </is>
      </c>
      <c r="AV12" s="341" t="inlineStr">
        <is>
          <t>N/A</t>
        </is>
      </c>
      <c r="AW12" s="341" t="inlineStr">
        <is>
          <t>C29; G45</t>
        </is>
      </c>
      <c r="AX12" s="341" t="inlineStr">
        <is>
          <t>CO2</t>
        </is>
      </c>
      <c r="AY12" s="341" t="inlineStr">
        <is>
          <t>正向</t>
        </is>
      </c>
      <c r="AZ12" s="341" t="inlineStr">
        <is>
          <t>绿色消费；节能</t>
        </is>
      </c>
      <c r="BA12" s="341" t="inlineStr">
        <is>
          <t>轻型汽车燃料消耗量标示管理规定（工装[2009]第50号）；GB 22757.1-2017《轻型汽车能源消耗量标识 第1部分：汽油和柴油汽车》</t>
        </is>
      </c>
      <c r="BB12" s="341" t="inlineStr">
        <is>
          <t>https://www.miit.gov.cn/jgsj/zbys/qcgy/art/2020/art_3fa9c86d1d6d4339a3dca85de7cdacfa.html</t>
        </is>
      </c>
      <c r="BC12" s="341" t="inlineStr">
        <is>
          <t>https://yhgscx.miit.gov.cn/fuel-consumption-web/</t>
        </is>
      </c>
      <c r="BD12" s="341" t="inlineStr"/>
      <c r="BE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国家</t>
        </is>
      </c>
      <c r="N13" s="341" t="inlineStr">
        <is>
          <t>N/A</t>
        </is>
      </c>
      <c r="O13" s="341" t="inlineStr">
        <is>
          <t>14/02/2019</t>
        </is>
      </c>
      <c r="P13" s="341" t="inlineStr">
        <is>
          <t>14/02/2019</t>
        </is>
      </c>
      <c r="Q13" s="341" t="inlineStr">
        <is>
          <t>N/A</t>
        </is>
      </c>
      <c r="R13" s="341" t="inlineStr">
        <is>
          <t>29/02/2024</t>
        </is>
      </c>
      <c r="S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T13" s="341">
        <f>IF(P13="","生效",IF(P13="N/A","生效",IF(TODAY()&lt;DATE(VALUE(RIGHT(P13,4)),VALUE(MID(P13,4,2)),VALUE(LEFT(P13,2))),"计划实施",IF(Q13="","生效",IF(Q13="N/A","生效",IF(TODAY()&lt;DATE(VALUE(RIGHT(Q13,4)),VALUE(MID(Q13,4,2)),VALUE(LEFT(Q13,2))),"生效","已终止"))))))</f>
        <v/>
      </c>
      <c r="U13" s="341" t="inlineStr">
        <is>
          <t>国家发展改革委、工业和信息化部、自然资源部、生态环境部、住房城乡建设部、交通运输部、中国人民银行、金融监管总局、中国证监会、国家能源局（2024年版）；国家发展改革委等7部门（2019年版）</t>
        </is>
      </c>
      <c r="V13" s="341" t="inlineStr">
        <is>
          <t>绿色低碳产业活动（产业分类标准）</t>
        </is>
      </c>
      <c r="W13" s="341" t="inlineStr">
        <is>
          <t>N/A</t>
        </is>
      </c>
      <c r="X13" s="341" t="inlineStr">
        <is>
          <t>本工具为产业指导目录，界定对象为节能降碳、环境保护、资源循环利用、绿色能源、生态保护修复、绿色基础设施、绿色服务等领域的绿色低碳产业活动分类，不直接监管实体排放资产。</t>
        </is>
      </c>
      <c r="Y13" s="341" t="inlineStr">
        <is>
          <t>N/A</t>
        </is>
      </c>
      <c r="Z13" s="341" t="inlineStr">
        <is>
          <t>N/A</t>
        </is>
      </c>
      <c r="AA13" s="341" t="inlineStr">
        <is>
          <t>企业</t>
        </is>
      </c>
      <c r="AB13" s="341" t="inlineStr">
        <is>
          <t>各领域从事绿色低碳产业活动的企业及相关市场主体，以及依据目录制定配套政策的各部门和地方。市场主体可自主参考目录识别绿色低碳产业活动，目录本身为指导性质，不设强制性义务。</t>
        </is>
      </c>
      <c r="AC13" s="341" t="inlineStr">
        <is>
          <t>生产</t>
        </is>
      </c>
      <c r="AD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E13" s="341" t="inlineStr">
        <is>
          <t>N/A</t>
        </is>
      </c>
      <c r="AF13" s="341" t="inlineStr">
        <is>
          <t>N/A</t>
        </is>
      </c>
      <c r="AG13" s="341" t="inlineStr">
        <is>
          <t>N/A</t>
        </is>
      </c>
      <c r="AH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I13" s="341" t="inlineStr">
        <is>
          <t>N/A</t>
        </is>
      </c>
      <c r="AJ13" s="341" t="inlineStr">
        <is>
          <t>N/A</t>
        </is>
      </c>
      <c r="AK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L13" s="341" t="inlineStr">
        <is>
          <t>国家发展改革委（环境和资源综合利用司）会同相关部门负责组织目录的研究编制、修订和发布。</t>
        </is>
      </c>
      <c r="AM13" s="341" t="inlineStr">
        <is>
          <t>国家发展改革委等部门通过通知和门户网站公开发布目录（政府公开发布）。</t>
        </is>
      </c>
      <c r="AN13" s="341" t="inlineStr">
        <is>
          <t>不定期修订更新（2019年版、2024年版）。</t>
        </is>
      </c>
      <c r="AO13" s="341" t="inlineStr">
        <is>
          <t>是（公开）。目录通过主管部门通知和门户网站向社会全文公开。</t>
        </is>
      </c>
      <c r="AP13" s="341" t="inlineStr">
        <is>
          <t>N/A</t>
        </is>
      </c>
      <c r="AQ13" s="341" t="inlineStr">
        <is>
          <t>无合规监测</t>
        </is>
      </c>
      <c r="AR13" s="341" t="inlineStr">
        <is>
          <t>无合规执行</t>
        </is>
      </c>
      <c r="AS13" s="341" t="inlineStr">
        <is>
          <t>其他激励或支持</t>
        </is>
      </c>
      <c r="AT13" s="341" t="inlineStr">
        <is>
          <t>国家发展改革委等部门发布目录及解释说明；组织绿色产业专家委员会提供专业意见；指导各地方、各部门和市场主体依据目录识别和支持绿色低碳产业活动。</t>
        </is>
      </c>
      <c r="AU13" s="341" t="inlineStr">
        <is>
          <t>N/A（本工具为产业指导目录，通过统一绿色产业标准并引导资源投向绿色低碳产业间接支持减排，无直接可量化的温室气体排放覆盖量）</t>
        </is>
      </c>
      <c r="AV13" s="341" t="inlineStr">
        <is>
          <t>N/A（本工具为间接产业指导工具，无直接的温室气体排放覆盖占比）</t>
        </is>
      </c>
      <c r="AW13" s="341" t="inlineStr">
        <is>
          <t>M72</t>
        </is>
      </c>
      <c r="AX13" s="341" t="inlineStr">
        <is>
          <t>CO2; CH4; N2O</t>
        </is>
      </c>
      <c r="AY13" s="341" t="inlineStr">
        <is>
          <t>正向</t>
        </is>
      </c>
      <c r="AZ13" s="341" t="inlineStr">
        <is>
          <t>产业发展；技术创新；污染防治；资源节约；循环经济</t>
        </is>
      </c>
      <c r="BA13" s="341" t="inlineStr">
        <is>
          <t>关于印发《绿色低碳转型产业指导目录（2024年版）》的通知（发改环资〔2024〕165号）</t>
        </is>
      </c>
      <c r="BB13" s="341" t="inlineStr">
        <is>
          <t>https://zfxxgk.ndrc.gov.cn/web/iteminfo.jsp?id=20340</t>
        </is>
      </c>
      <c r="BC13" s="341" t="inlineStr">
        <is>
          <t>N/A</t>
        </is>
      </c>
      <c r="BD13" s="341" t="inlineStr"/>
      <c r="BE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国家</t>
        </is>
      </c>
      <c r="N14" s="341" t="inlineStr">
        <is>
          <t>N/A</t>
        </is>
      </c>
      <c r="O14" s="341" t="inlineStr">
        <is>
          <t>18/05/2023</t>
        </is>
      </c>
      <c r="P14" s="341" t="inlineStr">
        <is>
          <t>18/05/2023</t>
        </is>
      </c>
      <c r="Q14" s="341" t="inlineStr">
        <is>
          <t>N/A</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住房和城乡建设部；教育部；国家机关事务管理局；中华全国总工会；共青团中央</t>
        </is>
      </c>
      <c r="V14" s="341" t="inlineStr">
        <is>
          <t>公众意识/知识（宣传教育）</t>
        </is>
      </c>
      <c r="W14" s="341" t="inlineStr">
        <is>
          <t>N/A</t>
        </is>
      </c>
      <c r="X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Y14" s="341" t="inlineStr">
        <is>
          <t>N/A</t>
        </is>
      </c>
      <c r="Z14" s="341" t="inlineStr">
        <is>
          <t>N/A</t>
        </is>
      </c>
      <c r="AA14" s="341" t="inlineStr">
        <is>
          <t>家庭；企业；政府</t>
        </is>
      </c>
      <c r="AB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C14" s="341" t="inlineStr">
        <is>
          <t>收集或分类（消费后）</t>
        </is>
      </c>
      <c r="AD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E14" s="341" t="inlineStr">
        <is>
          <t>N/A</t>
        </is>
      </c>
      <c r="AF14" s="341" t="inlineStr">
        <is>
          <t>N/A</t>
        </is>
      </c>
      <c r="AG14" s="341" t="inlineStr">
        <is>
          <t>N/A</t>
        </is>
      </c>
      <c r="AH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I14" s="341" t="inlineStr">
        <is>
          <t>N/A</t>
        </is>
      </c>
      <c r="AJ14" s="341" t="inlineStr">
        <is>
          <t>N/A</t>
        </is>
      </c>
      <c r="AK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L14" s="341" t="inlineStr">
        <is>
          <t>住房和城乡建设部（城市建设司）会同教育部、国管局、全国总工会、共青团中央联合制发年度活动通知。</t>
        </is>
      </c>
      <c r="AM14" s="341" t="inlineStr">
        <is>
          <t>住房和城乡建设部等五部门通过通知和门户网站公开发布活动方案（政府公开发布）；宣传内容通过传统媒体、新媒体、社区宣传栏、志愿服务等渠道向公众传播。</t>
        </is>
      </c>
      <c r="AN14" s="341" t="inlineStr">
        <is>
          <t>每年一次（每年5月第四周），每年印发活动通知。</t>
        </is>
      </c>
      <c r="AO14" s="341" t="inlineStr">
        <is>
          <t>是（公开）。宣传周活动通知和活动内容通过政府网站和各类媒体向社会公开。</t>
        </is>
      </c>
      <c r="AP14" s="341" t="inlineStr">
        <is>
          <t>N/A</t>
        </is>
      </c>
      <c r="AQ14" s="341" t="inlineStr">
        <is>
          <t>无合规监测</t>
        </is>
      </c>
      <c r="AR14" s="341" t="inlineStr">
        <is>
          <t>无合规执行</t>
        </is>
      </c>
      <c r="AS14" s="341" t="inlineStr">
        <is>
          <t>其他激励或支持</t>
        </is>
      </c>
      <c r="AT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U14" s="341" t="inlineStr">
        <is>
          <t>N/A（本工具为公众宣传教育活动，通过提高垃圾分类意识和参与率间接减少垃圾填埋产生的甲烷排放，无直接可量化的排放覆盖量）</t>
        </is>
      </c>
      <c r="AV14" s="341" t="inlineStr">
        <is>
          <t>N/A（本工具为间接宣传教育工具，无直接的温室气体排放覆盖占比）</t>
        </is>
      </c>
      <c r="AW14" s="341" t="inlineStr">
        <is>
          <t>E38</t>
        </is>
      </c>
      <c r="AX14" s="341" t="inlineStr">
        <is>
          <t>CO2; CH4</t>
        </is>
      </c>
      <c r="AY14" s="341" t="inlineStr">
        <is>
          <t>正向</t>
        </is>
      </c>
      <c r="AZ14" s="341" t="inlineStr">
        <is>
          <t>资源节约；循环经济；污染防治；产业发展</t>
        </is>
      </c>
      <c r="BA14" s="341" t="inlineStr">
        <is>
          <t>住房和城乡建设部办公厅等五部门关于开展“全国城市生活垃圾分类宣传周”活动的通知</t>
        </is>
      </c>
      <c r="BB14" s="341" t="inlineStr">
        <is>
          <t>https://gbc.ggj.gov.cn/xwzx/ggjxw/202305/t20230522_42974.htm</t>
        </is>
      </c>
      <c r="BC14" s="341" t="inlineStr">
        <is>
          <t>N/A</t>
        </is>
      </c>
      <c r="BD14" s="341" t="inlineStr"/>
      <c r="BE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公众意识；能源效率</t>
        </is>
      </c>
      <c r="L15" s="341" t="inlineStr">
        <is>
          <t>直接</t>
        </is>
      </c>
      <c r="M15" s="341" t="inlineStr">
        <is>
          <t>国家</t>
        </is>
      </c>
      <c r="N15" s="341" t="inlineStr">
        <is>
          <t>N/A</t>
        </is>
      </c>
      <c r="O15" s="341" t="inlineStr">
        <is>
          <t>07/10/1991</t>
        </is>
      </c>
      <c r="P15" s="341" t="inlineStr">
        <is>
          <t>07/10/1991</t>
        </is>
      </c>
      <c r="Q15" s="341" t="inlineStr">
        <is>
          <t>N/A</t>
        </is>
      </c>
      <c r="R15" s="341" t="inlineStr">
        <is>
          <t>17/06/2013</t>
        </is>
      </c>
      <c r="S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T15" s="341">
        <f>IF(P15="","生效",IF(P15="N/A","生效",IF(TODAY()&lt;DATE(VALUE(RIGHT(P15,4)),VALUE(MID(P15,4,2)),VALUE(LEFT(P15,2))),"计划实施",IF(Q15="","生效",IF(Q15="N/A","生效",IF(TODAY()&lt;DATE(VALUE(RIGHT(Q15,4)),VALUE(MID(Q15,4,2)),VALUE(LEFT(Q15,2))),"生效","已终止"))))))</f>
        <v/>
      </c>
      <c r="U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V15" s="341" t="inlineStr">
        <is>
          <t>公众意识/知识（宣传教育）</t>
        </is>
      </c>
      <c r="W15" s="341" t="inlineStr">
        <is>
          <t>N/A</t>
        </is>
      </c>
      <c r="X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Y15" s="341" t="inlineStr">
        <is>
          <t>N/A</t>
        </is>
      </c>
      <c r="Z15" s="341" t="inlineStr">
        <is>
          <t>N/A</t>
        </is>
      </c>
      <c r="AA15" s="341" t="inlineStr">
        <is>
          <t>家庭；企业；政府</t>
        </is>
      </c>
      <c r="AB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C15" s="341" t="inlineStr">
        <is>
          <t>消费</t>
        </is>
      </c>
      <c r="AD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E15" s="341" t="inlineStr">
        <is>
          <t>N/A</t>
        </is>
      </c>
      <c r="AF15" s="341" t="inlineStr">
        <is>
          <t>N/A</t>
        </is>
      </c>
      <c r="AG15" s="341" t="inlineStr">
        <is>
          <t>N/A</t>
        </is>
      </c>
      <c r="AH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I15" s="341" t="inlineStr">
        <is>
          <t>N/A</t>
        </is>
      </c>
      <c r="AJ15" s="341" t="inlineStr">
        <is>
          <t>N/A</t>
        </is>
      </c>
      <c r="AK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L15" s="341" t="inlineStr">
        <is>
          <t>国家发展改革委（资源节约和环境保护司）和生态环境部（应对气候变化司）联合牵头制定年度活动方案。</t>
        </is>
      </c>
      <c r="AM15" s="341" t="inlineStr">
        <is>
          <t>国家发展改革委等部门通过政府网站和通知公开发布年度活动方案（政府公开发布）；宣传教育内容通过传统媒体、新媒体、户外广告、社区宣传、现场活动等渠道向社会传播。</t>
        </is>
      </c>
      <c r="AN15" s="341" t="inlineStr">
        <is>
          <t>每年一次（每年6月），每年印发活动通知。</t>
        </is>
      </c>
      <c r="AO15" s="341" t="inlineStr">
        <is>
          <t>是（公开）。节能宣传周活动通知和内容通过政府网站和各类媒体渠道向社会公开。</t>
        </is>
      </c>
      <c r="AP15" s="341" t="inlineStr">
        <is>
          <t>N/A</t>
        </is>
      </c>
      <c r="AQ15" s="341" t="inlineStr">
        <is>
          <t>无合规监测</t>
        </is>
      </c>
      <c r="AR15" s="341" t="inlineStr">
        <is>
          <t>无合规执行</t>
        </is>
      </c>
      <c r="AS15" s="341" t="inlineStr">
        <is>
          <t>其他激励或支持</t>
        </is>
      </c>
      <c r="AT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U15" s="341" t="inlineStr">
        <is>
          <t>N/A（本工具为公众宣传教育活动，通过提高全社会节能意识和能力间接减少化石能源消费碳排放，无直接可量化的排放覆盖量）</t>
        </is>
      </c>
      <c r="AV15" s="341" t="inlineStr">
        <is>
          <t>N/A（本工具为间接宣传教育工具，无直接的温室气体排放覆盖占比）</t>
        </is>
      </c>
      <c r="AW15" s="341" t="inlineStr">
        <is>
          <t>M72</t>
        </is>
      </c>
      <c r="AX15" s="341" t="inlineStr">
        <is>
          <t>CO2; CH4; N2O</t>
        </is>
      </c>
      <c r="AY15" s="341" t="inlineStr">
        <is>
          <t>正向</t>
        </is>
      </c>
      <c r="AZ15" s="341" t="inlineStr">
        <is>
          <t>节能；能源安全；产业发展；技术创新；污染防治</t>
        </is>
      </c>
      <c r="BA15" s="341" t="inlineStr">
        <is>
          <t>国家发展改革委 生态环境部关于开展2026年全国节能宣传周和全国低碳日活动的通知（发改环资〔2026〕664号）</t>
        </is>
      </c>
      <c r="BB15" s="341" t="inlineStr">
        <is>
          <t>https://www.ndrc.gov.cn/xwdt/tzgg/202605/t20260520_1405335.html</t>
        </is>
      </c>
      <c r="BC15" s="341" t="inlineStr">
        <is>
          <t>https://zfxxgk.ndrc.gov.cn/web/iteminfo.jsp?id=20632</t>
        </is>
      </c>
      <c r="BD15" s="341" t="inlineStr"/>
      <c r="BE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国家</t>
        </is>
      </c>
      <c r="N16" s="341" t="inlineStr">
        <is>
          <t>N/A</t>
        </is>
      </c>
      <c r="O16" s="341" t="inlineStr">
        <is>
          <t>19/09/2012</t>
        </is>
      </c>
      <c r="P16" s="341" t="inlineStr">
        <is>
          <t>17/06/2013</t>
        </is>
      </c>
      <c r="Q16" s="341" t="inlineStr">
        <is>
          <t>N/A</t>
        </is>
      </c>
      <c r="R16" s="341" t="inlineStr">
        <is>
          <t>N/A</t>
        </is>
      </c>
      <c r="S16" s="341" t="inlineStr">
        <is>
          <t>N/A</t>
        </is>
      </c>
      <c r="T16" s="341">
        <f>IF(P16="","生效",IF(P16="N/A","生效",IF(TODAY()&lt;DATE(VALUE(RIGHT(P16,4)),VALUE(MID(P16,4,2)),VALUE(LEFT(P16,2))),"计划实施",IF(Q16="","生效",IF(Q16="N/A","生效",IF(TODAY()&lt;DATE(VALUE(RIGHT(Q16,4)),VALUE(MID(Q16,4,2)),VALUE(LEFT(Q16,2))),"生效","已终止"))))))</f>
        <v/>
      </c>
      <c r="U16" s="341" t="inlineStr">
        <is>
          <t>国家发展和改革委员会；生态环境部；会同教育部、科技部、工业和信息化部、住房和城乡建设部、交通运输部等多部门</t>
        </is>
      </c>
      <c r="V16" s="341" t="inlineStr">
        <is>
          <t>公众意识/知识（宣传教育）</t>
        </is>
      </c>
      <c r="W16" s="341" t="inlineStr">
        <is>
          <t>N/A</t>
        </is>
      </c>
      <c r="X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Y16" s="341" t="inlineStr">
        <is>
          <t>N/A</t>
        </is>
      </c>
      <c r="Z16" s="341" t="inlineStr">
        <is>
          <t>N/A</t>
        </is>
      </c>
      <c r="AA16" s="341" t="inlineStr">
        <is>
          <t>家庭；企业；政府</t>
        </is>
      </c>
      <c r="AB16" s="341" t="inlineStr">
        <is>
          <t>全社会各类主体，包括工业企业、建筑运营单位、交通运输企业、公共机构以及居民家庭和个人。全国低碳日为面向全社会的宣传教育活动，各主体可自主参与，不设强制性合规义务和处罚。</t>
        </is>
      </c>
      <c r="AC16" s="341" t="inlineStr">
        <is>
          <t>消费</t>
        </is>
      </c>
      <c r="AD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E16" s="341" t="inlineStr">
        <is>
          <t>N/A</t>
        </is>
      </c>
      <c r="AF16" s="341" t="inlineStr">
        <is>
          <t>N/A</t>
        </is>
      </c>
      <c r="AG16" s="341" t="inlineStr">
        <is>
          <t>N/A</t>
        </is>
      </c>
      <c r="AH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I16" s="341" t="inlineStr">
        <is>
          <t>N/A</t>
        </is>
      </c>
      <c r="AJ16" s="341" t="inlineStr">
        <is>
          <t>N/A</t>
        </is>
      </c>
      <c r="AK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L16" s="341" t="inlineStr">
        <is>
          <t>国家发展改革委（资源节约和环境保护司）和生态环境部（应对气候变化司）联合牵头制定年度活动方案。</t>
        </is>
      </c>
      <c r="AM16" s="341" t="inlineStr">
        <is>
          <t>国家发展改革委等部门通过政府网站和通知公开发布年度活动方案（政府公开发布）；宣传教育内容通过传统媒体、新媒体、社区宣传、现场活动等渠道向社会传播。</t>
        </is>
      </c>
      <c r="AN16" s="341" t="inlineStr">
        <is>
          <t>每年一次（每年节能宣传周第三天，约6月中旬），每年印发活动通知。</t>
        </is>
      </c>
      <c r="AO16" s="341" t="inlineStr">
        <is>
          <t>是（公开）。全国低碳日活动通知和内容通过政府网站和各类媒体渠道向社会公开。</t>
        </is>
      </c>
      <c r="AP16" s="341" t="inlineStr">
        <is>
          <t>N/A</t>
        </is>
      </c>
      <c r="AQ16" s="341" t="inlineStr">
        <is>
          <t>无合规监测</t>
        </is>
      </c>
      <c r="AR16" s="341" t="inlineStr">
        <is>
          <t>无合规执行</t>
        </is>
      </c>
      <c r="AS16" s="341" t="inlineStr">
        <is>
          <t>其他激励或支持</t>
        </is>
      </c>
      <c r="AT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U16" s="341" t="inlineStr">
        <is>
          <t>N/A（本工具为公众宣传教育活动，通过提高全社会应对气候变化意识和低碳行动参与度间接减少温室气体排放，无直接可量化的排放覆盖量）</t>
        </is>
      </c>
      <c r="AV16" s="341" t="inlineStr">
        <is>
          <t>N/A（本工具为间接宣传教育工具，无直接的温室气体排放覆盖占比）</t>
        </is>
      </c>
      <c r="AW16" s="341" t="inlineStr">
        <is>
          <t>M72</t>
        </is>
      </c>
      <c r="AX16" s="341" t="inlineStr">
        <is>
          <t>CO2; CH4; N2O</t>
        </is>
      </c>
      <c r="AY16" s="341" t="inlineStr">
        <is>
          <t>正向</t>
        </is>
      </c>
      <c r="AZ16" s="341" t="inlineStr">
        <is>
          <t>节能；产业发展；技术创新；污染防治；公众健康</t>
        </is>
      </c>
      <c r="BA16" s="341" t="inlineStr">
        <is>
          <t>国家发展改革委 生态环境部关于开展2026年全国节能宣传周和全国低碳日活动的通知（发改环资〔2026〕664号）</t>
        </is>
      </c>
      <c r="BB16" s="341" t="inlineStr">
        <is>
          <t>https://www.ndrc.gov.cn/xwdt/tzgg/202605/t20260520_1405335.html</t>
        </is>
      </c>
      <c r="BC16" s="341" t="inlineStr">
        <is>
          <t>https://www.gov.cn/zwgk/2013-05/07/content_2397275.htm</t>
        </is>
      </c>
      <c r="BD16" s="341" t="inlineStr"/>
      <c r="BE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国家</t>
        </is>
      </c>
      <c r="N17" s="341" t="inlineStr">
        <is>
          <t>N/A</t>
        </is>
      </c>
      <c r="O17" s="341" t="inlineStr">
        <is>
          <t>31/08/2013</t>
        </is>
      </c>
      <c r="P17" s="341" t="inlineStr">
        <is>
          <t>16/09/2013</t>
        </is>
      </c>
      <c r="Q17" s="341" t="inlineStr">
        <is>
          <t>N/A</t>
        </is>
      </c>
      <c r="R17" s="341" t="inlineStr">
        <is>
          <t>01/09/2018</t>
        </is>
      </c>
      <c r="S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T17" s="341">
        <f>IF(P17="","生效",IF(P17="N/A","生效",IF(TODAY()&lt;DATE(VALUE(RIGHT(P17,4)),VALUE(MID(P17,4,2)),VALUE(LEFT(P17,2))),"计划实施",IF(Q17="","生效",IF(Q17="N/A","生效",IF(TODAY()&lt;DATE(VALUE(RIGHT(Q17,4)),VALUE(MID(Q17,4,2)),VALUE(LEFT(Q17,2))),"生效","已终止"))))))</f>
        <v/>
      </c>
      <c r="U17" s="341" t="inlineStr">
        <is>
          <t>交通运输部；公安部；民政部；国家机关事务管理局；中华全国总工会；共青团中央；中国残疾人联合会</t>
        </is>
      </c>
      <c r="V17" s="341" t="inlineStr">
        <is>
          <t>公众意识/知识（宣传教育）</t>
        </is>
      </c>
      <c r="W17" s="341" t="inlineStr">
        <is>
          <t>N/A</t>
        </is>
      </c>
      <c r="X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Y17" s="341" t="inlineStr">
        <is>
          <t>N/A</t>
        </is>
      </c>
      <c r="Z17" s="341" t="inlineStr">
        <is>
          <t>N/A</t>
        </is>
      </c>
      <c r="AA17" s="341" t="inlineStr">
        <is>
          <t>家庭；企业；政府</t>
        </is>
      </c>
      <c r="AB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C17" s="341" t="inlineStr">
        <is>
          <t>消费</t>
        </is>
      </c>
      <c r="AD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E17" s="341" t="inlineStr">
        <is>
          <t>N/A</t>
        </is>
      </c>
      <c r="AF17" s="341" t="inlineStr">
        <is>
          <t>N/A</t>
        </is>
      </c>
      <c r="AG17" s="341" t="inlineStr">
        <is>
          <t>N/A</t>
        </is>
      </c>
      <c r="AH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I17" s="341" t="inlineStr">
        <is>
          <t>N/A</t>
        </is>
      </c>
      <c r="AJ17" s="341" t="inlineStr">
        <is>
          <t>N/A</t>
        </is>
      </c>
      <c r="AK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L17" s="341" t="inlineStr">
        <is>
          <t>交通运输部（运输服务司）牵头会同公安部、民政部、国管局、全国总工会、共青团中央、中国残联联合制发年度活动通知。</t>
        </is>
      </c>
      <c r="AM17" s="341" t="inlineStr">
        <is>
          <t>交通运输部等部门通过通知和门户网站公开发布年度活动方案（政府公开发布）；宣传教育内容通过传统媒体、新媒体、公共交通车载媒体和站台广告、社区宣传等渠道传播。</t>
        </is>
      </c>
      <c r="AN17" s="341" t="inlineStr">
        <is>
          <t>每年一次（绿色出行宣传月为每年9月，公交出行宣传周为每年9月16日至22日）。</t>
        </is>
      </c>
      <c r="AO17" s="341" t="inlineStr">
        <is>
          <t>是（公开）。绿色出行宣传月和公交出行宣传周活动通知和内容通过政府网站和各类媒体渠道向社会公开。</t>
        </is>
      </c>
      <c r="AP17" s="341" t="inlineStr">
        <is>
          <t>N/A</t>
        </is>
      </c>
      <c r="AQ17" s="341" t="inlineStr">
        <is>
          <t>无合规监测</t>
        </is>
      </c>
      <c r="AR17" s="341" t="inlineStr">
        <is>
          <t>无合规执行</t>
        </is>
      </c>
      <c r="AS17" s="341" t="inlineStr">
        <is>
          <t>其他激励或支持</t>
        </is>
      </c>
      <c r="AT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U17" s="341" t="inlineStr">
        <is>
          <t>N/A（本工具为公众宣传教育活动，通过引导公众选择公共交通和绿色出行方式间接减少交通碳排放，无直接可量化的排放覆盖量）</t>
        </is>
      </c>
      <c r="AV17" s="341" t="inlineStr">
        <is>
          <t>N/A（本工具为间接宣传教育工具，无直接的温室气体排放覆盖占比）</t>
        </is>
      </c>
      <c r="AW17" s="341" t="inlineStr">
        <is>
          <t>H49</t>
        </is>
      </c>
      <c r="AX17" s="341" t="inlineStr">
        <is>
          <t>CO2; CH4; N2O</t>
        </is>
      </c>
      <c r="AY17" s="341" t="inlineStr">
        <is>
          <t>正向</t>
        </is>
      </c>
      <c r="AZ17" s="341" t="inlineStr">
        <is>
          <t>节能；污染防治；公众健康；产业发展</t>
        </is>
      </c>
      <c r="BA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B17" s="341" t="inlineStr">
        <is>
          <t>https://xxgk.mot.gov.cn/2020/jigou/ysfws/202508/t20250828_4175597.html</t>
        </is>
      </c>
      <c r="BC17" s="341" t="inlineStr">
        <is>
          <t>https://xxgk.mot.gov.cn/jigou/ysfws/202006/t20200623_3315967.html</t>
        </is>
      </c>
      <c r="BD17" s="341" t="inlineStr"/>
      <c r="BE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技术创新；能源效率；减缓气候变化</t>
        </is>
      </c>
      <c r="L18" s="341" t="inlineStr">
        <is>
          <t>直接</t>
        </is>
      </c>
      <c r="M18" s="341" t="inlineStr">
        <is>
          <t>国家</t>
        </is>
      </c>
      <c r="N18" s="341" t="inlineStr">
        <is>
          <t>N/A</t>
        </is>
      </c>
      <c r="O18" s="341" t="inlineStr">
        <is>
          <t>07/03/2025</t>
        </is>
      </c>
      <c r="P18" s="341" t="inlineStr">
        <is>
          <t>07/03/2025</t>
        </is>
      </c>
      <c r="Q18" s="341" t="inlineStr">
        <is>
          <t>N/A</t>
        </is>
      </c>
      <c r="R18" s="341" t="inlineStr">
        <is>
          <t>N/A</t>
        </is>
      </c>
      <c r="S18" s="341" t="inlineStr">
        <is>
          <t>N/A</t>
        </is>
      </c>
      <c r="T18" s="341">
        <f>IF(P18="","生效",IF(P18="N/A","生效",IF(TODAY()&lt;DATE(VALUE(RIGHT(P18,4)),VALUE(MID(P18,4,2)),VALUE(LEFT(P18,2))),"计划实施",IF(Q18="","生效",IF(Q18="N/A","生效",IF(TODAY()&lt;DATE(VALUE(RIGHT(Q18,4)),VALUE(MID(Q18,4,2)),VALUE(LEFT(Q18,2))),"生效","已终止"))))))</f>
        <v/>
      </c>
      <c r="U18" s="341" t="inlineStr">
        <is>
          <t>工业和信息化部（节能与综合利用司）</t>
        </is>
      </c>
      <c r="V18" s="341" t="inlineStr">
        <is>
          <t>数字化能碳管理中心（企业级和园区级）</t>
        </is>
      </c>
      <c r="W18" s="341" t="inlineStr">
        <is>
          <t>N/A</t>
        </is>
      </c>
      <c r="X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Y18" s="341" t="inlineStr">
        <is>
          <t>N/A</t>
        </is>
      </c>
      <c r="Z18" s="341" t="inlineStr">
        <is>
          <t>N/A</t>
        </is>
      </c>
      <c r="AA18" s="341" t="inlineStr">
        <is>
          <t>企业</t>
        </is>
      </c>
      <c r="AB18" s="341" t="inlineStr">
        <is>
          <t>工业企业（特别是重点用能单位和碳排放单位）和工业园区运营管理机构。企业和园区可参照指南自愿建设或升级数字化能碳管理中心，指南为推荐性和指导性质，不设强制性合规义务。</t>
        </is>
      </c>
      <c r="AC18" s="341" t="inlineStr">
        <is>
          <t>生产</t>
        </is>
      </c>
      <c r="AD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E18" s="341" t="inlineStr">
        <is>
          <t>N/A</t>
        </is>
      </c>
      <c r="AF18" s="341" t="inlineStr">
        <is>
          <t>N/A</t>
        </is>
      </c>
      <c r="AG18" s="341" t="inlineStr">
        <is>
          <t>N/A</t>
        </is>
      </c>
      <c r="AH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I18" s="341" t="inlineStr">
        <is>
          <t>N/A</t>
        </is>
      </c>
      <c r="AJ18" s="341" t="inlineStr">
        <is>
          <t>N/A</t>
        </is>
      </c>
      <c r="AK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L18" s="341" t="inlineStr">
        <is>
          <t>工业和信息化部（节能与综合利用司）负责指南的研究编制、发布和宣贯推广。</t>
        </is>
      </c>
      <c r="AM18" s="341" t="inlineStr">
        <is>
          <t>工业和信息化部通过通知和门户网站公开发布指南（政府公开发布）。</t>
        </is>
      </c>
      <c r="AN18" s="341" t="inlineStr">
        <is>
          <t>一次性发布（2025年版）。后续视需要修订更新。</t>
        </is>
      </c>
      <c r="AO18" s="341" t="inlineStr">
        <is>
          <t>是（公开）。指南通过工业和信息化部门户网站向社会全文公开。</t>
        </is>
      </c>
      <c r="AP18" s="341" t="inlineStr">
        <is>
          <t>N/A</t>
        </is>
      </c>
      <c r="AQ18" s="341" t="inlineStr">
        <is>
          <t>无合规监测</t>
        </is>
      </c>
      <c r="AR18" s="341" t="inlineStr">
        <is>
          <t>无合规执行</t>
        </is>
      </c>
      <c r="AS18" s="341" t="inlineStr">
        <is>
          <t>其他激励或支持</t>
        </is>
      </c>
      <c r="AT18" s="341" t="inlineStr">
        <is>
          <t>工业和信息化部组织指南的宣传解读和培训推广；指导地方工业和信息化主管部门结合本地实际组织开展指南应用和能力建设活动；鼓励行业协会和技术服务机构提供技术支持和解决方案。</t>
        </is>
      </c>
      <c r="AU18" s="341" t="inlineStr">
        <is>
          <t>N/A（本工具为技术指导性工具，通过引导企业和园区建设数字化能碳管理能力间接促进减排，无直接可量化的温室气体排放覆盖量）</t>
        </is>
      </c>
      <c r="AV18" s="341" t="inlineStr">
        <is>
          <t>N/A（本工具为间接技术指导工具，无直接的温室气体排放覆盖占比）</t>
        </is>
      </c>
      <c r="AW18" s="341" t="inlineStr">
        <is>
          <t>C10; C11; C12; C13; C14; C15; C16; C17; C18; C19; C20; C21; C22; C23; C24; C25; C26; C27; C28; C29; C30; C31; C32; C33</t>
        </is>
      </c>
      <c r="AX18" s="341" t="inlineStr">
        <is>
          <t>CO2; CH4; N2O</t>
        </is>
      </c>
      <c r="AY18" s="341" t="inlineStr">
        <is>
          <t>正向</t>
        </is>
      </c>
      <c r="AZ18" s="341" t="inlineStr">
        <is>
          <t>节能；技术创新；污染防治；产业发展</t>
        </is>
      </c>
      <c r="BA18" s="341" t="inlineStr">
        <is>
          <t>工业和信息化部办公厅关于印发《工业企业和园区数字化能碳管理中心建设指南》的通知（工信厅节〔2025〕13号）</t>
        </is>
      </c>
      <c r="BB18" s="341" t="inlineStr">
        <is>
          <t>https://www.miit.gov.cn/jgsj/jns/nyjy/art/2025/art_bd4ed4ce13314ce58ee3896579b27ba0.html</t>
        </is>
      </c>
      <c r="BC18" s="341" t="inlineStr">
        <is>
          <t>N/A</t>
        </is>
      </c>
      <c r="BD18" s="341" t="inlineStr"/>
      <c r="BE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能源效率；减缓气候变化；产业发展</t>
        </is>
      </c>
      <c r="L19" s="341" t="inlineStr">
        <is>
          <t>直接</t>
        </is>
      </c>
      <c r="M19" s="341" t="inlineStr">
        <is>
          <t>国家</t>
        </is>
      </c>
      <c r="N19" s="341" t="inlineStr">
        <is>
          <t>N/A</t>
        </is>
      </c>
      <c r="O19" s="341" t="inlineStr">
        <is>
          <t>03/02/2022</t>
        </is>
      </c>
      <c r="P19" s="341" t="inlineStr">
        <is>
          <t>03/02/2022</t>
        </is>
      </c>
      <c r="Q19" s="341" t="inlineStr">
        <is>
          <t>N/A</t>
        </is>
      </c>
      <c r="R19" s="341" t="inlineStr">
        <is>
          <t>N/A</t>
        </is>
      </c>
      <c r="S19" s="341" t="inlineStr">
        <is>
          <t>N/A</t>
        </is>
      </c>
      <c r="T19" s="341">
        <f>IF(P19="","生效",IF(P19="N/A","生效",IF(TODAY()&lt;DATE(VALUE(RIGHT(P19,4)),VALUE(MID(P19,4,2)),VALUE(LEFT(P19,2))),"计划实施",IF(Q19="","生效",IF(Q19="N/A","生效",IF(TODAY()&lt;DATE(VALUE(RIGHT(Q19,4)),VALUE(MID(Q19,4,2)),VALUE(LEFT(Q19,2))),"生效","已终止"))))))</f>
        <v/>
      </c>
      <c r="U19" s="341" t="inlineStr">
        <is>
          <t>国家发展和改革委员会、工业和信息化部、生态环境部、国家能源局</t>
        </is>
      </c>
      <c r="V19" s="341" t="inlineStr">
        <is>
          <t>高耗能行业生产设施和能源系统</t>
        </is>
      </c>
      <c r="W19" s="341" t="inlineStr">
        <is>
          <t>既有</t>
        </is>
      </c>
      <c r="X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Y19" s="341" t="inlineStr">
        <is>
          <t>N/A</t>
        </is>
      </c>
      <c r="Z19" s="341" t="inlineStr">
        <is>
          <t>N/A</t>
        </is>
      </c>
      <c r="AA19" s="341" t="inlineStr">
        <is>
          <t>企业</t>
        </is>
      </c>
      <c r="AB19" s="341" t="inlineStr">
        <is>
          <t>17个重点高耗能行业领域内的生产企业，特别是能效未达到行业基准水平的企业。企业可参照指南自愿制定节能降碳改造升级方案，指南为指导性质，不设强制性合规义务。</t>
        </is>
      </c>
      <c r="AC19" s="341" t="inlineStr">
        <is>
          <t>生产</t>
        </is>
      </c>
      <c r="AD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E19" s="341" t="inlineStr">
        <is>
          <t>N/A</t>
        </is>
      </c>
      <c r="AF19" s="341" t="inlineStr">
        <is>
          <t>N/A</t>
        </is>
      </c>
      <c r="AG19" s="341" t="inlineStr">
        <is>
          <t>N/A</t>
        </is>
      </c>
      <c r="AH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I19" s="341" t="inlineStr">
        <is>
          <t>N/A</t>
        </is>
      </c>
      <c r="AJ19" s="341" t="inlineStr">
        <is>
          <t>N/A</t>
        </is>
      </c>
      <c r="AK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L19" s="341" t="inlineStr">
        <is>
          <t>国家发展改革委（产业发展司）会同工业和信息化部、生态环境部、国家能源局负责指南的研究编制和发布。</t>
        </is>
      </c>
      <c r="AM19" s="341" t="inlineStr">
        <is>
          <t>四部门通过通知和门户网站公开发布指南（政府公开发布）。</t>
        </is>
      </c>
      <c r="AN19" s="341" t="inlineStr">
        <is>
          <t>一次性发布（2022年版）。后续视需要修订更新。</t>
        </is>
      </c>
      <c r="AO19" s="341" t="inlineStr">
        <is>
          <t>是（公开）。指南通过国家发展改革委、工业和信息化部门户网站向社会全文公开。</t>
        </is>
      </c>
      <c r="AP19" s="341" t="inlineStr">
        <is>
          <t>N/A</t>
        </is>
      </c>
      <c r="AQ19" s="341" t="inlineStr">
        <is>
          <t>无合规监测</t>
        </is>
      </c>
      <c r="AR19" s="341" t="inlineStr">
        <is>
          <t>无合规执行</t>
        </is>
      </c>
      <c r="AS19" s="341" t="inlineStr">
        <is>
          <t>其他激励或支持</t>
        </is>
      </c>
      <c r="AT19" s="341" t="inlineStr">
        <is>
          <t>四部门组织指南的宣传解读和宣贯推广；指导行业协会和专业机构提供技术咨询和节能诊断服务；鼓励地方结合本地实际出台配套支持政策推动指南技术路径落地应用。</t>
        </is>
      </c>
      <c r="AU19" s="341" t="inlineStr">
        <is>
          <t>N/A（本工具为技术指导性工具，通过引导高耗能企业对标能效基准水平并实施节能降碳改造间接促进减排，无直接可量化的温室气体排放覆盖量）</t>
        </is>
      </c>
      <c r="AV19" s="341" t="inlineStr">
        <is>
          <t>N/A（本工具为间接技术指导工具，无直接的温室气体排放覆盖占比）</t>
        </is>
      </c>
      <c r="AW19" s="341" t="inlineStr">
        <is>
          <t>C19; C20; C23; C24</t>
        </is>
      </c>
      <c r="AX19" s="341" t="inlineStr">
        <is>
          <t>CO2; CH4; N2O</t>
        </is>
      </c>
      <c r="AY19" s="341" t="inlineStr">
        <is>
          <t>正向</t>
        </is>
      </c>
      <c r="AZ19" s="341" t="inlineStr">
        <is>
          <t>节能；污染防治；产业发展</t>
        </is>
      </c>
      <c r="BA19" s="341" t="inlineStr">
        <is>
          <t>四部门关于发布《高耗能行业重点领域节能降碳改造升级实施指南（2022年版）》的通知（发改产业〔2022〕200号）</t>
        </is>
      </c>
      <c r="BB19" s="341" t="inlineStr">
        <is>
          <t>https://www.ndrc.gov.cn/xwdt/tzgg/202202/t20220211_1315447_ext.html</t>
        </is>
      </c>
      <c r="BC19" s="341" t="inlineStr">
        <is>
          <t>https://www.miit.gov.cn/jgsj/jns/nyjy/art/2022/art_17b6f40586b84957b3503c78ce8584ac.html</t>
        </is>
      </c>
      <c r="BD19" s="341" t="inlineStr"/>
      <c r="BE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非化石能源；能源效率；减缓气候变化</t>
        </is>
      </c>
      <c r="L20" s="341" t="inlineStr">
        <is>
          <t>直接</t>
        </is>
      </c>
      <c r="M20" s="341" t="inlineStr">
        <is>
          <t>国家</t>
        </is>
      </c>
      <c r="N20" s="341" t="inlineStr">
        <is>
          <t>N/A</t>
        </is>
      </c>
      <c r="O20" s="341" t="inlineStr">
        <is>
          <t>31/12/2025</t>
        </is>
      </c>
      <c r="P20" s="341" t="inlineStr">
        <is>
          <t>09/01/2026</t>
        </is>
      </c>
      <c r="Q20" s="341" t="inlineStr">
        <is>
          <t>N/A</t>
        </is>
      </c>
      <c r="R20" s="341" t="inlineStr">
        <is>
          <t>N/A</t>
        </is>
      </c>
      <c r="S20" s="341" t="inlineStr">
        <is>
          <t>N/A</t>
        </is>
      </c>
      <c r="T20" s="341">
        <f>IF(P20="","生效",IF(P20="N/A","生效",IF(TODAY()&lt;DATE(VALUE(RIGHT(P20,4)),VALUE(MID(P20,4,2)),VALUE(LEFT(P20,2))),"计划实施",IF(Q20="","生效",IF(Q20="N/A","生效",IF(TODAY()&lt;DATE(VALUE(RIGHT(Q20,4)),VALUE(MID(Q20,4,2)),VALUE(LEFT(Q20,2))),"生效","已终止"))))))</f>
        <v/>
      </c>
      <c r="U20" s="341" t="inlineStr">
        <is>
          <t>工业和信息化部（节能与综合利用司）、国家发展和改革委员会、国务院国资委、国家市场监督管理总局、国家能源局</t>
        </is>
      </c>
      <c r="V20" s="341" t="inlineStr">
        <is>
          <t>工业绿色微电网系统（含可再生能源发电、储能、余能回收等）</t>
        </is>
      </c>
      <c r="W20" s="341" t="inlineStr">
        <is>
          <t>N/A</t>
        </is>
      </c>
      <c r="X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Y20" s="341" t="inlineStr">
        <is>
          <t>N/A</t>
        </is>
      </c>
      <c r="Z20" s="341" t="inlineStr">
        <is>
          <t>N/A</t>
        </is>
      </c>
      <c r="AA20" s="341" t="inlineStr">
        <is>
          <t>企业</t>
        </is>
      </c>
      <c r="AB20" s="341" t="inlineStr">
        <is>
          <t>工业企业、工业园区运营管理机构、产业集聚区管理机构和能源服务公司。相关主体可参照指南自愿规划建设和运营绿色微电网，指南为推荐性和指导性质，不设强制性合规义务。</t>
        </is>
      </c>
      <c r="AC20" s="341" t="inlineStr">
        <is>
          <t>生产</t>
        </is>
      </c>
      <c r="AD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E20" s="341" t="inlineStr">
        <is>
          <t>N/A</t>
        </is>
      </c>
      <c r="AF20" s="341" t="inlineStr">
        <is>
          <t>N/A</t>
        </is>
      </c>
      <c r="AG20" s="341" t="inlineStr">
        <is>
          <t>N/A</t>
        </is>
      </c>
      <c r="AH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I20" s="341" t="inlineStr">
        <is>
          <t>N/A</t>
        </is>
      </c>
      <c r="AJ20" s="341" t="inlineStr">
        <is>
          <t>N/A</t>
        </is>
      </c>
      <c r="AK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L20" s="341" t="inlineStr">
        <is>
          <t>工业和信息化部（节能与综合利用司）会同国家发展改革委、国务院国资委、市场监管总局、国家能源局负责指南的研究编制和发布。</t>
        </is>
      </c>
      <c r="AM20" s="341" t="inlineStr">
        <is>
          <t>五部门通过通知和门户网站公开发布指南（政府公开发布）。</t>
        </is>
      </c>
      <c r="AN20" s="341" t="inlineStr">
        <is>
          <t>一次性发布（2026—2030年规划期）。后续视需要修订更新。</t>
        </is>
      </c>
      <c r="AO20" s="341" t="inlineStr">
        <is>
          <t>是（公开）。指南通过工业和信息化部门户网站等渠道向社会全文公开。</t>
        </is>
      </c>
      <c r="AP20" s="341" t="inlineStr">
        <is>
          <t>N/A</t>
        </is>
      </c>
      <c r="AQ20" s="341" t="inlineStr">
        <is>
          <t>无合规监测</t>
        </is>
      </c>
      <c r="AR20" s="341" t="inlineStr">
        <is>
          <t>无合规执行</t>
        </is>
      </c>
      <c r="AS20" s="341" t="inlineStr">
        <is>
          <t>其他激励或支持</t>
        </is>
      </c>
      <c r="AT20" s="341" t="inlineStr">
        <is>
          <t>五部门组织指南的宣传解读和宣贯推广；指导地方相关部门结合本地实际组织开展工业绿色微电网试点示范和推广应用；鼓励行业协会、科研机构和技术服务企业提供技术支持和系统解决方案。</t>
        </is>
      </c>
      <c r="AU20" s="341" t="inlineStr">
        <is>
          <t>N/A（本工具为技术指导性工具，通过引导工业企业和园区建设绿色微电网系统间接促进减排，无直接可量化的温室气体排放覆盖量）</t>
        </is>
      </c>
      <c r="AV20" s="341" t="inlineStr">
        <is>
          <t>N/A（本工具为间接技术指导工具，无直接的温室气体排放覆盖占比）</t>
        </is>
      </c>
      <c r="AW20" s="341" t="inlineStr">
        <is>
          <t>C10; C11; C12; C13; C14; C15; C16; C17; C18; C19; C20; C21; C22; C23; C24; C25; C26; C27; C28; C29; C30; C31; C32; C33</t>
        </is>
      </c>
      <c r="AX20" s="341" t="inlineStr">
        <is>
          <t>CO2; CH4; N2O</t>
        </is>
      </c>
      <c r="AY20" s="341" t="inlineStr">
        <is>
          <t>正向</t>
        </is>
      </c>
      <c r="AZ20" s="341" t="inlineStr">
        <is>
          <t>可再生能源发展；节能；能源安全；污染防治</t>
        </is>
      </c>
      <c r="BA20" s="341" t="inlineStr">
        <is>
          <t>工业和信息化部办公厅 国家发展改革委办公厅 国务院国资委办公厅 市场监管总局办公厅 国家能源局综合司关于印发《工业绿色微电网建设与应用指南（2026—2030年）》的通知（工信厅联节〔2025〕77号）</t>
        </is>
      </c>
      <c r="BB20" s="341" t="inlineStr">
        <is>
          <t>https://www.miit.gov.cn/zwgk/zcwj/wjfb/tz/art/2026/art_44c5364d80b748e4b797bc115388c6aa.html</t>
        </is>
      </c>
      <c r="BC20" s="341" t="inlineStr">
        <is>
          <t>https://www.miit.gov.cn/jgsj/jns/nyjy/art/2026/art_3ef4f0f5b8d54fab92e87517355fb0e1.html</t>
        </is>
      </c>
      <c r="BD20" s="341" t="inlineStr"/>
      <c r="BE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减缓气候变化；循环经济；生态保护</t>
        </is>
      </c>
      <c r="L21" s="341" t="inlineStr">
        <is>
          <t>直接</t>
        </is>
      </c>
      <c r="M21" s="341" t="inlineStr">
        <is>
          <t>国家</t>
        </is>
      </c>
      <c r="N21" s="341" t="inlineStr">
        <is>
          <t>N/A</t>
        </is>
      </c>
      <c r="O21" s="341" t="inlineStr">
        <is>
          <t>02/07/2018</t>
        </is>
      </c>
      <c r="P21" s="341" t="inlineStr">
        <is>
          <t>02/07/2018</t>
        </is>
      </c>
      <c r="Q21" s="341" t="inlineStr">
        <is>
          <t>N/A</t>
        </is>
      </c>
      <c r="R21" s="341" t="inlineStr">
        <is>
          <t>N/A</t>
        </is>
      </c>
      <c r="S21" s="341" t="inlineStr">
        <is>
          <t>N/A</t>
        </is>
      </c>
      <c r="T21" s="341">
        <f>IF(P21="","生效",IF(P21="N/A","生效",IF(TODAY()&lt;DATE(VALUE(RIGHT(P21,4)),VALUE(MID(P21,4,2)),VALUE(LEFT(P21,2))),"计划实施",IF(Q21="","生效",IF(Q21="N/A","生效",IF(TODAY()&lt;DATE(VALUE(RIGHT(Q21,4)),VALUE(MID(Q21,4,2)),VALUE(LEFT(Q21,2))),"生效","已终止"))))))</f>
        <v/>
      </c>
      <c r="U21" s="341" t="inlineStr">
        <is>
          <t>农业农村部（科技教育司）</t>
        </is>
      </c>
      <c r="V21" s="341" t="inlineStr">
        <is>
          <t>农业技术（信息/知识）</t>
        </is>
      </c>
      <c r="W21" s="341" t="inlineStr">
        <is>
          <t>新建</t>
        </is>
      </c>
      <c r="X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Y21" s="341" t="inlineStr">
        <is>
          <t>N/A</t>
        </is>
      </c>
      <c r="Z21" s="341" t="inlineStr">
        <is>
          <t>N/A</t>
        </is>
      </c>
      <c r="AA21" s="341" t="inlineStr">
        <is>
          <t>企业</t>
        </is>
      </c>
      <c r="AB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C21" s="341" t="inlineStr">
        <is>
          <t>生产</t>
        </is>
      </c>
      <c r="AD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E21" s="341" t="inlineStr">
        <is>
          <t>N/A</t>
        </is>
      </c>
      <c r="AF21" s="341" t="inlineStr">
        <is>
          <t>N/A</t>
        </is>
      </c>
      <c r="AG21" s="341" t="inlineStr">
        <is>
          <t>N/A</t>
        </is>
      </c>
      <c r="AH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I21" s="341" t="inlineStr">
        <is>
          <t>N/A</t>
        </is>
      </c>
      <c r="AJ21" s="341" t="inlineStr">
        <is>
          <t>N/A</t>
        </is>
      </c>
      <c r="AK21" s="341" t="inlineStr">
        <is>
          <t>与农业面源污染治理、耕地质量保护、化肥农药减量增效、畜禽粪污资源化利用等相关政策形成协同；为农业绿色发展相关标准化工作提供技术基础。</t>
        </is>
      </c>
      <c r="AL21" s="341" t="inlineStr">
        <is>
          <t>农业农村部科技教育司负责组织导则的研究编制和发布。</t>
        </is>
      </c>
      <c r="AM21" s="341" t="inlineStr">
        <is>
          <t>农业农村部通过通知和门户网站公开发布导则（政府公开发布）。</t>
        </is>
      </c>
      <c r="AN21" s="341" t="inlineStr">
        <is>
          <t>中长期规划（2018—2030年），不定期修订更新。</t>
        </is>
      </c>
      <c r="AO21" s="341" t="inlineStr">
        <is>
          <t>是（公开）。导则通过政府门户网站向社会全文公开。</t>
        </is>
      </c>
      <c r="AP21" s="341" t="inlineStr">
        <is>
          <t>N/A</t>
        </is>
      </c>
      <c r="AQ21" s="341" t="inlineStr">
        <is>
          <t>无合规监测</t>
        </is>
      </c>
      <c r="AR21" s="341" t="inlineStr">
        <is>
          <t>无合规执行</t>
        </is>
      </c>
      <c r="AS21" s="341" t="inlineStr">
        <is>
          <t>其他激励或支持</t>
        </is>
      </c>
      <c r="AT21" s="341" t="inlineStr">
        <is>
          <t>农业农村部组织导则的解读宣贯；依托农业技术推广体系和农业科研院所开展技术培训、示范推广和经验交流；引导地方农业部门和经营主体落实导则提出的技术方向。</t>
        </is>
      </c>
      <c r="AU21" s="341" t="inlineStr">
        <is>
          <t>N/A（本工具为技术导则，通过引导农业绿色生产技术的研发和推广应用间接支持农业领域温室气体减排，无直接可量化的排放覆盖量）</t>
        </is>
      </c>
      <c r="AV21" s="341" t="inlineStr">
        <is>
          <t>N/A（本工具为间接技术指导工具，无直接的温室气体排放覆盖占比）</t>
        </is>
      </c>
      <c r="AW21" s="341" t="inlineStr">
        <is>
          <t>A01</t>
        </is>
      </c>
      <c r="AX21" s="341" t="inlineStr">
        <is>
          <t>CO2; CH4; N2O</t>
        </is>
      </c>
      <c r="AY21" s="341" t="inlineStr">
        <is>
          <t>正向</t>
        </is>
      </c>
      <c r="AZ21" s="341" t="inlineStr">
        <is>
          <t>污染防治；资源节约；循环经济；生态保护；食品安全</t>
        </is>
      </c>
      <c r="BA21" s="341" t="inlineStr">
        <is>
          <t>农业农村部关于印发《农业绿色发展技术导则（2018—2030年）》的通知（农科教发〔2018〕3号）</t>
        </is>
      </c>
      <c r="BB21" s="341" t="inlineStr">
        <is>
          <t>https://www.gov.cn/zhengce/zhengceku/2018-12/31/content_5445929.htm</t>
        </is>
      </c>
      <c r="BC21" s="341" t="inlineStr">
        <is>
          <t>https://www.moa.gov.cn/gk/zcjd/201904/t20190418_6184810.htm</t>
        </is>
      </c>
      <c r="BD21" s="341" t="inlineStr"/>
      <c r="BE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循环经济；污染防治；减缓气候变化</t>
        </is>
      </c>
      <c r="L22" s="341" t="inlineStr">
        <is>
          <t>直接</t>
        </is>
      </c>
      <c r="M22" s="341" t="inlineStr">
        <is>
          <t>国家</t>
        </is>
      </c>
      <c r="N22" s="341" t="inlineStr">
        <is>
          <t>N/A</t>
        </is>
      </c>
      <c r="O22" s="341" t="inlineStr">
        <is>
          <t>01/04/2026</t>
        </is>
      </c>
      <c r="P22" s="341" t="inlineStr">
        <is>
          <t>01/04/2026</t>
        </is>
      </c>
      <c r="Q22" s="341" t="inlineStr">
        <is>
          <t>N/A</t>
        </is>
      </c>
      <c r="R22" s="341" t="inlineStr">
        <is>
          <t>N/A</t>
        </is>
      </c>
      <c r="S22" s="341" t="inlineStr">
        <is>
          <t>N/A</t>
        </is>
      </c>
      <c r="T22" s="341">
        <f>IF(P22="","生效",IF(P22="N/A","生效",IF(TODAY()&lt;DATE(VALUE(RIGHT(P22,4)),VALUE(MID(P22,4,2)),VALUE(LEFT(P22,2))),"计划实施",IF(Q22="","生效",IF(Q22="N/A","生效",IF(TODAY()&lt;DATE(VALUE(RIGHT(Q22,4)),VALUE(MID(Q22,4,2)),VALUE(LEFT(Q22,2))),"生效","已终止"))))))</f>
        <v/>
      </c>
      <c r="U22" s="341" t="inlineStr">
        <is>
          <t>工业和信息化部（节能与综合利用司）；国家发展改革委；教育部；生态环境部；市场监管总局</t>
        </is>
      </c>
      <c r="V22" s="341" t="inlineStr">
        <is>
          <t>工业产品（设计阶段）</t>
        </is>
      </c>
      <c r="W22" s="341" t="inlineStr">
        <is>
          <t>新建</t>
        </is>
      </c>
      <c r="X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Y22" s="341" t="inlineStr">
        <is>
          <t>N/A</t>
        </is>
      </c>
      <c r="Z22" s="341" t="inlineStr">
        <is>
          <t>N/A</t>
        </is>
      </c>
      <c r="AA22" s="341" t="inlineStr">
        <is>
          <t>企业</t>
        </is>
      </c>
      <c r="AB22" s="341" t="inlineStr">
        <is>
          <t>工业企业（特别是制造业产品设计和生产企业）；绿色设计解决方案供应商；相关行业协会和标准化机构。企业可参照指南自愿开展绿色设计，指南为推荐性和指导性质，不设强制性合规义务。</t>
        </is>
      </c>
      <c r="AC22" s="341" t="inlineStr">
        <is>
          <t>研究与开发</t>
        </is>
      </c>
      <c r="AD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E22" s="341" t="inlineStr">
        <is>
          <t>N/A</t>
        </is>
      </c>
      <c r="AF22" s="341" t="inlineStr">
        <is>
          <t>N/A</t>
        </is>
      </c>
      <c r="AG22" s="341" t="inlineStr">
        <is>
          <t>N/A</t>
        </is>
      </c>
      <c r="AH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I22" s="341" t="inlineStr">
        <is>
          <t>N/A</t>
        </is>
      </c>
      <c r="AJ22" s="341" t="inlineStr">
        <is>
          <t>N/A</t>
        </is>
      </c>
      <c r="AK22" s="341" t="inlineStr">
        <is>
          <t>与绿色工厂梯度培育、绿色供应链管理、绿色产品认证、绿色公共采购等政策形成协同；为《工业产品绿色设计通则》等标准制定提供基础；与中欧、中德、中法等国际绿色设计合作机制衔接。</t>
        </is>
      </c>
      <c r="AL22" s="341" t="inlineStr">
        <is>
          <t>工业和信息化部（节能与综合利用司）会同国家发展改革委、教育部、生态环境部、市场监管总局共同组织指南的研究编制和发布。</t>
        </is>
      </c>
      <c r="AM22" s="341" t="inlineStr">
        <is>
          <t>工业和信息化部等五部门通过通知和门户网站公开发布指南（政府公开发布）。</t>
        </is>
      </c>
      <c r="AN22" s="341" t="inlineStr">
        <is>
          <t>按需不定期修订（如2026年版）。</t>
        </is>
      </c>
      <c r="AO22" s="341" t="inlineStr">
        <is>
          <t>是（公开）。指南通过工业和信息化部等主管部门门户网站向社会全文公开。</t>
        </is>
      </c>
      <c r="AP22" s="341" t="inlineStr">
        <is>
          <t>N/A</t>
        </is>
      </c>
      <c r="AQ22" s="341" t="inlineStr">
        <is>
          <t>无合规监测</t>
        </is>
      </c>
      <c r="AR22" s="341" t="inlineStr">
        <is>
          <t>无合规执行</t>
        </is>
      </c>
      <c r="AS22" s="341" t="inlineStr">
        <is>
          <t>其他激励或支持</t>
        </is>
      </c>
      <c r="AT22" s="341" t="inlineStr">
        <is>
          <t>工业和信息化部等五部门组织指南的解读宣贯；通过行业协会和标准化机构开展绿色设计培训、技术交流和标杆案例推广；引导绿色设计解决方案供应商培育和标志性产品推广。</t>
        </is>
      </c>
      <c r="AU22" s="341" t="inlineStr">
        <is>
          <t>N/A（本工具为技术指南，通过引导企业从设计源头实施绿色设计间接减少产品全生命周期温室气体排放，无直接可量化的排放覆盖量）</t>
        </is>
      </c>
      <c r="AV22" s="341" t="inlineStr">
        <is>
          <t>N/A（本工具为间接技术指导工具，无直接的温室气体排放覆盖占比）</t>
        </is>
      </c>
      <c r="AW22" s="341" t="inlineStr">
        <is>
          <t>C13; C17; C20; C21; C22; C27; C28; C29</t>
        </is>
      </c>
      <c r="AX22" s="341" t="inlineStr">
        <is>
          <t>CO2; CH4; N2O</t>
        </is>
      </c>
      <c r="AY22" s="341" t="inlineStr">
        <is>
          <t>正向</t>
        </is>
      </c>
      <c r="AZ22" s="341" t="inlineStr">
        <is>
          <t>产业发展；技术创新；资源节约；循环经济；污染防治</t>
        </is>
      </c>
      <c r="BA22" s="341" t="inlineStr">
        <is>
          <t>工业和信息化部等五部门关于印发《工业产品绿色设计指南（2026年版）》的通知（工信厅联节〔2026〕15号）</t>
        </is>
      </c>
      <c r="BB22" s="341" t="inlineStr">
        <is>
          <t>https://www.miit.gov.cn/zwgk/zcwj/wjfb/tz/art/2026/art_0e02aa4c9dfe40c0ae322af3c185eed6.html</t>
        </is>
      </c>
      <c r="BC22" s="341" t="inlineStr">
        <is>
          <t>https://www.miit.gov.cn/jgsj/jns/lszz/art/2026/art_a240711299e045b284c4bff34f13450e.html</t>
        </is>
      </c>
      <c r="BD22" s="341" t="inlineStr"/>
      <c r="BE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能源效率；技术创新；减缓气候变化</t>
        </is>
      </c>
      <c r="L23" s="341" t="inlineStr">
        <is>
          <t>直接</t>
        </is>
      </c>
      <c r="M23" s="341" t="inlineStr">
        <is>
          <t>国家</t>
        </is>
      </c>
      <c r="N23" s="341" t="inlineStr">
        <is>
          <t>N/A</t>
        </is>
      </c>
      <c r="O23" s="341" t="inlineStr">
        <is>
          <t>10/11/2017</t>
        </is>
      </c>
      <c r="P23" s="341" t="inlineStr">
        <is>
          <t>10/11/2017</t>
        </is>
      </c>
      <c r="Q23" s="341" t="inlineStr">
        <is>
          <t>N/A</t>
        </is>
      </c>
      <c r="R23" s="341" t="inlineStr">
        <is>
          <t>08/12/2025</t>
        </is>
      </c>
      <c r="S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T23" s="341">
        <f>IF(P23="","生效",IF(P23="N/A","生效",IF(TODAY()&lt;DATE(VALUE(RIGHT(P23,4)),VALUE(MID(P23,4,2)),VALUE(LEFT(P23,2))),"计划实施",IF(Q23="","生效",IF(Q23="N/A","生效",IF(TODAY()&lt;DATE(VALUE(RIGHT(Q23,4)),VALUE(MID(Q23,4,2)),VALUE(LEFT(Q23,2))),"生效","已终止"))))))</f>
        <v/>
      </c>
      <c r="U23" s="341" t="inlineStr">
        <is>
          <t>工业和信息化部（节能与综合利用司）</t>
        </is>
      </c>
      <c r="V23" s="341" t="inlineStr">
        <is>
          <t>节能降碳技术与装备（研发与推广成果）</t>
        </is>
      </c>
      <c r="W23" s="341" t="inlineStr">
        <is>
          <t>N/A</t>
        </is>
      </c>
      <c r="X23" s="341" t="inlineStr">
        <is>
          <t>本工具为技术推广目录，推广对象为工业和信息化领域先进适用的节能降碳技术和装备（涵盖流程工业节能、重点用能设备能效提升、余热余压利用、数据中心节能等），不直接监管实体排放资产。</t>
        </is>
      </c>
      <c r="Y23" s="341" t="inlineStr">
        <is>
          <t>N/A</t>
        </is>
      </c>
      <c r="Z23" s="341" t="inlineStr">
        <is>
          <t>N/A</t>
        </is>
      </c>
      <c r="AA23" s="341" t="inlineStr">
        <is>
          <t>企业</t>
        </is>
      </c>
      <c r="AB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C23" s="341" t="inlineStr">
        <is>
          <t>研究与开发</t>
        </is>
      </c>
      <c r="AD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E23" s="341" t="inlineStr">
        <is>
          <t>N/A</t>
        </is>
      </c>
      <c r="AF23" s="341" t="inlineStr">
        <is>
          <t>N/A</t>
        </is>
      </c>
      <c r="AG23" s="341" t="inlineStr">
        <is>
          <t>N/A</t>
        </is>
      </c>
      <c r="AH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I23" s="341" t="inlineStr">
        <is>
          <t>N/A</t>
        </is>
      </c>
      <c r="AJ23" s="341" t="inlineStr">
        <is>
          <t>N/A</t>
        </is>
      </c>
      <c r="AK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L23" s="341" t="inlineStr">
        <is>
          <t>技术装备研发生产企业自愿申报并提供技术装备信息；工业和信息化部（节能与综合利用司）负责组织评审、汇总和目录发布。</t>
        </is>
      </c>
      <c r="AM23" s="341" t="inlineStr">
        <is>
          <t>工业和信息化部通过公告和门户网站公开发布推荐目录（政府公开发布）；企业通过目录申报渠道提交申报材料。</t>
        </is>
      </c>
      <c r="AN23" s="341" t="inlineStr">
        <is>
          <t>不定期/约每一至两年更新一版（2017、2018、2020、2022、2024、2025年版）。</t>
        </is>
      </c>
      <c r="AO23" s="341" t="inlineStr">
        <is>
          <t>是（公开）。推荐目录通过工业和信息化部公告和门户网站向社会全文公开。</t>
        </is>
      </c>
      <c r="AP23" s="341" t="inlineStr">
        <is>
          <t>N/A</t>
        </is>
      </c>
      <c r="AQ23" s="341" t="inlineStr">
        <is>
          <t>无合规监测</t>
        </is>
      </c>
      <c r="AR23" s="341" t="inlineStr">
        <is>
          <t>无合规执行</t>
        </is>
      </c>
      <c r="AS23" s="341" t="inlineStr">
        <is>
          <t>其他激励或支持</t>
        </is>
      </c>
      <c r="AT23" s="341" t="inlineStr">
        <is>
          <t>工业和信息化部发布推荐目录及技术装备说明；组织节能降碳技术装备推广对接、案例宣传和经验交流；引导地方和行业开展入选技术装备的推广应用。</t>
        </is>
      </c>
      <c r="AU23" s="341" t="inlineStr">
        <is>
          <t>N/A（本工具为技术推广目录，通过引导先进节能降碳技术装备推广应用间接支持减排，无直接可量化的温室气体排放覆盖量）</t>
        </is>
      </c>
      <c r="AV23" s="341" t="inlineStr">
        <is>
          <t>N/A（本工具为间接技术推广工具，无直接的温室气体排放覆盖占比）</t>
        </is>
      </c>
      <c r="AW23" s="341" t="inlineStr">
        <is>
          <t>C25; C27; C28</t>
        </is>
      </c>
      <c r="AX23" s="341" t="inlineStr">
        <is>
          <t>CO2</t>
        </is>
      </c>
      <c r="AY23" s="341" t="inlineStr">
        <is>
          <t>正向</t>
        </is>
      </c>
      <c r="AZ23" s="341" t="inlineStr">
        <is>
          <t>节能；技术创新；产业发展</t>
        </is>
      </c>
      <c r="BA23" s="341" t="inlineStr">
        <is>
          <t>工业和信息化部公告2025年第37号《国家工业和信息化领域节能降碳技术装备推荐目录（2025年版）》</t>
        </is>
      </c>
      <c r="BB23" s="341" t="inlineStr">
        <is>
          <t>https://www.miit.gov.cn/jgsj/jns/gzdt/art/2025/art_6047ab0f0b1846cf8918ed2e3d01395c.html</t>
        </is>
      </c>
      <c r="BC23" s="341" t="inlineStr">
        <is>
          <t>https://www.miit.gov.cn/jgsj/jns/gzdt/art/2024/art_60736b016395460890aeda756751526d.html；https://www.miit.gov.cn/jgsj/jns/gzdt/art/2022/art_9d1d61dbfd264efd970e76ea81074d4c.html</t>
        </is>
      </c>
      <c r="BD23" s="341" t="inlineStr"/>
      <c r="BE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国家</t>
        </is>
      </c>
      <c r="N24" s="341" t="inlineStr">
        <is>
          <t>N/A</t>
        </is>
      </c>
      <c r="O24" s="341" t="inlineStr">
        <is>
          <t>25/08/2014</t>
        </is>
      </c>
      <c r="P24" s="341" t="inlineStr">
        <is>
          <t>25/08/2014</t>
        </is>
      </c>
      <c r="Q24" s="341" t="inlineStr">
        <is>
          <t>N/A</t>
        </is>
      </c>
      <c r="R24" s="341" t="inlineStr">
        <is>
          <t>20/01/2025</t>
        </is>
      </c>
      <c r="S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T24" s="341">
        <f>IF(P24="","生效",IF(P24="N/A","生效",IF(TODAY()&lt;DATE(VALUE(RIGHT(P24,4)),VALUE(MID(P24,4,2)),VALUE(LEFT(P24,2))),"计划实施",IF(Q24="","生效",IF(Q24="N/A","生效",IF(TODAY()&lt;DATE(VALUE(RIGHT(Q24,4)),VALUE(MID(Q24,4,2)),VALUE(LEFT(Q24,2))),"生效","已终止"))))))</f>
        <v/>
      </c>
      <c r="U24" s="341" t="inlineStr">
        <is>
          <t>生态环境部、工业和信息化部、住房城乡建设部、交通运输部、农业农村部（第五批）；生态环境部（第四批）；国家发展改革委（第一至三批）</t>
        </is>
      </c>
      <c r="V24" s="341" t="inlineStr">
        <is>
          <t>低碳技术（研发与推广成果）</t>
        </is>
      </c>
      <c r="W24" s="341" t="inlineStr">
        <is>
          <t>N/A</t>
        </is>
      </c>
      <c r="X24" s="341" t="inlineStr">
        <is>
          <t>本工具为技术推广目录，推广对象为能源、工业、建筑、交通、农业等重点领域先进适用的低碳（减碳、零碳、负碳）技术，以及储碳固碳、数智赋能、非二氧化碳减排等方向的技术，不直接监管实体排放资产。</t>
        </is>
      </c>
      <c r="Y24" s="341" t="inlineStr">
        <is>
          <t>N/A</t>
        </is>
      </c>
      <c r="Z24" s="341" t="inlineStr">
        <is>
          <t>N/A</t>
        </is>
      </c>
      <c r="AA24" s="341" t="inlineStr">
        <is>
          <t>企业</t>
        </is>
      </c>
      <c r="AB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C24" s="341" t="inlineStr">
        <is>
          <t>研究与开发</t>
        </is>
      </c>
      <c r="AD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E24" s="341" t="inlineStr">
        <is>
          <t>N/A</t>
        </is>
      </c>
      <c r="AF24" s="341" t="inlineStr">
        <is>
          <t>N/A</t>
        </is>
      </c>
      <c r="AG24" s="341" t="inlineStr">
        <is>
          <t>N/A</t>
        </is>
      </c>
      <c r="AH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I24" s="341" t="inlineStr">
        <is>
          <t>N/A</t>
        </is>
      </c>
      <c r="AJ24" s="341" t="inlineStr">
        <is>
          <t>N/A</t>
        </is>
      </c>
      <c r="AK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L24" s="341" t="inlineStr">
        <is>
          <t>技术研发或应用单位自愿申报并提供低碳技术信息；生态环境部等五部门（第五批）/生态环境部（第四批）/国家发展改革委（第一至三批）负责组织评审、筛选和目录发布。</t>
        </is>
      </c>
      <c r="AM24" s="341" t="inlineStr">
        <is>
          <t>国家发展改革委/生态环境部通过公告、通知和门户网站公开发布目录（政府公开发布）；单位通过征集渠道提交申报材料。</t>
        </is>
      </c>
      <c r="AN24" s="341" t="inlineStr">
        <is>
          <t>不定期分批发布（第一至五批分别于2014、2015、2017、2022、2025年发布）。</t>
        </is>
      </c>
      <c r="AO24" s="341" t="inlineStr">
        <is>
          <t>是（公开）。目录通过主管部门公告/通知和门户网站向社会全文公开。</t>
        </is>
      </c>
      <c r="AP24" s="341" t="inlineStr">
        <is>
          <t>N/A</t>
        </is>
      </c>
      <c r="AQ24" s="341" t="inlineStr">
        <is>
          <t>无合规监测</t>
        </is>
      </c>
      <c r="AR24" s="341" t="inlineStr">
        <is>
          <t>无合规执行</t>
        </is>
      </c>
      <c r="AS24" s="341" t="inlineStr">
        <is>
          <t>其他激励或支持</t>
        </is>
      </c>
      <c r="AT24" s="341" t="inlineStr">
        <is>
          <t>主管部门发布低碳技术目录及技术说明；组织低碳技术推广对接、宣传和经验交流；引导地方和行业开展入选低碳技术的示范和推广应用。</t>
        </is>
      </c>
      <c r="AU24" s="341" t="inlineStr">
        <is>
          <t>N/A（本工具为技术推广目录，通过引导低碳技术推广应用间接支持减排，无直接可量化的温室气体排放覆盖量）</t>
        </is>
      </c>
      <c r="AV24" s="341" t="inlineStr">
        <is>
          <t>N/A（本工具为间接技术推广工具，无直接的温室气体排放覆盖占比）</t>
        </is>
      </c>
      <c r="AW24" s="341" t="inlineStr">
        <is>
          <t>M72</t>
        </is>
      </c>
      <c r="AX24" s="341" t="inlineStr">
        <is>
          <t>CO2; CH4; N2O</t>
        </is>
      </c>
      <c r="AY24" s="341" t="inlineStr">
        <is>
          <t>正向</t>
        </is>
      </c>
      <c r="AZ24" s="341" t="inlineStr">
        <is>
          <t>技术创新；节能；产业发展；污染防治</t>
        </is>
      </c>
      <c r="BA24" s="341" t="inlineStr">
        <is>
          <t>关于印发《国家重点推广的低碳技术目录（第五批）》的通知（环办气候函〔2025〕44号）</t>
        </is>
      </c>
      <c r="BB24" s="341" t="inlineStr">
        <is>
          <t>https://www.mee.gov.cn/xxgk2018/xxgk/xxgk06/202502/t20250212_1102102.html</t>
        </is>
      </c>
      <c r="BC24" s="341" t="inlineStr">
        <is>
          <t>https://www.mee.gov.cn/xxgk2018/xxgk/xxgk06/202212/t20221221_1008424.html；https://www.ndrc.gov.cn/xxgk/zcfb/gg/201409/t20140905_961102.html；https://www.ndrc.gov.cn/xxgk/zcfb/gg/201512/t20151218_961138.html</t>
        </is>
      </c>
      <c r="BD24" s="341" t="inlineStr"/>
      <c r="BE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国家</t>
        </is>
      </c>
      <c r="N25" s="341" t="inlineStr">
        <is>
          <t>N/A</t>
        </is>
      </c>
      <c r="O25" s="341" t="inlineStr">
        <is>
          <t>31/12/2020</t>
        </is>
      </c>
      <c r="P25" s="341" t="inlineStr">
        <is>
          <t>31/12/2020</t>
        </is>
      </c>
      <c r="Q25" s="341" t="inlineStr">
        <is>
          <t>N/A</t>
        </is>
      </c>
      <c r="R25" s="341" t="inlineStr">
        <is>
          <t>24/12/2024</t>
        </is>
      </c>
      <c r="S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T25" s="341">
        <f>IF(P25="","生效",IF(P25="N/A","生效",IF(TODAY()&lt;DATE(VALUE(RIGHT(P25,4)),VALUE(MID(P25,4,2)),VALUE(LEFT(P25,2))),"计划实施",IF(Q25="","生效",IF(Q25="N/A","生效",IF(TODAY()&lt;DATE(VALUE(RIGHT(Q25,4)),VALUE(MID(Q25,4,2)),VALUE(LEFT(Q25,2))),"生效","已终止"))))))</f>
        <v/>
      </c>
      <c r="U25" s="341" t="inlineStr">
        <is>
          <t>国家发展改革委；科技部；工业和信息化部；自然资源部；生态环境部；住房城乡建设部；国务院国资委；国家能源局</t>
        </is>
      </c>
      <c r="V25" s="341" t="inlineStr">
        <is>
          <t>绿色技术（研发与推广成果）</t>
        </is>
      </c>
      <c r="W25" s="341" t="inlineStr">
        <is>
          <t>N/A</t>
        </is>
      </c>
      <c r="X25" s="341" t="inlineStr">
        <is>
          <t>本工具为技术推广目录，推广对象为节能降碳、环境保护、资源循环利用、绿色能源、生态保护修复、绿色基础设施和绿色服务等领域先进适用的绿色技术，不直接监管实体排放资产。</t>
        </is>
      </c>
      <c r="Y25" s="341" t="inlineStr">
        <is>
          <t>N/A</t>
        </is>
      </c>
      <c r="Z25" s="341" t="inlineStr">
        <is>
          <t>N/A</t>
        </is>
      </c>
      <c r="AA25" s="341" t="inlineStr">
        <is>
          <t>企业</t>
        </is>
      </c>
      <c r="AB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C25" s="341" t="inlineStr">
        <is>
          <t>研究与开发</t>
        </is>
      </c>
      <c r="AD25" s="341" t="inlineStr">
        <is>
          <t>国家发展改革委等部门组织的绿色技术遴选和推广活动。技术研发或应用单位自愿申报→主管部门组织专家评审、筛选、公示→印发目录并向社会公开→引导企业和地方选用推广入选绿色技术。</t>
        </is>
      </c>
      <c r="AE25" s="341" t="inlineStr">
        <is>
          <t>N/A</t>
        </is>
      </c>
      <c r="AF25" s="341" t="inlineStr">
        <is>
          <t>N/A</t>
        </is>
      </c>
      <c r="AG25" s="341" t="inlineStr">
        <is>
          <t>N/A</t>
        </is>
      </c>
      <c r="AH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I25" s="341" t="inlineStr">
        <is>
          <t>N/A</t>
        </is>
      </c>
      <c r="AJ25" s="341" t="inlineStr">
        <is>
          <t>N/A</t>
        </is>
      </c>
      <c r="AK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L25" s="341" t="inlineStr">
        <is>
          <t>绿色技术研发或应用单位自愿申报并提供绿色技术信息；国家发展改革委等部门负责组织评审、筛选和目录发布。</t>
        </is>
      </c>
      <c r="AM25" s="341" t="inlineStr">
        <is>
          <t>国家发展改革委等部门通过通知和门户网站公开发布目录（政府公开发布）；单位通过征集渠道提交申报材料。</t>
        </is>
      </c>
      <c r="AN25" s="341" t="inlineStr">
        <is>
          <t>不定期更新（2020年版、2024年版）。</t>
        </is>
      </c>
      <c r="AO25" s="341" t="inlineStr">
        <is>
          <t>是（公开）。目录通过主管部门通知和门户网站向社会全文公开。</t>
        </is>
      </c>
      <c r="AP25" s="341" t="inlineStr">
        <is>
          <t>N/A</t>
        </is>
      </c>
      <c r="AQ25" s="341" t="inlineStr">
        <is>
          <t>无合规监测</t>
        </is>
      </c>
      <c r="AR25" s="341" t="inlineStr">
        <is>
          <t>无合规执行</t>
        </is>
      </c>
      <c r="AS25" s="341" t="inlineStr">
        <is>
          <t>其他激励或支持</t>
        </is>
      </c>
      <c r="AT25" s="341" t="inlineStr">
        <is>
          <t>主管部门发布绿色技术推广目录及技术说明；组织绿色技术推广对接、宣传和经验交流；引导企业和地方开展入选绿色技术的推广应用。</t>
        </is>
      </c>
      <c r="AU25" s="341" t="inlineStr">
        <is>
          <t>N/A（本工具为技术推广目录，通过引导绿色技术推广应用间接支持减排，无直接可量化的温室气体排放覆盖量）</t>
        </is>
      </c>
      <c r="AV25" s="341" t="inlineStr">
        <is>
          <t>N/A（本工具为间接技术推广工具，无直接的温室气体排放覆盖占比）</t>
        </is>
      </c>
      <c r="AW25" s="341" t="inlineStr">
        <is>
          <t>M72</t>
        </is>
      </c>
      <c r="AX25" s="341" t="inlineStr">
        <is>
          <t>CO2; CH4; N2O</t>
        </is>
      </c>
      <c r="AY25" s="341" t="inlineStr">
        <is>
          <t>正向</t>
        </is>
      </c>
      <c r="AZ25" s="341" t="inlineStr">
        <is>
          <t>技术创新；产业发展；污染防治；资源节约；生态保护</t>
        </is>
      </c>
      <c r="BA25" s="341" t="inlineStr">
        <is>
          <t>关于印发《绿色技术推广目录（2024年版）》的通知（发改环资〔2024〕1812号）</t>
        </is>
      </c>
      <c r="BB25" s="341" t="inlineStr">
        <is>
          <t>https://www.ndrc.gov.cn/xxgk/zcfb/tz/202501/t20250120_1395788.html</t>
        </is>
      </c>
      <c r="BC25" s="341" t="inlineStr">
        <is>
          <t>https://www.ndrc.gov.cn/xxgk/zcfb/tz/202101/t20210108_1264625.html</t>
        </is>
      </c>
      <c r="BD25" s="341" t="inlineStr"/>
      <c r="BE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循环经济；技术创新</t>
        </is>
      </c>
      <c r="L26" s="341" t="inlineStr">
        <is>
          <t>间接</t>
        </is>
      </c>
      <c r="M26" s="341" t="inlineStr">
        <is>
          <t>国家</t>
        </is>
      </c>
      <c r="N26" s="341" t="inlineStr">
        <is>
          <t>N/A</t>
        </is>
      </c>
      <c r="O26" s="341" t="inlineStr">
        <is>
          <t>13/10/2017</t>
        </is>
      </c>
      <c r="P26" s="341" t="inlineStr">
        <is>
          <t>13/10/2017</t>
        </is>
      </c>
      <c r="Q26" s="341" t="inlineStr">
        <is>
          <t>N/A</t>
        </is>
      </c>
      <c r="R26" s="341" t="inlineStr">
        <is>
          <t>10/09/2025</t>
        </is>
      </c>
      <c r="S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T26" s="341">
        <f>IF(P26="","生效",IF(P26="N/A","生效",IF(TODAY()&lt;DATE(VALUE(RIGHT(P26,4)),VALUE(MID(P26,4,2)),VALUE(LEFT(P26,2))),"计划实施",IF(Q26="","生效",IF(Q26="N/A","生效",IF(TODAY()&lt;DATE(VALUE(RIGHT(Q26,4)),VALUE(MID(Q26,4,2)),VALUE(LEFT(Q26,2))),"生效","已终止"))))))</f>
        <v/>
      </c>
      <c r="U26" s="341" t="inlineStr">
        <is>
          <t>工业和信息化部（节能与综合利用司）；国家发展改革委；生态环境部</t>
        </is>
      </c>
      <c r="V26" s="341" t="inlineStr">
        <is>
          <t>工业资源综合利用工艺技术设备（研发与推广成果）</t>
        </is>
      </c>
      <c r="W26" s="341" t="inlineStr">
        <is>
          <t>N/A</t>
        </is>
      </c>
      <c r="X26" s="341" t="inlineStr">
        <is>
          <t>本工具为技术推广目录，推广对象为工业固体废物综合利用、再生资源回收利用等领域先进适用的工艺、技术和设备，不直接监管实体排放资产。</t>
        </is>
      </c>
      <c r="Y26" s="341" t="inlineStr">
        <is>
          <t>N/A</t>
        </is>
      </c>
      <c r="Z26" s="341" t="inlineStr">
        <is>
          <t>N/A</t>
        </is>
      </c>
      <c r="AA26" s="341" t="inlineStr">
        <is>
          <t>企业</t>
        </is>
      </c>
      <c r="AB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C26" s="341" t="inlineStr">
        <is>
          <t>研究与开发</t>
        </is>
      </c>
      <c r="AD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E26" s="341" t="inlineStr">
        <is>
          <t>N/A</t>
        </is>
      </c>
      <c r="AF26" s="341" t="inlineStr">
        <is>
          <t>N/A</t>
        </is>
      </c>
      <c r="AG26" s="341" t="inlineStr">
        <is>
          <t>N/A</t>
        </is>
      </c>
      <c r="AH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I26" s="341" t="inlineStr">
        <is>
          <t>N/A</t>
        </is>
      </c>
      <c r="AJ26" s="341" t="inlineStr">
        <is>
          <t>N/A</t>
        </is>
      </c>
      <c r="AK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L26" s="341" t="inlineStr">
        <is>
          <t>工艺技术设备研发生产企业自愿申报并提供技术设备信息；工业和信息化部（节能与综合利用司）等负责组织评审、汇总和目录发布。</t>
        </is>
      </c>
      <c r="AM26" s="341" t="inlineStr">
        <is>
          <t>工业和信息化部等通过公告和门户网站公开发布目录（政府公开发布）；企业通过目录申报渠道提交申报材料。</t>
        </is>
      </c>
      <c r="AN26" s="341" t="inlineStr">
        <is>
          <t>不定期/约每一至两年更新一版（2017、2019、2021、2023、2025年版）。</t>
        </is>
      </c>
      <c r="AO26" s="341" t="inlineStr">
        <is>
          <t>是（公开）。目录通过工业和信息化部等公告和门户网站向社会全文公开。</t>
        </is>
      </c>
      <c r="AP26" s="341" t="inlineStr">
        <is>
          <t>N/A</t>
        </is>
      </c>
      <c r="AQ26" s="341" t="inlineStr">
        <is>
          <t>无合规监测</t>
        </is>
      </c>
      <c r="AR26" s="341" t="inlineStr">
        <is>
          <t>无合规执行</t>
        </is>
      </c>
      <c r="AS26" s="341" t="inlineStr">
        <is>
          <t>其他激励或支持</t>
        </is>
      </c>
      <c r="AT26" s="341" t="inlineStr">
        <is>
          <t>工业和信息化部等发布目录及工艺技术设备说明；组织工业资源综合利用技术推广对接、案例宣传和经验交流；引导地方和企业开展入选技术设备的推广应用。</t>
        </is>
      </c>
      <c r="AU26" s="341" t="inlineStr">
        <is>
          <t>N/A（本工具为技术推广目录，通过引导工业资源综合利用技术推广应用间接支持减排，无直接可量化的温室气体排放覆盖量）</t>
        </is>
      </c>
      <c r="AV26" s="341" t="inlineStr">
        <is>
          <t>N/A（本工具为间接技术推广工具，无直接的温室气体排放覆盖占比）</t>
        </is>
      </c>
      <c r="AW26" s="341" t="inlineStr">
        <is>
          <t>E38</t>
        </is>
      </c>
      <c r="AX26" s="341" t="inlineStr">
        <is>
          <t>CO2; CH4</t>
        </is>
      </c>
      <c r="AY26" s="341" t="inlineStr">
        <is>
          <t>正向</t>
        </is>
      </c>
      <c r="AZ26" s="341" t="inlineStr">
        <is>
          <t>资源节约；循环经济；污染防治；产业发展</t>
        </is>
      </c>
      <c r="BA26" s="341" t="inlineStr">
        <is>
          <t>工业和信息化部等公告2025年第21号《国家工业资源综合利用先进适用工艺技术设备目录（2025年版）》</t>
        </is>
      </c>
      <c r="BB26" s="341" t="inlineStr">
        <is>
          <t>https://www.miit.gov.cn/zwgk/zcwj/wjfb/gg/art/2025/art_dd99789c9aba4900942418f37c505387.html</t>
        </is>
      </c>
      <c r="BC26" s="341" t="inlineStr">
        <is>
          <t>https://www.miit.gov.cn/jgsj/jns/zhlyh/art/2023/art_169733afb2f647e8adf670927bae6c07.html</t>
        </is>
      </c>
      <c r="BD26" s="341" t="inlineStr"/>
      <c r="BE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能源效率；能源安全；技术创新；电气化</t>
        </is>
      </c>
      <c r="L27" s="341" t="inlineStr">
        <is>
          <t>间接</t>
        </is>
      </c>
      <c r="M27" s="341" t="inlineStr">
        <is>
          <t>国家</t>
        </is>
      </c>
      <c r="N27" s="341" t="inlineStr">
        <is>
          <t>N/A</t>
        </is>
      </c>
      <c r="O27" s="341" t="inlineStr">
        <is>
          <t>07/07/2017</t>
        </is>
      </c>
      <c r="P27" s="341" t="inlineStr">
        <is>
          <t>07/07/2017</t>
        </is>
      </c>
      <c r="Q27" s="341" t="inlineStr">
        <is>
          <t>N/A</t>
        </is>
      </c>
      <c r="R27" s="341" t="inlineStr">
        <is>
          <t>03/06/2024</t>
        </is>
      </c>
      <c r="S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T27" s="341">
        <f>IF(P27="","生效",IF(P27="N/A","生效",IF(TODAY()&lt;DATE(VALUE(RIGHT(P27,4)),VALUE(MID(P27,4,2)),VALUE(LEFT(P27,2))),"计划实施",IF(Q27="","生效",IF(Q27="N/A","生效",IF(TODAY()&lt;DATE(VALUE(RIGHT(Q27,4)),VALUE(MID(Q27,4,2)),VALUE(LEFT(Q27,2))),"生效","已终止"))))))</f>
        <v/>
      </c>
      <c r="U27" s="341" t="inlineStr">
        <is>
          <t>工业和信息化部办公厅（运行监测协调局）</t>
        </is>
      </c>
      <c r="V27" s="341" t="inlineStr">
        <is>
          <t>电力需求侧管理产品与技术（研发与推广成果）</t>
        </is>
      </c>
      <c r="W27" s="341" t="inlineStr">
        <is>
          <t>N/A</t>
        </is>
      </c>
      <c r="X27" s="341" t="inlineStr">
        <is>
          <t>本工具为技术推广目录，推广对象为负荷管理、电能替代、储能、需求响应、电能质量治理、智慧能源等电力需求侧管理产品和技术，不直接监管实体排放资产。</t>
        </is>
      </c>
      <c r="Y27" s="341" t="inlineStr">
        <is>
          <t>N/A</t>
        </is>
      </c>
      <c r="Z27" s="341" t="inlineStr">
        <is>
          <t>N/A</t>
        </is>
      </c>
      <c r="AA27" s="341" t="inlineStr">
        <is>
          <t>企业</t>
        </is>
      </c>
      <c r="AB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C27" s="341" t="inlineStr">
        <is>
          <t>研究与开发</t>
        </is>
      </c>
      <c r="AD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E27" s="341" t="inlineStr">
        <is>
          <t>N/A</t>
        </is>
      </c>
      <c r="AF27" s="341" t="inlineStr">
        <is>
          <t>N/A</t>
        </is>
      </c>
      <c r="AG27" s="341" t="inlineStr">
        <is>
          <t>N/A</t>
        </is>
      </c>
      <c r="AH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I27" s="341" t="inlineStr">
        <is>
          <t>N/A</t>
        </is>
      </c>
      <c r="AJ27" s="341" t="inlineStr">
        <is>
          <t>N/A</t>
        </is>
      </c>
      <c r="AK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L27" s="341" t="inlineStr">
        <is>
          <t>产品（技术）研发生产企业自愿申报并提供产品技术信息；工业和信息化部办公厅（运行监测协调局）负责组织评审、汇总和目录发布。</t>
        </is>
      </c>
      <c r="AM27" s="341" t="inlineStr">
        <is>
          <t>工业和信息化部办公厅通过通知和门户网站公开发布目录（政府公开发布）；企业通过目录申报渠道提交申报材料。</t>
        </is>
      </c>
      <c r="AN27" s="341" t="inlineStr">
        <is>
          <t>按批次发布，约每年组织一次征集（第一批2017年，最新第六批2024年）。</t>
        </is>
      </c>
      <c r="AO27" s="341" t="inlineStr">
        <is>
          <t>是（公开）。目录通过工业和信息化部办公厅通知和门户网站向社会全文公开。</t>
        </is>
      </c>
      <c r="AP27" s="341" t="inlineStr">
        <is>
          <t>N/A</t>
        </is>
      </c>
      <c r="AQ27" s="341" t="inlineStr">
        <is>
          <t>无合规监测</t>
        </is>
      </c>
      <c r="AR27" s="341" t="inlineStr">
        <is>
          <t>无合规执行</t>
        </is>
      </c>
      <c r="AS27" s="341" t="inlineStr">
        <is>
          <t>其他激励或支持</t>
        </is>
      </c>
      <c r="AT27" s="341" t="inlineStr">
        <is>
          <t>工业和信息化部办公厅发布目录及产品技术说明；组织电力需求侧管理技术推广对接、案例宣传和经验交流；引导地方和企业开展入选产品技术的推广应用。</t>
        </is>
      </c>
      <c r="AU27" s="341" t="inlineStr">
        <is>
          <t>N/A（本工具为技术推广目录，通过引导电力需求侧管理产品技术推广应用间接支持减排，无直接可量化的温室气体排放覆盖量）</t>
        </is>
      </c>
      <c r="AV27" s="341" t="inlineStr">
        <is>
          <t>N/A（本工具为间接技术推广工具，无直接的温室气体排放覆盖占比）</t>
        </is>
      </c>
      <c r="AW27" s="341" t="inlineStr">
        <is>
          <t>D35</t>
        </is>
      </c>
      <c r="AX27" s="341" t="inlineStr">
        <is>
          <t>CO2</t>
        </is>
      </c>
      <c r="AY27" s="341" t="inlineStr">
        <is>
          <t>正向</t>
        </is>
      </c>
      <c r="AZ27" s="341" t="inlineStr">
        <is>
          <t>节能；技术创新；能源安全</t>
        </is>
      </c>
      <c r="BA27" s="341" t="inlineStr">
        <is>
          <t>工业和信息化部办公厅关于印发《工业领域电力需求侧管理产品（技术）参考目录（第六批）》的通知（工信厅运行函〔2024〕204号）</t>
        </is>
      </c>
      <c r="BB27" s="341" t="inlineStr">
        <is>
          <t>https://www.miit.gov.cn/zwgk/zcwj/wjfb/tz/art/2024/art_23836d619c814d8587ecfda9cfc6b68e.html</t>
        </is>
      </c>
      <c r="BC27" s="341" t="inlineStr">
        <is>
          <t>https://www.miit.gov.cn/jgsj/yxj/wjfb/art/2020/art_09a11724de154215ae9d5ef81a79ff48.html</t>
        </is>
      </c>
      <c r="BD27" s="341" t="inlineStr"/>
      <c r="BE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国家</t>
        </is>
      </c>
      <c r="N28" s="341" t="inlineStr">
        <is>
          <t>N/A</t>
        </is>
      </c>
      <c r="O28" s="341" t="inlineStr">
        <is>
          <t>26/10/2022</t>
        </is>
      </c>
      <c r="P28" s="341" t="inlineStr">
        <is>
          <t>26/10/2022</t>
        </is>
      </c>
      <c r="Q28" s="341" t="inlineStr">
        <is>
          <t>N/A</t>
        </is>
      </c>
      <c r="R28" s="341" t="inlineStr">
        <is>
          <t>N/A</t>
        </is>
      </c>
      <c r="S28" s="341" t="inlineStr">
        <is>
          <t>N/A</t>
        </is>
      </c>
      <c r="T28" s="341">
        <f>IF(P28="","生效",IF(P28="N/A","生效",IF(TODAY()&lt;DATE(VALUE(RIGHT(P28,4)),VALUE(MID(P28,4,2)),VALUE(LEFT(P28,2))),"计划实施",IF(Q28="","生效",IF(Q28="N/A","生效",IF(TODAY()&lt;DATE(VALUE(RIGHT(Q28,4)),VALUE(MID(Q28,4,2)),VALUE(LEFT(Q28,2))),"生效","已终止"))))))</f>
        <v/>
      </c>
      <c r="U28" s="341" t="inlineStr">
        <is>
          <t>教育部</t>
        </is>
      </c>
      <c r="V28" s="341" t="inlineStr">
        <is>
          <t>国民教育体系（课程、学科与校园建设）</t>
        </is>
      </c>
      <c r="W28" s="341" t="inlineStr">
        <is>
          <t>N/A</t>
        </is>
      </c>
      <c r="X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Y28" s="341" t="inlineStr">
        <is>
          <t>N/A</t>
        </is>
      </c>
      <c r="Z28" s="341" t="inlineStr">
        <is>
          <t>N/A</t>
        </is>
      </c>
      <c r="AA28" s="341" t="inlineStr">
        <is>
          <t>家庭</t>
        </is>
      </c>
      <c r="AB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C28" s="341" t="inlineStr">
        <is>
          <t>生产、发电或转化</t>
        </is>
      </c>
      <c r="AD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E28" s="341" t="inlineStr">
        <is>
          <t>N/A</t>
        </is>
      </c>
      <c r="AF28" s="341" t="inlineStr">
        <is>
          <t>N/A</t>
        </is>
      </c>
      <c r="AG28" s="341" t="inlineStr">
        <is>
          <t>N/A</t>
        </is>
      </c>
      <c r="AH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I28" s="341" t="inlineStr">
        <is>
          <t>N/A</t>
        </is>
      </c>
      <c r="AJ28" s="341" t="inlineStr">
        <is>
          <t>N/A</t>
        </is>
      </c>
      <c r="AK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L28" s="341" t="inlineStr">
        <is>
          <t>教育部负责方案的总体制定和组织协调；各级教育行政部门按照方案要求制定地方实施方案，组织辖区内学校落实，并定期总结和上报工作进展。</t>
        </is>
      </c>
      <c r="AM28" s="341" t="inlineStr">
        <is>
          <t>教育部通过通知和门户网站公开发布方案（政府公开发布）；各级教育行政部门转发方案并组织学校落实。</t>
        </is>
      </c>
      <c r="AN28" s="341" t="inlineStr">
        <is>
          <t>方案设定2025年和2030年两阶段目标，实施过程中按计划推进和总结。</t>
        </is>
      </c>
      <c r="AO28" s="341" t="inlineStr">
        <is>
          <t>是（公开）。方案通过教育部和国务院门户网站向社会全文公开。</t>
        </is>
      </c>
      <c r="AP28" s="341" t="inlineStr">
        <is>
          <t>N/A</t>
        </is>
      </c>
      <c r="AQ28" s="341" t="inlineStr">
        <is>
          <t>无合规监测</t>
        </is>
      </c>
      <c r="AR28" s="341" t="inlineStr">
        <is>
          <t>无合规执行</t>
        </is>
      </c>
      <c r="AS28" s="341" t="inlineStr">
        <is>
          <t>其他激励或支持</t>
        </is>
      </c>
      <c r="AT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U28" s="341" t="inlineStr">
        <is>
          <t>N/A（本工具为教育体系建设方案，通过教育体系系统性地培养绿色低碳理念和碳达峰碳中和专业人才间接支持全社会减排，无直接可量化的温室气体排放覆盖量）</t>
        </is>
      </c>
      <c r="AV28" s="341" t="inlineStr">
        <is>
          <t>N/A（本工具为间接能力建设工具，无直接的温室气体排放覆盖占比）</t>
        </is>
      </c>
      <c r="AW28" s="341" t="inlineStr">
        <is>
          <t>P85</t>
        </is>
      </c>
      <c r="AX28" s="341" t="inlineStr">
        <is>
          <t>CO2; CH4; N2O; HFCs; PFCs; SF6; NF3</t>
        </is>
      </c>
      <c r="AY28" s="341" t="inlineStr">
        <is>
          <t>正向</t>
        </is>
      </c>
      <c r="AZ28" s="341" t="inlineStr">
        <is>
          <t>产业发展；技术创新；资源节约</t>
        </is>
      </c>
      <c r="BA28" s="341" t="inlineStr">
        <is>
          <t>教育部关于印发《绿色低碳发展国民教育体系建设实施方案》的通知（教发〔2022〕2号）</t>
        </is>
      </c>
      <c r="BB28" s="341" t="inlineStr">
        <is>
          <t>https://www.gov.cn/zhengce/zhengceku/2022-11/09/content_5725566.htm</t>
        </is>
      </c>
      <c r="BC28" s="341" t="inlineStr">
        <is>
          <t>N/A</t>
        </is>
      </c>
      <c r="BD28" s="341" t="inlineStr"/>
      <c r="BE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国家</t>
        </is>
      </c>
      <c r="N29" s="341" t="inlineStr">
        <is>
          <t>N/A</t>
        </is>
      </c>
      <c r="O29" s="341" t="inlineStr">
        <is>
          <t>07/09/2016</t>
        </is>
      </c>
      <c r="P29" s="341" t="inlineStr">
        <is>
          <t>07/09/2016</t>
        </is>
      </c>
      <c r="Q29" s="341" t="inlineStr">
        <is>
          <t>N/A</t>
        </is>
      </c>
      <c r="R29" s="341" t="inlineStr">
        <is>
          <t>N/A</t>
        </is>
      </c>
      <c r="S29" s="341" t="inlineStr">
        <is>
          <t>N/A</t>
        </is>
      </c>
      <c r="T29" s="341">
        <f>IF(P29="","生效",IF(P29="N/A","生效",IF(TODAY()&lt;DATE(VALUE(RIGHT(P29,4)),VALUE(MID(P29,4,2)),VALUE(LEFT(P29,2))),"计划实施",IF(Q29="","生效",IF(Q29="N/A","生效",IF(TODAY()&lt;DATE(VALUE(RIGHT(Q29,4)),VALUE(MID(Q29,4,2)),VALUE(LEFT(Q29,2))),"生效","已终止"))))))</f>
        <v/>
      </c>
      <c r="U29" s="341" t="inlineStr">
        <is>
          <t>工业和信息化部（节能与综合利用司）；国家标准化管理委员会；全国绿色制造技术标准化技术委员会（SAC/TC 337，技术归口）</t>
        </is>
      </c>
      <c r="V29" s="341" t="inlineStr">
        <is>
          <t>绿色制造标准体系（标准/信息基础设施）</t>
        </is>
      </c>
      <c r="W29" s="341" t="inlineStr">
        <is>
          <t>新建</t>
        </is>
      </c>
      <c r="X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Y29" s="341" t="inlineStr">
        <is>
          <t>N/A</t>
        </is>
      </c>
      <c r="Z29" s="341" t="inlineStr">
        <is>
          <t>N/A</t>
        </is>
      </c>
      <c r="AA29" s="341" t="inlineStr">
        <is>
          <t>企业；政府</t>
        </is>
      </c>
      <c r="AB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C29" s="341" t="inlineStr">
        <is>
          <t>研究与开发</t>
        </is>
      </c>
      <c r="AD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E29" s="341" t="inlineStr">
        <is>
          <t>N/A</t>
        </is>
      </c>
      <c r="AF29" s="341" t="inlineStr">
        <is>
          <t>N/A</t>
        </is>
      </c>
      <c r="AG29" s="341" t="inlineStr">
        <is>
          <t>N/A</t>
        </is>
      </c>
      <c r="AH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I29" s="341" t="inlineStr">
        <is>
          <t>N/A</t>
        </is>
      </c>
      <c r="AJ29" s="341" t="inlineStr">
        <is>
          <t>N/A</t>
        </is>
      </c>
      <c r="AK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L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M29" s="341" t="inlineStr">
        <is>
          <t>标准体系建设指南通过工业和信息化部网站和政府公报发布；已制定发布的标准通过全国标准信息公共服务平台和全国标准全文公开系统向社会公开。</t>
        </is>
      </c>
      <c r="AN29" s="341" t="inlineStr">
        <is>
          <t>标准体系按建设目标分阶段推进（2020年、2025年目标）；具体标准按标准化工作程序持续制修订。</t>
        </is>
      </c>
      <c r="AO29" s="341" t="inlineStr">
        <is>
          <t>是（公开）。标准体系建设指南全文通过工业和信息化部网站公开发布。已发布的国家标准和行业标准文本通过全国标准信息公共服务平台和全国标准全文公开系统向社会公开。</t>
        </is>
      </c>
      <c r="AP29" s="341" t="inlineStr">
        <is>
          <t>N/A</t>
        </is>
      </c>
      <c r="AQ29" s="341" t="inlineStr">
        <is>
          <t>无合规监测</t>
        </is>
      </c>
      <c r="AR29" s="341" t="inlineStr">
        <is>
          <t>无合规执行</t>
        </is>
      </c>
      <c r="AS29" s="341" t="inlineStr">
        <is>
          <t>其他激励或支持</t>
        </is>
      </c>
      <c r="AT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U29" s="341" t="inlineStr">
        <is>
          <t>N/A（本工具为标准体系规划，通过构建绿色制造技术标准基础、引导和规范制造业绿色低碳转型间接促进温室气体减排，无直接可量化的排放覆盖量）</t>
        </is>
      </c>
      <c r="AV29" s="341" t="inlineStr">
        <is>
          <t>N/A（本工具为间接能力建设工具，无直接的温室气体排放覆盖占比）</t>
        </is>
      </c>
      <c r="AW29" s="341" t="inlineStr">
        <is>
          <t>C10; C11; C12; C13; C14; C15; C16; C17; C18; C19; C20; C21; C22; C23; C24; C25; C26; C27; C28; C29; C30; C31; C32; C33</t>
        </is>
      </c>
      <c r="AX29" s="341" t="inlineStr">
        <is>
          <t>CO2; CH4; N2O; HFCs; PFCs; SF6; NF3</t>
        </is>
      </c>
      <c r="AY29" s="341" t="inlineStr">
        <is>
          <t>正向</t>
        </is>
      </c>
      <c r="AZ29" s="341" t="inlineStr">
        <is>
          <t>产业发展；技术创新；节能；污染防治；资源节约；循环经济</t>
        </is>
      </c>
      <c r="BA29" s="341" t="inlineStr">
        <is>
          <t>工业和信息化部 国家标准化管理委员会关于印发《绿色制造标准体系建设指南》的通知（工信部联节〔2016〕304号）</t>
        </is>
      </c>
      <c r="BB29" s="341" t="inlineStr">
        <is>
          <t>https://www.miit.gov.cn/jgsj/jns/wjfb/art/2020/art_d364c0664fc04535addaeb550cd45f76.html</t>
        </is>
      </c>
      <c r="BC29" s="341" t="inlineStr">
        <is>
          <t>https://www.gov.cn/xinwen/2016-09/29/content_5113568.htm；https://std.samr.gov.cn/（全国标准信息公共服务平台）</t>
        </is>
      </c>
      <c r="BD29" s="341" t="inlineStr"/>
      <c r="BE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减缓气候变化</t>
        </is>
      </c>
      <c r="L30" s="341" t="inlineStr">
        <is>
          <t>直接</t>
        </is>
      </c>
      <c r="M30" s="341" t="inlineStr">
        <is>
          <t>国家</t>
        </is>
      </c>
      <c r="N30" s="341" t="inlineStr">
        <is>
          <t>N/A</t>
        </is>
      </c>
      <c r="O30" s="341" t="inlineStr">
        <is>
          <t>19/09/2023</t>
        </is>
      </c>
      <c r="P30" s="341" t="inlineStr">
        <is>
          <t>19/09/2023</t>
        </is>
      </c>
      <c r="Q30" s="341" t="inlineStr">
        <is>
          <t>N/A</t>
        </is>
      </c>
      <c r="R30" s="341" t="inlineStr">
        <is>
          <t>N/A</t>
        </is>
      </c>
      <c r="S30" s="341" t="inlineStr">
        <is>
          <t>N/A</t>
        </is>
      </c>
      <c r="T30" s="341">
        <f>IF(P30="","生效",IF(P30="N/A","生效",IF(TODAY()&lt;DATE(VALUE(RIGHT(P30,4)),VALUE(MID(P30,4,2)),VALUE(LEFT(P30,2))),"计划实施",IF(Q30="","生效",IF(Q30="N/A","生效",IF(TODAY()&lt;DATE(VALUE(RIGHT(Q30,4)),VALUE(MID(Q30,4,2)),VALUE(LEFT(Q30,2))),"生效","已终止"))))))</f>
        <v/>
      </c>
      <c r="U30" s="341" t="inlineStr">
        <is>
          <t>人力资源和社会保障部；生态环境部</t>
        </is>
      </c>
      <c r="V30" s="341" t="inlineStr">
        <is>
          <t>碳排放管理员职业标准与技能等级（人力资源建设）</t>
        </is>
      </c>
      <c r="W30" s="341" t="inlineStr">
        <is>
          <t>N/A</t>
        </is>
      </c>
      <c r="X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Y30" s="341" t="inlineStr">
        <is>
          <t>N/A</t>
        </is>
      </c>
      <c r="Z30" s="341" t="inlineStr">
        <is>
          <t>N/A</t>
        </is>
      </c>
      <c r="AA30" s="341" t="inlineStr">
        <is>
          <t>家庭</t>
        </is>
      </c>
      <c r="AB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C30" s="341" t="inlineStr">
        <is>
          <t>注册、许可及行政管理</t>
        </is>
      </c>
      <c r="AD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E30" s="341" t="inlineStr">
        <is>
          <t>N/A</t>
        </is>
      </c>
      <c r="AF30" s="341" t="inlineStr">
        <is>
          <t>N/A</t>
        </is>
      </c>
      <c r="AG30" s="341" t="inlineStr">
        <is>
          <t>N/A</t>
        </is>
      </c>
      <c r="AH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I30" s="341" t="inlineStr">
        <is>
          <t>N/A</t>
        </is>
      </c>
      <c r="AJ30" s="341" t="inlineStr">
        <is>
          <t>N/A</t>
        </is>
      </c>
      <c r="AK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L30" s="341" t="inlineStr">
        <is>
          <t>人力资源和社会保障部会同生态环境部负责标准的研究编制、颁布和修订；职业技能等级认定评价机构依据标准对从业人员实施考核和认定。</t>
        </is>
      </c>
      <c r="AM30" s="341" t="inlineStr">
        <is>
          <t>人力资源和社会保障部通过官网公开发布标准全文（政府公开发布）；职业技能等级认定评价机构依据标准发布培训和考核相关信息。</t>
        </is>
      </c>
      <c r="AN30" s="341" t="inlineStr">
        <is>
          <t>不定期修订更新（首次颁布为2023年版）。</t>
        </is>
      </c>
      <c r="AO30" s="341" t="inlineStr">
        <is>
          <t>是（公开）。标准通过人力资源和社会保障部官网向社会全文公开。</t>
        </is>
      </c>
      <c r="AP30" s="341" t="inlineStr">
        <is>
          <t>N/A</t>
        </is>
      </c>
      <c r="AQ30" s="341" t="inlineStr">
        <is>
          <t>无合规监测</t>
        </is>
      </c>
      <c r="AR30" s="341" t="inlineStr">
        <is>
          <t>无合规执行</t>
        </is>
      </c>
      <c r="AS30" s="341" t="inlineStr">
        <is>
          <t>其他激励或支持</t>
        </is>
      </c>
      <c r="AT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U30" s="341" t="inlineStr">
        <is>
          <t>N/A（本工具为职业资格标准，通过规范碳排放管理从业人员技能水平间接支持温室气体排放的监测、核算、核查和管理，无直接可量化的温室气体排放覆盖量）</t>
        </is>
      </c>
      <c r="AV30" s="341" t="inlineStr">
        <is>
          <t>N/A（本工具为间接能力建设工具，无直接的温室气体排放覆盖占比）</t>
        </is>
      </c>
      <c r="AW30" s="341" t="inlineStr">
        <is>
          <t>P85</t>
        </is>
      </c>
      <c r="AX30" s="341" t="inlineStr">
        <is>
          <t>CO2; CH4; N2O; HFCs; PFCs; SF6; NF3</t>
        </is>
      </c>
      <c r="AY30" s="341" t="inlineStr">
        <is>
          <t>正向</t>
        </is>
      </c>
      <c r="AZ30" s="341" t="inlineStr">
        <is>
          <t>产业发展；技术创新</t>
        </is>
      </c>
      <c r="BA30" s="341" t="inlineStr">
        <is>
          <t>人力资源社会保障部办公厅 生态环境部办公厅关于颁布碳排放管理员国家职业标准的通知（人社厅发〔2023〕40号）</t>
        </is>
      </c>
      <c r="BB30" s="341" t="inlineStr">
        <is>
          <t>https://www.mohrss.gov.cn/xxgk2020/fdzdgknr/rcrs_4225/jnrc/202312/t20231205_510006.html</t>
        </is>
      </c>
      <c r="BC30" s="341" t="inlineStr">
        <is>
          <t>N/A</t>
        </is>
      </c>
      <c r="BD30" s="341" t="inlineStr"/>
      <c r="BE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国家</t>
        </is>
      </c>
      <c r="N31" s="341" t="inlineStr">
        <is>
          <t>N/A</t>
        </is>
      </c>
      <c r="O31" s="341" t="inlineStr">
        <is>
          <t>19/01/2024</t>
        </is>
      </c>
      <c r="P31" s="341" t="inlineStr">
        <is>
          <t>19/01/2024</t>
        </is>
      </c>
      <c r="Q31" s="341" t="inlineStr">
        <is>
          <t>N/A</t>
        </is>
      </c>
      <c r="R31" s="341" t="inlineStr">
        <is>
          <t>N/A</t>
        </is>
      </c>
      <c r="S31" s="341" t="inlineStr">
        <is>
          <t>N/A</t>
        </is>
      </c>
      <c r="T31" s="341">
        <f>IF(P31="","生效",IF(P31="N/A","生效",IF(TODAY()&lt;DATE(VALUE(RIGHT(P31,4)),VALUE(MID(P31,4,2)),VALUE(LEFT(P31,2))),"计划实施",IF(Q31="","生效",IF(Q31="N/A","生效",IF(TODAY()&lt;DATE(VALUE(RIGHT(Q31,4)),VALUE(MID(Q31,4,2)),VALUE(LEFT(Q31,2))),"生效","已终止"))))))</f>
        <v/>
      </c>
      <c r="U31" s="341" t="inlineStr">
        <is>
          <t>工业和信息化部（节能与综合利用司）</t>
        </is>
      </c>
      <c r="V31" s="341" t="inlineStr">
        <is>
          <t>绿色工厂（制造业生产设施）</t>
        </is>
      </c>
      <c r="W31" s="341" t="inlineStr">
        <is>
          <t>新建；既有</t>
        </is>
      </c>
      <c r="X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Y31" s="341" t="inlineStr">
        <is>
          <t>N/A</t>
        </is>
      </c>
      <c r="Z31" s="341" t="inlineStr">
        <is>
          <t>N/A</t>
        </is>
      </c>
      <c r="AA31" s="341" t="inlineStr">
        <is>
          <t>企业</t>
        </is>
      </c>
      <c r="AB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C31" s="341" t="inlineStr">
        <is>
          <t>生产</t>
        </is>
      </c>
      <c r="AD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E31" s="341" t="inlineStr">
        <is>
          <t>N/A</t>
        </is>
      </c>
      <c r="AF31" s="341" t="inlineStr">
        <is>
          <t>N/A</t>
        </is>
      </c>
      <c r="AG31" s="341" t="inlineStr">
        <is>
          <t>N/A</t>
        </is>
      </c>
      <c r="AH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I31" s="341" t="inlineStr">
        <is>
          <t>N/A</t>
        </is>
      </c>
      <c r="AJ31" s="341" t="inlineStr">
        <is>
          <t>N/A</t>
        </is>
      </c>
      <c r="AK31" s="341" t="inlineStr">
        <is>
          <t>与绿色工厂评价通则（GB/T 36132-2025）、绿色工业园区评价通则等标准衔接；与绿色供应链管理、绿色设计产品认定、绿色公共采购、绿色金融等政策协同，将绿色工厂纳入相关支持政策优先对象。</t>
        </is>
      </c>
      <c r="AL31" s="341" t="inlineStr">
        <is>
          <t>工业和信息化部（节能与综合利用司）负责制定管理办法、组织国家级绿色工厂的遴选认定和动态管理；省级和市级工业和信息化主管部门负责本辖区绿色工厂的培育、推荐和日常管理。</t>
        </is>
      </c>
      <c r="AM31" s="341" t="inlineStr">
        <is>
          <t>工业和信息化部通过通知和门户网站公开发布办法、年度推荐通知和绿色工厂名单（政府公开发布）；企业通过“工业节能与绿色发展管理平台”（https://green.miit.gov.cn）在线申报和填报动态管理表。</t>
        </is>
      </c>
      <c r="AN31" s="341" t="inlineStr">
        <is>
          <t>每年7月31日前省级推荐至国家；每年4月15日前已认定企业填报动态管理表；年度发布绿色工厂推荐通知和名单。</t>
        </is>
      </c>
      <c r="AO31" s="341" t="inlineStr">
        <is>
          <t>是（公开）。绿色工厂名单和管理办法通过工业和信息化部门户网站向社会公开。</t>
        </is>
      </c>
      <c r="AP31" s="341" t="inlineStr">
        <is>
          <t>N/A</t>
        </is>
      </c>
      <c r="AQ31" s="341" t="inlineStr">
        <is>
          <t>无合规监测</t>
        </is>
      </c>
      <c r="AR31" s="341" t="inlineStr">
        <is>
          <t>无合规执行</t>
        </is>
      </c>
      <c r="AS31" s="341" t="inlineStr">
        <is>
          <t>其他激励或支持</t>
        </is>
      </c>
      <c r="AT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U31" s="341" t="inlineStr">
        <is>
          <t>N/A（本工具为能力建设计划，通过引导企业创建绿色工厂提升能效和减少排放间接支持工业领域温室气体减排，无直接可量化的排放覆盖量）</t>
        </is>
      </c>
      <c r="AV31" s="341" t="inlineStr">
        <is>
          <t>N/A（本工具为间接能力建设工具，无直接的温室气体排放覆盖占比）</t>
        </is>
      </c>
      <c r="AW31" s="341" t="inlineStr">
        <is>
          <t>C10; C11; C12; C13; C14; C15; C16; C17; C18; C19; C20; C21; C22; C23; C24; C25; C26; C27; C28; C29; C30; C31; C32; C33</t>
        </is>
      </c>
      <c r="AX31" s="341" t="inlineStr">
        <is>
          <t>CO2; CH4; N2O</t>
        </is>
      </c>
      <c r="AY31" s="341" t="inlineStr">
        <is>
          <t>正向</t>
        </is>
      </c>
      <c r="AZ31" s="341" t="inlineStr">
        <is>
          <t>产业发展；资源节约；污染防治；循环经济</t>
        </is>
      </c>
      <c r="BA31" s="341" t="inlineStr">
        <is>
          <t>工业和信息化部关于印发《绿色工厂梯度培育及管理暂行办法》的通知（工信部节〔2024〕13号）</t>
        </is>
      </c>
      <c r="BB31" s="341" t="inlineStr">
        <is>
          <t>https://www.gov.cn/zhengce/zhengceku/202401/content_6929104.htm</t>
        </is>
      </c>
      <c r="BC31" s="341" t="inlineStr">
        <is>
          <t>https://www.miit.gov.cn/jgsj/jns/gzdt/art/2026/art_ff0367abfedd4a4d86d56599878d2ff3.html</t>
        </is>
      </c>
      <c r="BD31" s="341" t="inlineStr"/>
      <c r="BE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国家</t>
        </is>
      </c>
      <c r="N32" s="341" t="inlineStr">
        <is>
          <t>N/A</t>
        </is>
      </c>
      <c r="O32" s="341" t="inlineStr">
        <is>
          <t>04/06/2018</t>
        </is>
      </c>
      <c r="P32" s="341" t="inlineStr">
        <is>
          <t>05/06/2018</t>
        </is>
      </c>
      <c r="Q32" s="341" t="inlineStr">
        <is>
          <t>N/A</t>
        </is>
      </c>
      <c r="R32" s="341" t="inlineStr">
        <is>
          <t>31/05/2023</t>
        </is>
      </c>
      <c r="S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T32" s="341">
        <f>IF(P32="","生效",IF(P32="N/A","生效",IF(TODAY()&lt;DATE(VALUE(RIGHT(P32,4)),VALUE(MID(P32,4,2)),VALUE(LEFT(P32,2))),"计划实施",IF(Q32="","生效",IF(Q32="N/A","生效",IF(TODAY()&lt;DATE(VALUE(RIGHT(Q32,4)),VALUE(MID(Q32,4,2)),VALUE(LEFT(Q32,2))),"生效","已终止"))))))</f>
        <v/>
      </c>
      <c r="U32" s="341" t="inlineStr">
        <is>
          <t>生态环境部；中央精神文明建设办公室；教育部；共青团中央；全国妇联</t>
        </is>
      </c>
      <c r="V32" s="341" t="inlineStr">
        <is>
          <t>公众环境意识与行为规范（行为倡导）</t>
        </is>
      </c>
      <c r="W32" s="341" t="inlineStr">
        <is>
          <t>N/A</t>
        </is>
      </c>
      <c r="X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Y32" s="341" t="inlineStr">
        <is>
          <t>N/A</t>
        </is>
      </c>
      <c r="Z32" s="341" t="inlineStr">
        <is>
          <t>N/A</t>
        </is>
      </c>
      <c r="AA32" s="341" t="inlineStr">
        <is>
          <t>家庭</t>
        </is>
      </c>
      <c r="AB32" s="341" t="inlineStr">
        <is>
          <t>全体公民个人和家庭。规范面向全社会成员，倡导每一位公民在日常生产生活中自觉遵守生态环境保护行为规范。参与为自愿性质，通过倡导和指导引导行为改变，不设强制性合规义务和处罚。</t>
        </is>
      </c>
      <c r="AC32" s="341" t="inlineStr">
        <is>
          <t>消费与使用</t>
        </is>
      </c>
      <c r="AD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E32" s="341" t="inlineStr">
        <is>
          <t>N/A</t>
        </is>
      </c>
      <c r="AF32" s="341" t="inlineStr">
        <is>
          <t>N/A</t>
        </is>
      </c>
      <c r="AG32" s="341" t="inlineStr">
        <is>
          <t>N/A</t>
        </is>
      </c>
      <c r="AH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I32" s="341" t="inlineStr">
        <is>
          <t>N/A</t>
        </is>
      </c>
      <c r="AJ32" s="341" t="inlineStr">
        <is>
          <t>N/A</t>
        </is>
      </c>
      <c r="AK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L32" s="341" t="inlineStr">
        <is>
          <t>生态环境部（宣传教育司）会同中央精神文明建设办公室、教育部、共青团中央、全国妇联负责规范的研究编制、修订更新和宣传推广。</t>
        </is>
      </c>
      <c r="AM32" s="341" t="inlineStr">
        <is>
          <t>五部门通过正式公告和门户网站公开发布规范（政府公开发布）；通过新闻发布会、媒体报道、公益广告、新媒体等多渠道向社会广泛传播；联合各地相关部门和机构组织开展宣传教育推广活动。</t>
        </is>
      </c>
      <c r="AN32" s="341" t="inlineStr">
        <is>
          <t>不定期修订更新。首次发布于2018年（试行），2023年正式修订发布。</t>
        </is>
      </c>
      <c r="AO32" s="341" t="inlineStr">
        <is>
          <t>是（公开）。规范通过生态环境部和联合发布部门的门户网站向社会全文公开。</t>
        </is>
      </c>
      <c r="AP32" s="341" t="inlineStr">
        <is>
          <t>N/A</t>
        </is>
      </c>
      <c r="AQ32" s="341" t="inlineStr">
        <is>
          <t>无合规监测</t>
        </is>
      </c>
      <c r="AR32" s="341" t="inlineStr">
        <is>
          <t>无合规执行</t>
        </is>
      </c>
      <c r="AS32" s="341" t="inlineStr">
        <is>
          <t>其他激励或支持</t>
        </is>
      </c>
      <c r="AT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U32" s="341" t="inlineStr">
        <is>
          <t>N/A（本工具为公民行为规范类工具，通过倡导绿色低碳生活方式间接促进减排，无直接可量化的温室气体排放覆盖量）</t>
        </is>
      </c>
      <c r="AV32" s="341" t="inlineStr">
        <is>
          <t>N/A（本工具为间接行为倡导工具，无直接的温室气体排放覆盖占比）</t>
        </is>
      </c>
      <c r="AW32" s="341" t="inlineStr">
        <is>
          <t>M72</t>
        </is>
      </c>
      <c r="AX32" s="341" t="inlineStr">
        <is>
          <t>CO2; CH4; N2O</t>
        </is>
      </c>
      <c r="AY32" s="341" t="inlineStr">
        <is>
          <t>正向</t>
        </is>
      </c>
      <c r="AZ32" s="341" t="inlineStr">
        <is>
          <t>产业发展；污染防治；资源节约；循环经济；生态保护；公众健康</t>
        </is>
      </c>
      <c r="BA32" s="341" t="inlineStr">
        <is>
          <t>生态环境部 中央精神文明建设办公室 教育部 共青团中央 全国妇联关于发布《公民生态环境行为规范十条》的公告（公告2023年第17号）</t>
        </is>
      </c>
      <c r="BB32" s="341" t="inlineStr">
        <is>
          <t>https://www.mee.gov.cn/xxgk2018/xxgk/xxgk01/202306/t20230605_1032476.html</t>
        </is>
      </c>
      <c r="BC32" s="341" t="inlineStr">
        <is>
          <t>https://www.mee.gov.cn/xxgk2018/xxgk/xxgk01/201806/t20180605_629588.html</t>
        </is>
      </c>
      <c r="BD32" s="341" t="inlineStr"/>
      <c r="BE32" s="341" t="inlineStr"/>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topLeftCell="X1" workbookViewId="0">
      <selection activeCell="AO25" sqref="AO25"/>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452" t="inlineStr">
        <is>
          <t>政策规制基础与强度</t>
        </is>
      </c>
      <c r="W1" s="329" t="n"/>
      <c r="X1" s="329" t="n"/>
      <c r="Y1" s="329" t="n"/>
      <c r="Z1" s="329" t="n"/>
      <c r="AA1" s="329" t="n"/>
      <c r="AB1" s="329" t="n"/>
      <c r="AC1" s="329" t="n"/>
      <c r="AD1" s="329" t="n"/>
      <c r="AE1" s="329" t="n"/>
      <c r="AF1" s="329" t="n"/>
      <c r="AG1" s="329" t="n"/>
      <c r="AH1" s="329" t="n"/>
      <c r="AI1" s="329" t="n"/>
      <c r="AJ1" s="329" t="n"/>
      <c r="AK1" s="441" t="inlineStr">
        <is>
          <t>工具特定属性</t>
        </is>
      </c>
      <c r="AL1" s="329" t="n"/>
      <c r="AM1" s="329" t="n"/>
      <c r="AN1" s="453" t="inlineStr">
        <is>
          <t>温室气体排放基础</t>
        </is>
      </c>
      <c r="AO1" s="331" t="n"/>
      <c r="AP1" s="443" t="inlineStr">
        <is>
          <t>分类与指标</t>
        </is>
      </c>
      <c r="AQ1" s="329" t="n"/>
      <c r="AR1" s="329" t="n"/>
      <c r="AS1" s="329" t="n"/>
      <c r="AT1" s="451" t="inlineStr">
        <is>
          <t>立法参考</t>
        </is>
      </c>
      <c r="AU1" s="329" t="n"/>
      <c r="AV1" s="329" t="n"/>
      <c r="AW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参与激励</t>
        </is>
      </c>
      <c r="AL2" s="336" t="inlineStr">
        <is>
          <t>监测</t>
        </is>
      </c>
      <c r="AM2" s="336" t="inlineStr">
        <is>
          <t>违规制裁</t>
        </is>
      </c>
      <c r="AN2" s="340" t="inlineStr">
        <is>
          <t>温室气体排放覆盖（绝对量）</t>
        </is>
      </c>
      <c r="AO2" s="340" t="inlineStr">
        <is>
          <t>温室气体排放覆盖（占国内排放百分比）</t>
        </is>
      </c>
      <c r="AP2" s="335" t="inlineStr">
        <is>
          <t>经济行业</t>
        </is>
      </c>
      <c r="AQ2" s="335" t="inlineStr">
        <is>
          <t>受影响的温室气体</t>
        </is>
      </c>
      <c r="AR2" s="335" t="inlineStr">
        <is>
          <t>减缓效果</t>
        </is>
      </c>
      <c r="AS2" s="335" t="inlineStr">
        <is>
          <t>减缓协同效益</t>
        </is>
      </c>
      <c r="AT2" s="337" t="inlineStr">
        <is>
          <t>法律文件名称</t>
        </is>
      </c>
      <c r="AU2" s="337" t="inlineStr">
        <is>
          <t>法律文件链接</t>
        </is>
      </c>
      <c r="AV2" s="337" t="inlineStr">
        <is>
          <t>其他网页链接</t>
        </is>
      </c>
      <c r="AW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国家</t>
        </is>
      </c>
      <c r="N3" s="341" t="inlineStr">
        <is>
          <t>N/A</t>
        </is>
      </c>
      <c r="O3" s="341" t="inlineStr">
        <is>
          <t>13/06/2012</t>
        </is>
      </c>
      <c r="P3" s="341" t="inlineStr">
        <is>
          <t>13/06/2012</t>
        </is>
      </c>
      <c r="Q3" s="341" t="inlineStr">
        <is>
          <t>N/A</t>
        </is>
      </c>
      <c r="R3" s="341" t="inlineStr">
        <is>
          <t>19/10/2023</t>
        </is>
      </c>
      <c r="S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T3" s="341">
        <f>IF(P3="","生效",IF(P3="N/A","生效",IF(TODAY()&lt;DATE(VALUE(RIGHT(P3,4)),VALUE(MID(P3,4,2)),VALUE(LEFT(P3,2))),"计划实施",IF(Q3="","生效",IF(Q3="N/A","生效",IF(TODAY()&lt;DATE(VALUE(RIGHT(Q3,4)),VALUE(MID(Q3,4,2)),VALUE(LEFT(Q3,2))),"生效","已终止"))))))</f>
        <v/>
      </c>
      <c r="U3" s="341" t="inlineStr">
        <is>
          <t>生态环境部（应对气候变化司，统筹监管与方法学制定）；国家市场监督管理总局（审定与核查机构监管）；国家应对气候变化战略研究和国际合作中心（注册登记机构）；北京绿色交易所（交易机构）</t>
        </is>
      </c>
      <c r="V3" s="341" t="inlineStr">
        <is>
          <t>核证自愿减排量（CCER）/碳信用交易市场基础设施</t>
        </is>
      </c>
      <c r="W3" s="341" t="inlineStr">
        <is>
          <t>新建</t>
        </is>
      </c>
      <c r="X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Y3" s="341" t="inlineStr">
        <is>
          <t>N/A</t>
        </is>
      </c>
      <c r="Z3" s="341" t="inlineStr">
        <is>
          <t>N/A</t>
        </is>
      </c>
      <c r="AA3" s="341" t="inlineStr">
        <is>
          <t>企业</t>
        </is>
      </c>
      <c r="AB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C3" s="341" t="inlineStr">
        <is>
          <t>注册、许可及行政管理；融资与投资；减排或预防</t>
        </is>
      </c>
      <c r="AD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E3" s="341" t="inlineStr">
        <is>
          <t>70.76</t>
        </is>
      </c>
      <c r="AF3" s="341" t="inlineStr">
        <is>
          <t>元/吨</t>
        </is>
      </c>
      <c r="AG3" s="341" t="inlineStr">
        <is>
          <t>2025年全国CCER综合交易均价（来源：北京绿色交易所）。2025年全年成交量884.41万吨，成交额6.26亿元。</t>
        </is>
      </c>
      <c r="AH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I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J3" s="341" t="inlineStr">
        <is>
          <t>N/A（各方法学仅规定一种核算方法）</t>
        </is>
      </c>
      <c r="AK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L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M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N3" s="341" t="inlineStr">
        <is>
          <t>截至2025年底，累计登记减排量1776.37万吨CO₂e，累计成交量921.94万吨（来源：生态环境部/北京绿色交易所）。2025年全年成交量884.41万吨，成交额6.26亿元。</t>
        </is>
      </c>
      <c r="AO3" s="341" t="inlineStr">
        <is>
          <t>N/A（本工具为全国性碳信用交易市场，覆盖多行业自愿减排项目，无单一国内排放占比口径）</t>
        </is>
      </c>
      <c r="AP3" s="341" t="inlineStr">
        <is>
          <t>A01; A02; B05; B06; D35; F41</t>
        </is>
      </c>
      <c r="AQ3" s="341" t="inlineStr">
        <is>
          <t>CO2; CH4; SF6; HFCs</t>
        </is>
      </c>
      <c r="AR3" s="341" t="inlineStr">
        <is>
          <t>正向</t>
        </is>
      </c>
      <c r="AS3" s="341" t="inlineStr">
        <is>
          <t>可再生能源发展；技术创新；生态保护；产业发展；资源节约；污染防治；能源安全；生物多样性保护；适应气候变化</t>
        </is>
      </c>
      <c r="AT3" s="341" t="inlineStr">
        <is>
          <t>《温室气体自愿减排交易管理办法（试行）》（生态环境部 国家市场监督管理总局令第31号，2023年10月19日公布并施行）</t>
        </is>
      </c>
      <c r="AU3" s="341" t="inlineStr">
        <is>
          <t>https://www.mee.gov.cn/xxgk2018/xxgk/xxgk02/202310/t20231020_1043694.html</t>
        </is>
      </c>
      <c r="AV3" s="341" t="inlineStr">
        <is>
          <t>https://www.mee.gov.cn/ywgz/ydqhbh/wsqtkz/202310/t20231025_1043940.shtml（方法学发布页面）；https://www.cets.org.cn/（全国碳市场信息网）</t>
        </is>
      </c>
      <c r="AW3" s="341" t="inlineStr"/>
    </row>
    <row r="4">
      <c r="A4" s="430" t="inlineStr">
        <is>
          <t>CHNVTSVCMI01S001</t>
        </is>
      </c>
      <c r="B4" s="430" t="inlineStr">
        <is>
          <t>子方案</t>
        </is>
      </c>
      <c r="C4" s="430" t="inlineStr">
        <is>
          <t>自愿交易体系</t>
        </is>
      </c>
      <c r="D4" s="430" t="inlineStr">
        <is>
          <t>自愿碳市场</t>
        </is>
      </c>
      <c r="E4" s="430" t="inlineStr">
        <is>
          <t>农业、林业和其他土地利用</t>
        </is>
      </c>
      <c r="F4" s="430" t="inlineStr">
        <is>
          <t>林业碳汇</t>
        </is>
      </c>
      <c r="G4" s="430" t="inlineStr">
        <is>
          <t>造林碳汇（CCER-14-001-V01）</t>
        </is>
      </c>
      <c r="H4" s="430" t="inlineStr">
        <is>
          <t>Afforestation Carbon Sink (CCER-14-001-V01)</t>
        </is>
      </c>
      <c r="I4" s="430" t="inlineStr">
        <is>
          <t>N/A</t>
        </is>
      </c>
      <c r="J4" s="430"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430" t="inlineStr">
        <is>
          <t>减缓气候变化</t>
        </is>
      </c>
      <c r="L4" s="430" t="inlineStr">
        <is>
          <t>直接</t>
        </is>
      </c>
      <c r="M4" s="430" t="inlineStr">
        <is>
          <t>国家</t>
        </is>
      </c>
      <c r="N4" s="430" t="inlineStr">
        <is>
          <t>N/A</t>
        </is>
      </c>
      <c r="O4" s="430" t="inlineStr">
        <is>
          <t>24/10/2023</t>
        </is>
      </c>
      <c r="P4" s="430" t="inlineStr">
        <is>
          <t>24/10/2023</t>
        </is>
      </c>
      <c r="Q4" s="430" t="inlineStr">
        <is>
          <t>N/A</t>
        </is>
      </c>
      <c r="R4" s="430" t="inlineStr">
        <is>
          <t>N/A</t>
        </is>
      </c>
      <c r="S4" s="430" t="inlineStr">
        <is>
          <t>N/A（2026年6月发布修订征求意见稿，尚未正式修订）</t>
        </is>
      </c>
      <c r="T4" s="430">
        <f>IF(P4="","生效",IF(P4="N/A","生效",IF(TODAY()&lt;DATE(VALUE(RIGHT(P4,4)),VALUE(MID(P4,4,2)),VALUE(LEFT(P4,2))),"计划实施",IF(Q4="","生效",IF(Q4="N/A","生效",IF(TODAY()&lt;DATE(VALUE(RIGHT(Q4,4)),VALUE(MID(Q4,4,2)),VALUE(LEFT(Q4,2))),"生效","已终止"))))))</f>
        <v/>
      </c>
      <c r="U4" s="430" t="inlineStr">
        <is>
          <t>生态环境部（应对气候变化司）</t>
        </is>
      </c>
      <c r="V4" s="430" t="inlineStr">
        <is>
          <t>造林碳汇项目/核证自愿减排量（CCER）</t>
        </is>
      </c>
      <c r="W4" s="430" t="inlineStr">
        <is>
          <t>新建</t>
        </is>
      </c>
      <c r="X4" s="430"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Y4" s="430" t="inlineStr">
        <is>
          <t>N/A</t>
        </is>
      </c>
      <c r="Z4" s="430" t="inlineStr">
        <is>
          <t>N/A</t>
        </is>
      </c>
      <c r="AA4" s="430" t="inlineStr">
        <is>
          <t>企业</t>
        </is>
      </c>
      <c r="AB4" s="430" t="inlineStr">
        <is>
          <t>在中国境内依法成立、拥有或管理符合方法学要求造林用地的法人或其他组织，可自愿依据方法学开发造林碳汇项目并申请CCER登记。</t>
        </is>
      </c>
      <c r="AC4" s="430" t="inlineStr">
        <is>
          <t>注册、许可及行政管理；融资与投资；减排或预防</t>
        </is>
      </c>
      <c r="AD4" s="430"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E4" s="430" t="inlineStr">
        <is>
          <t>70.76</t>
        </is>
      </c>
      <c r="AF4" s="430" t="inlineStr">
        <is>
          <t>元/吨</t>
        </is>
      </c>
      <c r="AG4" s="430" t="inlineStr">
        <is>
          <t>尚无造林碳汇CCER的独立分类交易价格数据，表中数值为2025年全国CCER综合交易均价（70.76元/吨，来源：北京绿色交易所）。</t>
        </is>
      </c>
      <c r="AH4" s="430"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I4" s="430"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J4" s="430" t="inlineStr">
        <is>
          <t>N/A（仅规定一种核算方法）</t>
        </is>
      </c>
      <c r="AK4" s="430" t="inlineStr">
        <is>
          <t>项目业主通过签发和销售CCER获得碳收益；造林碳汇项目兼具生态保护效益，可通过林业碳票等地方创新机制获得额外市场认可。</t>
        </is>
      </c>
      <c r="AL4" s="430" t="inlineStr">
        <is>
          <t>项目业主按方法学规定定期开展碳汇监测（含固定样地调查等）；审定与核查机构负责项目审定和减排量核查；生态环境部统筹监管。</t>
        </is>
      </c>
      <c r="AM4" s="430" t="inlineStr">
        <is>
          <t>项目业主提供虚假材料：处1万-10万元罚款并撤销登记、三年内不再受理；审定与核查机构违规：处5万-20万元罚款。</t>
        </is>
      </c>
      <c r="AN4" s="430" t="inlineStr">
        <is>
          <t>N/A（减排量取决于项目规模和自愿开发情况）</t>
        </is>
      </c>
      <c r="AO4" s="430" t="inlineStr">
        <is>
          <t>N/A</t>
        </is>
      </c>
      <c r="AP4" s="430" t="inlineStr">
        <is>
          <t>A02</t>
        </is>
      </c>
      <c r="AQ4" s="430" t="inlineStr">
        <is>
          <t>CO2</t>
        </is>
      </c>
      <c r="AR4" s="430" t="inlineStr">
        <is>
          <t>正向</t>
        </is>
      </c>
      <c r="AS4" s="430" t="inlineStr">
        <is>
          <t>生态保护；生物多样性保护；资源节约；适应气候变化</t>
        </is>
      </c>
      <c r="AT4" s="430" t="inlineStr">
        <is>
          <t>关于印发《温室气体自愿减排项目方法学 造林碳汇（CCER-14-001-V01）》等4项方法学的通知（环办气候函〔2023〕343号）</t>
        </is>
      </c>
      <c r="AU4" s="430" t="inlineStr">
        <is>
          <t>https://www.mee.gov.cn/xxgk2018/xxgk/xxgk06/202310/t20231024_1043877.html</t>
        </is>
      </c>
      <c r="AV4" s="430" t="inlineStr">
        <is>
          <t>https://www.mee.gov.cn/xxgk2018/xxgk/xxgk06/202606/t20260626_1160307.html（2026年修订征求意见稿）</t>
        </is>
      </c>
      <c r="AW4" s="430" t="inlineStr"/>
    </row>
    <row r="5">
      <c r="A5" s="430" t="inlineStr">
        <is>
          <t>CHNVTSVCMI01S002</t>
        </is>
      </c>
      <c r="B5" s="430" t="inlineStr">
        <is>
          <t>子方案</t>
        </is>
      </c>
      <c r="C5" s="430" t="inlineStr">
        <is>
          <t>自愿交易体系</t>
        </is>
      </c>
      <c r="D5" s="430" t="inlineStr">
        <is>
          <t>自愿碳市场</t>
        </is>
      </c>
      <c r="E5" s="430" t="inlineStr">
        <is>
          <t>能源</t>
        </is>
      </c>
      <c r="F5" s="430" t="inlineStr">
        <is>
          <t>可再生能源发电</t>
        </is>
      </c>
      <c r="G5" s="430" t="inlineStr">
        <is>
          <t>并网光热发电（CCER-01-001-V01）</t>
        </is>
      </c>
      <c r="H5" s="430" t="inlineStr">
        <is>
          <t>Grid-connected Solar Thermal Power (CCER-01-001-V01)</t>
        </is>
      </c>
      <c r="I5" s="430" t="inlineStr">
        <is>
          <t>N/A</t>
        </is>
      </c>
      <c r="J5" s="430"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430" t="inlineStr">
        <is>
          <t>减缓气候变化</t>
        </is>
      </c>
      <c r="L5" s="430" t="inlineStr">
        <is>
          <t>直接</t>
        </is>
      </c>
      <c r="M5" s="430" t="inlineStr">
        <is>
          <t>国家</t>
        </is>
      </c>
      <c r="N5" s="430" t="inlineStr">
        <is>
          <t>N/A</t>
        </is>
      </c>
      <c r="O5" s="430" t="inlineStr">
        <is>
          <t>24/10/2023</t>
        </is>
      </c>
      <c r="P5" s="430" t="inlineStr">
        <is>
          <t>24/10/2023</t>
        </is>
      </c>
      <c r="Q5" s="430" t="inlineStr">
        <is>
          <t>N/A</t>
        </is>
      </c>
      <c r="R5" s="430" t="inlineStr">
        <is>
          <t>N/A</t>
        </is>
      </c>
      <c r="S5" s="430" t="inlineStr">
        <is>
          <t>N/A</t>
        </is>
      </c>
      <c r="T5" s="430">
        <f>IF(P5="","生效",IF(P5="N/A","生效",IF(TODAY()&lt;DATE(VALUE(RIGHT(P5,4)),VALUE(MID(P5,4,2)),VALUE(LEFT(P5,2))),"计划实施",IF(Q5="","生效",IF(Q5="N/A","生效",IF(TODAY()&lt;DATE(VALUE(RIGHT(Q5,4)),VALUE(MID(Q5,4,2)),VALUE(LEFT(Q5,2))),"生效","已终止"))))))</f>
        <v/>
      </c>
      <c r="U5" s="430" t="inlineStr">
        <is>
          <t>生态环境部（应对气候变化司）</t>
        </is>
      </c>
      <c r="V5" s="430" t="inlineStr">
        <is>
          <t>并网光热发电项目/核证自愿减排量（CCER）</t>
        </is>
      </c>
      <c r="W5" s="430" t="inlineStr">
        <is>
          <t>新建</t>
        </is>
      </c>
      <c r="X5" s="430" t="inlineStr">
        <is>
          <t>本方法学界定和覆盖的对象为独立的并网光热发电项目，以及含光热发电的风光热一体化项目中的光热发电部分。适用于新建或扩建的光热发电项目，通过替代并网化石燃料发电实现温室气体减排。</t>
        </is>
      </c>
      <c r="Y5" s="430" t="inlineStr">
        <is>
          <t>N/A</t>
        </is>
      </c>
      <c r="Z5" s="430" t="inlineStr">
        <is>
          <t>N/A</t>
        </is>
      </c>
      <c r="AA5" s="430" t="inlineStr">
        <is>
          <t>企业</t>
        </is>
      </c>
      <c r="AB5" s="430" t="inlineStr">
        <is>
          <t>在中国境内依法成立、投资建设和运营符合方法学要求的光热发电项目的法人或其他组织，可自愿依据方法学开发项目并申请CCER登记。</t>
        </is>
      </c>
      <c r="AC5" s="430" t="inlineStr">
        <is>
          <t>注册、许可及行政管理；融资与投资；减排或预防</t>
        </is>
      </c>
      <c r="AD5"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E5" s="430" t="inlineStr">
        <is>
          <t>81.58</t>
        </is>
      </c>
      <c r="AF5" s="430" t="inlineStr">
        <is>
          <t>元/吨</t>
        </is>
      </c>
      <c r="AG5" s="430" t="inlineStr">
        <is>
          <t>2025年光热发电CCER全年成交均价，高于CCER整体均价（70.76元/吨）（来源：北京绿色交易所）。</t>
        </is>
      </c>
      <c r="AH5" s="430"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I5" s="430"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J5" s="430" t="inlineStr">
        <is>
          <t>N/A（仅规定一种核算方法）</t>
        </is>
      </c>
      <c r="AK5" s="430" t="inlineStr">
        <is>
          <t>项目业主通过签发和销售CCER获得碳收益（2025年均价81.58元/吨）；CCER收入可为光热发电项目提供额外收益，改善项目经济性。</t>
        </is>
      </c>
      <c r="AL5" s="430" t="inlineStr">
        <is>
          <t>项目业主按方法学规定监测发电量、上网电量、辅助燃料消耗量等参数；审定与核查机构负责项目审定和减排量核查；生态环境部统筹监管。</t>
        </is>
      </c>
      <c r="AM5" s="430" t="inlineStr">
        <is>
          <t>项目业主提供虚假材料：处1万-10万元罚款并撤销登记、三年内不再受理；审定与核查机构违规：处5万-20万元罚款。</t>
        </is>
      </c>
      <c r="AN5" s="430" t="inlineStr">
        <is>
          <t>N/A（减排量取决于项目规模和自愿开发情况）</t>
        </is>
      </c>
      <c r="AO5" s="430" t="inlineStr">
        <is>
          <t>N/A</t>
        </is>
      </c>
      <c r="AP5" s="430" t="inlineStr">
        <is>
          <t>D35</t>
        </is>
      </c>
      <c r="AQ5" s="430" t="inlineStr">
        <is>
          <t>CO2</t>
        </is>
      </c>
      <c r="AR5" s="430" t="inlineStr">
        <is>
          <t>正向</t>
        </is>
      </c>
      <c r="AS5" s="430" t="inlineStr">
        <is>
          <t>可再生能源发展；技术创新；污染防治；能源安全</t>
        </is>
      </c>
      <c r="AT5" s="430" t="inlineStr">
        <is>
          <t>关于印发《温室气体自愿减排项目方法学 并网光热发电（CCER-01-001-V01）》等4项方法学的通知（环办气候函〔2023〕343号）</t>
        </is>
      </c>
      <c r="AU5" s="430" t="inlineStr">
        <is>
          <t>https://www.mee.gov.cn/xxgk2018/xxgk/xxgk06/202310/t20231024_1043877.html</t>
        </is>
      </c>
      <c r="AV5" s="430" t="inlineStr">
        <is>
          <t>https://www.cets.org.cn/（全国碳市场信息网）；https://www.cbeex.com.cn/（北京绿色交易所）</t>
        </is>
      </c>
      <c r="AW5" s="430" t="inlineStr"/>
    </row>
    <row r="6">
      <c r="A6" s="430" t="inlineStr">
        <is>
          <t>CHNVTSVCMI01S003</t>
        </is>
      </c>
      <c r="B6" s="430" t="inlineStr">
        <is>
          <t>子方案</t>
        </is>
      </c>
      <c r="C6" s="430" t="inlineStr">
        <is>
          <t>自愿交易体系</t>
        </is>
      </c>
      <c r="D6" s="430" t="inlineStr">
        <is>
          <t>自愿碳市场</t>
        </is>
      </c>
      <c r="E6" s="430" t="inlineStr">
        <is>
          <t>能源</t>
        </is>
      </c>
      <c r="F6" s="430" t="inlineStr">
        <is>
          <t>可再生能源发电</t>
        </is>
      </c>
      <c r="G6" s="430" t="inlineStr">
        <is>
          <t>并网海上风力发电（CCER-01-002-V01）</t>
        </is>
      </c>
      <c r="H6" s="430" t="inlineStr">
        <is>
          <t>Grid-connected Offshore Wind Power (CCER-01-002-V01)</t>
        </is>
      </c>
      <c r="I6" s="430" t="inlineStr">
        <is>
          <t>N/A</t>
        </is>
      </c>
      <c r="J6" s="430"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430" t="inlineStr">
        <is>
          <t>减缓气候变化</t>
        </is>
      </c>
      <c r="L6" s="430" t="inlineStr">
        <is>
          <t>直接</t>
        </is>
      </c>
      <c r="M6" s="430" t="inlineStr">
        <is>
          <t>国家</t>
        </is>
      </c>
      <c r="N6" s="430" t="inlineStr">
        <is>
          <t>N/A</t>
        </is>
      </c>
      <c r="O6" s="430" t="inlineStr">
        <is>
          <t>24/10/2023</t>
        </is>
      </c>
      <c r="P6" s="430" t="inlineStr">
        <is>
          <t>24/10/2023</t>
        </is>
      </c>
      <c r="Q6" s="430" t="inlineStr">
        <is>
          <t>N/A</t>
        </is>
      </c>
      <c r="R6" s="430" t="inlineStr">
        <is>
          <t>N/A</t>
        </is>
      </c>
      <c r="S6" s="430" t="inlineStr">
        <is>
          <t>N/A</t>
        </is>
      </c>
      <c r="T6" s="430">
        <f>IF(P6="","生效",IF(P6="N/A","生效",IF(TODAY()&lt;DATE(VALUE(RIGHT(P6,4)),VALUE(MID(P6,4,2)),VALUE(LEFT(P6,2))),"计划实施",IF(Q6="","生效",IF(Q6="N/A","生效",IF(TODAY()&lt;DATE(VALUE(RIGHT(Q6,4)),VALUE(MID(Q6,4,2)),VALUE(LEFT(Q6,2))),"生效","已终止"))))))</f>
        <v/>
      </c>
      <c r="U6" s="430" t="inlineStr">
        <is>
          <t>生态环境部（应对气候变化司）</t>
        </is>
      </c>
      <c r="V6" s="430" t="inlineStr">
        <is>
          <t>并网海上风力发电项目/核证自愿减排量（CCER）</t>
        </is>
      </c>
      <c r="W6" s="430" t="inlineStr">
        <is>
          <t>新建</t>
        </is>
      </c>
      <c r="X6" s="430" t="inlineStr">
        <is>
          <t>本方法学界定和覆盖的对象为新建的离岸并网海上风力发电项目（不含潮间带及陆上风电）。项目通过替代并网化石燃料发电实现温室气体减排。海上风电是CCER市场重启后登记项目和签发量最大的领域。</t>
        </is>
      </c>
      <c r="Y6" s="430" t="inlineStr">
        <is>
          <t>N/A</t>
        </is>
      </c>
      <c r="Z6" s="430" t="inlineStr">
        <is>
          <t>N/A</t>
        </is>
      </c>
      <c r="AA6" s="430" t="inlineStr">
        <is>
          <t>企业</t>
        </is>
      </c>
      <c r="AB6" s="430" t="inlineStr">
        <is>
          <t>在中国境内依法成立、投资建设和运营符合方法学要求的海上风电项目的法人或其他组织，可自愿依据方法学开发项目并申请CCER登记。</t>
        </is>
      </c>
      <c r="AC6" s="430" t="inlineStr">
        <is>
          <t>注册、许可及行政管理；融资与投资；减排或预防</t>
        </is>
      </c>
      <c r="AD6"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E6" s="430" t="inlineStr">
        <is>
          <t>69.27</t>
        </is>
      </c>
      <c r="AF6" s="430" t="inlineStr">
        <is>
          <t>元/吨</t>
        </is>
      </c>
      <c r="AG6" s="430" t="inlineStr">
        <is>
          <t>2025年海上风电CCER全年成交均价，海上风电是CCER市场重启后登记项目数量和签发量最大的领域（来源：北京绿色交易所）。</t>
        </is>
      </c>
      <c r="AH6" s="430"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I6" s="430"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J6" s="430" t="inlineStr">
        <is>
          <t>N/A（仅规定一种核算方法）</t>
        </is>
      </c>
      <c r="AK6" s="430" t="inlineStr">
        <is>
          <t>项目业主通过签发和销售CCER获得碳收益（2025年均价69.27元/吨）；CCER收入可为海上风电项目提供额外收益来源；CCER市场重启首单交易为海上风电项目（2025年3月7日）。</t>
        </is>
      </c>
      <c r="AL6" s="430" t="inlineStr">
        <is>
          <t>项目业主按方法学规定监测发电量、上网电量等参数；审定与核查机构负责项目审定和减排量核查；生态环境部统筹监管。</t>
        </is>
      </c>
      <c r="AM6" s="430" t="inlineStr">
        <is>
          <t>项目业主提供虚假材料：处1万-10万元罚款并撤销登记、三年内不再受理；审定与核查机构违规：处5万-20万元罚款。</t>
        </is>
      </c>
      <c r="AN6" s="430" t="inlineStr">
        <is>
          <t>N/A（减排量取决于项目规模和自愿开发情况）</t>
        </is>
      </c>
      <c r="AO6" s="430" t="inlineStr">
        <is>
          <t>N/A</t>
        </is>
      </c>
      <c r="AP6" s="430" t="inlineStr">
        <is>
          <t>D35</t>
        </is>
      </c>
      <c r="AQ6" s="430" t="inlineStr">
        <is>
          <t>CO2</t>
        </is>
      </c>
      <c r="AR6" s="430" t="inlineStr">
        <is>
          <t>正向</t>
        </is>
      </c>
      <c r="AS6" s="430" t="inlineStr">
        <is>
          <t>可再生能源发展；技术创新；污染防治；能源安全</t>
        </is>
      </c>
      <c r="AT6" s="430" t="inlineStr">
        <is>
          <t>关于印发《温室气体自愿减排项目方法学 并网海上风力发电（CCER-01-002-V01）》等4项方法学的通知（环办气候函〔2023〕343号）</t>
        </is>
      </c>
      <c r="AU6" s="430" t="inlineStr">
        <is>
          <t>https://www.mee.gov.cn/xxgk2018/xxgk/xxgk06/202310/t20231024_1043877.html</t>
        </is>
      </c>
      <c r="AV6" s="430" t="inlineStr">
        <is>
          <t>https://www.cbeex.com.cn/（北京绿色交易所）</t>
        </is>
      </c>
      <c r="AW6" s="430" t="inlineStr"/>
    </row>
    <row r="7">
      <c r="A7" s="430" t="inlineStr">
        <is>
          <t>CHNVTSVCMI01S004</t>
        </is>
      </c>
      <c r="B7" s="430" t="inlineStr">
        <is>
          <t>子方案</t>
        </is>
      </c>
      <c r="C7" s="430" t="inlineStr">
        <is>
          <t>自愿交易体系</t>
        </is>
      </c>
      <c r="D7" s="430" t="inlineStr">
        <is>
          <t>自愿碳市场</t>
        </is>
      </c>
      <c r="E7" s="430" t="inlineStr">
        <is>
          <t>农业、林业和其他土地利用</t>
        </is>
      </c>
      <c r="F7" s="430" t="inlineStr">
        <is>
          <t>海洋碳汇（蓝碳）</t>
        </is>
      </c>
      <c r="G7" s="430" t="inlineStr">
        <is>
          <t>红树林营造（CCER-14-002-V01）</t>
        </is>
      </c>
      <c r="H7" s="430" t="inlineStr">
        <is>
          <t>Mangrove Creation (CCER-14-002-V01)</t>
        </is>
      </c>
      <c r="I7" s="430" t="inlineStr">
        <is>
          <t>N/A</t>
        </is>
      </c>
      <c r="J7" s="430"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430" t="inlineStr">
        <is>
          <t>减缓气候变化</t>
        </is>
      </c>
      <c r="L7" s="430" t="inlineStr">
        <is>
          <t>直接</t>
        </is>
      </c>
      <c r="M7" s="430" t="inlineStr">
        <is>
          <t>国家</t>
        </is>
      </c>
      <c r="N7" s="430" t="inlineStr">
        <is>
          <t>N/A</t>
        </is>
      </c>
      <c r="O7" s="430" t="inlineStr">
        <is>
          <t>24/10/2023</t>
        </is>
      </c>
      <c r="P7" s="430" t="inlineStr">
        <is>
          <t>24/10/2023</t>
        </is>
      </c>
      <c r="Q7" s="430" t="inlineStr">
        <is>
          <t>N/A</t>
        </is>
      </c>
      <c r="R7" s="430" t="inlineStr">
        <is>
          <t>N/A</t>
        </is>
      </c>
      <c r="S7" s="430" t="inlineStr">
        <is>
          <t>N/A（2026年6月发布修订征求意见稿，尚未正式修订）</t>
        </is>
      </c>
      <c r="T7" s="430">
        <f>IF(P7="","生效",IF(P7="N/A","生效",IF(TODAY()&lt;DATE(VALUE(RIGHT(P7,4)),VALUE(MID(P7,4,2)),VALUE(LEFT(P7,2))),"计划实施",IF(Q7="","生效",IF(Q7="N/A","生效",IF(TODAY()&lt;DATE(VALUE(RIGHT(Q7,4)),VALUE(MID(Q7,4,2)),VALUE(LEFT(Q7,2))),"生效","已终止"))))))</f>
        <v/>
      </c>
      <c r="U7" s="430" t="inlineStr">
        <is>
          <t>生态环境部（应对气候变化司）</t>
        </is>
      </c>
      <c r="V7" s="430" t="inlineStr">
        <is>
          <t>红树林营造项目/核证自愿减排量（CCER）</t>
        </is>
      </c>
      <c r="W7" s="430" t="inlineStr">
        <is>
          <t>新建</t>
        </is>
      </c>
      <c r="X7" s="430"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Y7" s="430" t="inlineStr">
        <is>
          <t>N/A</t>
        </is>
      </c>
      <c r="Z7" s="430" t="inlineStr">
        <is>
          <t>N/A</t>
        </is>
      </c>
      <c r="AA7" s="430" t="inlineStr">
        <is>
          <t>企业</t>
        </is>
      </c>
      <c r="AB7" s="430" t="inlineStr">
        <is>
          <t>在中国境内依法成立、拥有或管理符合方法学要求的沿海滩涂或潮间带用地的法人或其他组织，可自愿依据方法学开发红树林营造项目并申请CCER登记。</t>
        </is>
      </c>
      <c r="AC7" s="430" t="inlineStr">
        <is>
          <t>注册、许可及行政管理；融资与投资；减排或预防</t>
        </is>
      </c>
      <c r="AD7" s="430"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E7" s="430" t="inlineStr">
        <is>
          <t>70.76</t>
        </is>
      </c>
      <c r="AF7" s="430" t="inlineStr">
        <is>
          <t>元/吨</t>
        </is>
      </c>
      <c r="AG7" s="430" t="inlineStr">
        <is>
          <t>尚无红树林营造CCER的独立分类交易价格数据，表中数值为2025年全国CCER综合交易均价（70.76元/吨，来源：北京绿色交易所）。</t>
        </is>
      </c>
      <c r="AH7" s="430"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I7" s="430"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J7" s="430" t="inlineStr">
        <is>
          <t>N/A（仅规定一种核算方法）</t>
        </is>
      </c>
      <c r="AK7" s="430" t="inlineStr">
        <is>
          <t>项目业主通过签发和销售CCER获得碳收益；红树林碳汇项目兼具海岸防护、生物多样性保护等多重生态效益，具有较高的市场价值和社会认可度。</t>
        </is>
      </c>
      <c r="AL7" s="430" t="inlineStr">
        <is>
          <t>项目业主按方法学规定定期开展红树林碳汇监测（含固定样地调查等）；审定与核查机构负责项目审定和减排量核查；生态环境部统筹监管。</t>
        </is>
      </c>
      <c r="AM7" s="430" t="inlineStr">
        <is>
          <t>项目业主提供虚假材料：处1万-10万元罚款并撤销登记、三年内不再受理；审定与核查机构违规：处5万-20万元罚款。</t>
        </is>
      </c>
      <c r="AN7" s="430" t="inlineStr">
        <is>
          <t>N/A（减排量取决于项目规模和自愿开发情况）</t>
        </is>
      </c>
      <c r="AO7" s="430" t="inlineStr">
        <is>
          <t>N/A</t>
        </is>
      </c>
      <c r="AP7" s="430" t="inlineStr">
        <is>
          <t>A02</t>
        </is>
      </c>
      <c r="AQ7" s="430" t="inlineStr">
        <is>
          <t>CO2</t>
        </is>
      </c>
      <c r="AR7" s="430" t="inlineStr">
        <is>
          <t>正向</t>
        </is>
      </c>
      <c r="AS7" s="430" t="inlineStr">
        <is>
          <t>生态保护；生物多样性保护；适应气候变化；污染防治；资源节约</t>
        </is>
      </c>
      <c r="AT7" s="430" t="inlineStr">
        <is>
          <t>关于印发《温室气体自愿减排项目方法学 红树林营造（CCER-14-002-V01）》等4项方法学的通知（环办气候函〔2023〕343号）</t>
        </is>
      </c>
      <c r="AU7" s="430" t="inlineStr">
        <is>
          <t>https://www.mee.gov.cn/xxgk2018/xxgk/xxgk06/202310/t20231024_1043877.html</t>
        </is>
      </c>
      <c r="AV7" s="430" t="inlineStr">
        <is>
          <t>https://www.mee.gov.cn/xxgk2018/xxgk/xxgk06/202606/t20260626_1160307.html（2026年修订征求意见稿）</t>
        </is>
      </c>
      <c r="AW7" s="430" t="inlineStr"/>
    </row>
    <row r="8">
      <c r="A8" s="430" t="inlineStr">
        <is>
          <t>CHNVTSVCMI01S005</t>
        </is>
      </c>
      <c r="B8" s="430" t="inlineStr">
        <is>
          <t>子方案</t>
        </is>
      </c>
      <c r="C8" s="430" t="inlineStr">
        <is>
          <t>自愿交易体系</t>
        </is>
      </c>
      <c r="D8" s="430" t="inlineStr">
        <is>
          <t>自愿碳市场</t>
        </is>
      </c>
      <c r="E8" s="430" t="inlineStr">
        <is>
          <t>交通</t>
        </is>
      </c>
      <c r="F8" s="430" t="inlineStr">
        <is>
          <t>公路隧道节能</t>
        </is>
      </c>
      <c r="G8" s="430" t="inlineStr">
        <is>
          <t>公路隧道照明系统节能（CCER-07-001-V01）</t>
        </is>
      </c>
      <c r="H8" s="430" t="inlineStr">
        <is>
          <t>Road Tunnel Lighting System Energy Saving (CCER-07-001-V01)</t>
        </is>
      </c>
      <c r="I8" s="430" t="inlineStr">
        <is>
          <t>N/A</t>
        </is>
      </c>
      <c r="J8" s="430"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430" t="inlineStr">
        <is>
          <t>减缓气候变化</t>
        </is>
      </c>
      <c r="L8" s="430" t="inlineStr">
        <is>
          <t>直接</t>
        </is>
      </c>
      <c r="M8" s="430" t="inlineStr">
        <is>
          <t>国家</t>
        </is>
      </c>
      <c r="N8" s="430" t="inlineStr">
        <is>
          <t>N/A</t>
        </is>
      </c>
      <c r="O8" s="430" t="inlineStr">
        <is>
          <t>03/01/2025</t>
        </is>
      </c>
      <c r="P8" s="430" t="inlineStr">
        <is>
          <t>03/01/2025</t>
        </is>
      </c>
      <c r="Q8" s="430" t="inlineStr">
        <is>
          <t>N/A</t>
        </is>
      </c>
      <c r="R8" s="430" t="inlineStr">
        <is>
          <t>N/A</t>
        </is>
      </c>
      <c r="S8" s="430" t="inlineStr">
        <is>
          <t>N/A</t>
        </is>
      </c>
      <c r="T8" s="430">
        <f>IF(P8="","生效",IF(P8="N/A","生效",IF(TODAY()&lt;DATE(VALUE(RIGHT(P8,4)),VALUE(MID(P8,4,2)),VALUE(LEFT(P8,2))),"计划实施",IF(Q8="","生效",IF(Q8="N/A","生效",IF(TODAY()&lt;DATE(VALUE(RIGHT(Q8,4)),VALUE(MID(Q8,4,2)),VALUE(LEFT(Q8,2))),"生效","已终止"))))))</f>
        <v/>
      </c>
      <c r="U8" s="430" t="inlineStr">
        <is>
          <t>生态环境部（应对气候变化司）</t>
        </is>
      </c>
      <c r="V8" s="430" t="inlineStr">
        <is>
          <t>公路隧道照明节能项目/核证自愿减排量（CCER）</t>
        </is>
      </c>
      <c r="W8" s="430" t="inlineStr">
        <is>
          <t>新建</t>
        </is>
      </c>
      <c r="X8" s="430" t="inlineStr">
        <is>
          <t>本方法学界定和覆盖的对象为既有公路隧道通过更换或升级照明设备、优化照明控制方案等措施实现的照明系统节能减碳项目。减排量来自照明系统电力消耗的降低。</t>
        </is>
      </c>
      <c r="Y8" s="430" t="inlineStr">
        <is>
          <t>N/A</t>
        </is>
      </c>
      <c r="Z8" s="430" t="inlineStr">
        <is>
          <t>N/A</t>
        </is>
      </c>
      <c r="AA8" s="430" t="inlineStr">
        <is>
          <t>企业</t>
        </is>
      </c>
      <c r="AB8" s="430" t="inlineStr">
        <is>
          <t>在中国境内依法成立、运营和管理既有公路隧道的法人或其他组织，可自愿依据方法学开发照明节能改造项目并申请CCER登记。</t>
        </is>
      </c>
      <c r="AC8" s="430" t="inlineStr">
        <is>
          <t>注册、许可及行政管理；融资与投资；减排或预防</t>
        </is>
      </c>
      <c r="AD8" s="430"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E8" s="430" t="inlineStr">
        <is>
          <t>70.76</t>
        </is>
      </c>
      <c r="AF8" s="430" t="inlineStr">
        <is>
          <t>元/吨</t>
        </is>
      </c>
      <c r="AG8" s="430" t="inlineStr">
        <is>
          <t>尚无公路隧道照明系统节能CCER的独立分类交易价格数据，表中数值为2025年全国CCER综合交易均价（70.76元/吨，来源：北京绿色交易所）。</t>
        </is>
      </c>
      <c r="AH8" s="430"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I8" s="430"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J8" s="430" t="inlineStr">
        <is>
          <t>N/A（仅规定一种核算方法）</t>
        </is>
      </c>
      <c r="AK8" s="430" t="inlineStr">
        <is>
          <t>项目业主通过签发和销售CCER获得碳收益；照明节能本身可降低隧道运营电费支出，形成节能与碳收益的双重经济效益。</t>
        </is>
      </c>
      <c r="AL8" s="430" t="inlineStr">
        <is>
          <t>项目业主按方法学规定持续监测照明系统电力消耗量；审定与核查机构负责项目审定和减排量核查；生态环境部统筹监管。</t>
        </is>
      </c>
      <c r="AM8" s="430" t="inlineStr">
        <is>
          <t>项目业主提供虚假材料：处1万-10万元罚款并撤销登记、三年内不再受理；审定与核查机构违规：处5万-20万元罚款。</t>
        </is>
      </c>
      <c r="AN8" s="430" t="inlineStr">
        <is>
          <t>N/A（减排量取决于项目规模和自愿开发情况）</t>
        </is>
      </c>
      <c r="AO8" s="430" t="inlineStr">
        <is>
          <t>N/A</t>
        </is>
      </c>
      <c r="AP8" s="430" t="inlineStr">
        <is>
          <t>D35</t>
        </is>
      </c>
      <c r="AQ8" s="430" t="inlineStr">
        <is>
          <t>CO2</t>
        </is>
      </c>
      <c r="AR8" s="430" t="inlineStr">
        <is>
          <t>正向</t>
        </is>
      </c>
      <c r="AS8" s="430" t="inlineStr">
        <is>
          <t>节能；技术创新；污染防治</t>
        </is>
      </c>
      <c r="AT8" s="430" t="inlineStr">
        <is>
          <t>关于印发《温室气体自愿减排项目方法学 公路隧道照明系统节能（CCER-07-001-V01）》的通知（环办气候函〔2024〕486号）</t>
        </is>
      </c>
      <c r="AU8" s="430" t="inlineStr">
        <is>
          <t>https://www.mee.gov.cn/xxgk2018/xxgk/xxgk06/202501/t20250103_1099966.html</t>
        </is>
      </c>
      <c r="AV8" s="430" t="inlineStr">
        <is>
          <t>https://www.cets.org.cn/（全国碳市场信息网）</t>
        </is>
      </c>
      <c r="AW8" s="430" t="inlineStr"/>
    </row>
    <row r="9">
      <c r="A9" s="430" t="inlineStr">
        <is>
          <t>CHNVTSVCMI01S006</t>
        </is>
      </c>
      <c r="B9" s="430" t="inlineStr">
        <is>
          <t>子方案</t>
        </is>
      </c>
      <c r="C9" s="430" t="inlineStr">
        <is>
          <t>自愿交易体系</t>
        </is>
      </c>
      <c r="D9" s="430" t="inlineStr">
        <is>
          <t>自愿碳市场</t>
        </is>
      </c>
      <c r="E9" s="430" t="inlineStr">
        <is>
          <t>工业</t>
        </is>
      </c>
      <c r="F9" s="430" t="inlineStr">
        <is>
          <t>煤矿瓦斯利用</t>
        </is>
      </c>
      <c r="G9" s="430" t="inlineStr">
        <is>
          <t>煤矿低浓度瓦斯和风排瓦斯利用（CCER-10-001-V01）</t>
        </is>
      </c>
      <c r="H9" s="430" t="inlineStr">
        <is>
          <t>Utilization of Low-Concentration CMM and VAM (CCER-10-001-V01)</t>
        </is>
      </c>
      <c r="I9" s="430" t="inlineStr">
        <is>
          <t>N/A</t>
        </is>
      </c>
      <c r="J9" s="430"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430" t="inlineStr">
        <is>
          <t>减缓气候变化</t>
        </is>
      </c>
      <c r="L9" s="430" t="inlineStr">
        <is>
          <t>直接</t>
        </is>
      </c>
      <c r="M9" s="430" t="inlineStr">
        <is>
          <t>国家</t>
        </is>
      </c>
      <c r="N9" s="430" t="inlineStr">
        <is>
          <t>N/A</t>
        </is>
      </c>
      <c r="O9" s="430" t="inlineStr">
        <is>
          <t>03/01/2025</t>
        </is>
      </c>
      <c r="P9" s="430" t="inlineStr">
        <is>
          <t>03/01/2025</t>
        </is>
      </c>
      <c r="Q9" s="430" t="inlineStr">
        <is>
          <t>N/A</t>
        </is>
      </c>
      <c r="R9" s="430" t="inlineStr">
        <is>
          <t>N/A</t>
        </is>
      </c>
      <c r="S9" s="430" t="inlineStr">
        <is>
          <t>N/A</t>
        </is>
      </c>
      <c r="T9" s="430">
        <f>IF(P9="","生效",IF(P9="N/A","生效",IF(TODAY()&lt;DATE(VALUE(RIGHT(P9,4)),VALUE(MID(P9,4,2)),VALUE(LEFT(P9,2))),"计划实施",IF(Q9="","生效",IF(Q9="N/A","生效",IF(TODAY()&lt;DATE(VALUE(RIGHT(Q9,4)),VALUE(MID(Q9,4,2)),VALUE(LEFT(Q9,2))),"生效","已终止"))))))</f>
        <v/>
      </c>
      <c r="U9" s="430" t="inlineStr">
        <is>
          <t>生态环境部（应对气候变化司）</t>
        </is>
      </c>
      <c r="V9" s="430" t="inlineStr">
        <is>
          <t>煤矿低浓度瓦斯和风排瓦斯利用项目/核证自愿减排量（CCER）</t>
        </is>
      </c>
      <c r="W9" s="430" t="inlineStr">
        <is>
          <t>新建</t>
        </is>
      </c>
      <c r="X9" s="430"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Y9" s="430" t="inlineStr">
        <is>
          <t>N/A</t>
        </is>
      </c>
      <c r="Z9" s="430" t="inlineStr">
        <is>
          <t>N/A</t>
        </is>
      </c>
      <c r="AA9" s="430" t="inlineStr">
        <is>
          <t>企业</t>
        </is>
      </c>
      <c r="AB9" s="430" t="inlineStr">
        <is>
          <t>在中国境内依法成立、运营符合方法学要求的煤矿并具备低浓度瓦斯和VAM回收利用条件的法人或其他组织，可自愿依据方法学开发项目并申请CCER登记。</t>
        </is>
      </c>
      <c r="AC9" s="430" t="inlineStr">
        <is>
          <t>注册、许可及行政管理；融资与投资；减排或预防</t>
        </is>
      </c>
      <c r="AD9" s="430"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E9" s="430" t="inlineStr">
        <is>
          <t>70.76</t>
        </is>
      </c>
      <c r="AF9" s="430" t="inlineStr">
        <is>
          <t>元/吨</t>
        </is>
      </c>
      <c r="AG9" s="430" t="inlineStr">
        <is>
          <t>尚无煤矿低浓度瓦斯和风排瓦斯利用CCER的独立分类交易价格数据，表中数值为2025年全国CCER综合交易均价（70.76元/吨，来源：北京绿色交易所）。</t>
        </is>
      </c>
      <c r="AH9" s="430"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I9" s="430"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J9" s="430" t="inlineStr">
        <is>
          <t>N/A（仅规定一种核算方法）</t>
        </is>
      </c>
      <c r="AK9" s="430" t="inlineStr">
        <is>
          <t>项目业主通过签发和销售CCER获得碳收益；瓦斯回收利用产生的热能或电能可供煤矿自用或上网销售，形成额外收入。甲烷减排项目的GWP为CO₂的28倍，同等规模下CCER签发量远高于CO₂减排类项目。</t>
        </is>
      </c>
      <c r="AL9" s="430" t="inlineStr">
        <is>
          <t>项目业主按方法学规定持续监测低浓度瓦斯和VAM收集量、甲烷浓度、氧化效率或能源产出量等参数；审定与核查机构负责项目审定和减排量核查；生态环境部统筹监管。</t>
        </is>
      </c>
      <c r="AM9" s="430" t="inlineStr">
        <is>
          <t>项目业主提供虚假材料：处1万-10万元罚款并撤销登记、三年内不再受理；审定与核查机构违规：处5万-20万元罚款。</t>
        </is>
      </c>
      <c r="AN9" s="430" t="inlineStr">
        <is>
          <t>N/A（减排量取决于项目规模和自愿开发情况）</t>
        </is>
      </c>
      <c r="AO9" s="430" t="inlineStr">
        <is>
          <t>N/A</t>
        </is>
      </c>
      <c r="AP9" s="430" t="inlineStr">
        <is>
          <t>B05</t>
        </is>
      </c>
      <c r="AQ9" s="430" t="inlineStr">
        <is>
          <t>CH4</t>
        </is>
      </c>
      <c r="AR9" s="430" t="inlineStr">
        <is>
          <t>正向</t>
        </is>
      </c>
      <c r="AS9" s="430" t="inlineStr">
        <is>
          <t>能源安全；资源节约；技术创新；污染防治</t>
        </is>
      </c>
      <c r="AT9" s="430" t="inlineStr">
        <is>
          <t>关于印发《温室气体自愿减排项目方法学 甲烷体积浓度低于8%的煤矿低浓度瓦斯和风排瓦斯利用（CCER-10-001-V01）》的通知（环办气候函〔2025〕1号）</t>
        </is>
      </c>
      <c r="AU9" s="430" t="inlineStr">
        <is>
          <t>https://www.mee.gov.cn/xxgk2018/xxgk/xxgk06/202501/t20250103_1099965.html</t>
        </is>
      </c>
      <c r="AV9" s="430" t="inlineStr">
        <is>
          <t>https://www.cets.org.cn/（全国碳市场信息网）</t>
        </is>
      </c>
      <c r="AW9" s="430" t="inlineStr"/>
    </row>
    <row r="10">
      <c r="A10" s="430" t="inlineStr">
        <is>
          <t>CHNVTSVCMI01S007</t>
        </is>
      </c>
      <c r="B10" s="430" t="inlineStr">
        <is>
          <t>子方案</t>
        </is>
      </c>
      <c r="C10" s="430" t="inlineStr">
        <is>
          <t>自愿交易体系</t>
        </is>
      </c>
      <c r="D10" s="430" t="inlineStr">
        <is>
          <t>自愿碳市场</t>
        </is>
      </c>
      <c r="E10" s="430" t="inlineStr">
        <is>
          <t>能源</t>
        </is>
      </c>
      <c r="F10" s="430" t="inlineStr">
        <is>
          <t>油气伴生气回收</t>
        </is>
      </c>
      <c r="G10" s="430" t="inlineStr">
        <is>
          <t>海上油田伴生气回收利用（CCER-10-002-V01）</t>
        </is>
      </c>
      <c r="H10" s="430" t="inlineStr">
        <is>
          <t>Offshore Oilfield Associated Gas Recovery and Utilisation (CCER-10-002-V01)</t>
        </is>
      </c>
      <c r="I10" s="430" t="inlineStr">
        <is>
          <t>N/A</t>
        </is>
      </c>
      <c r="J10" s="430"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430" t="inlineStr">
        <is>
          <t>减缓气候变化</t>
        </is>
      </c>
      <c r="L10" s="430" t="inlineStr">
        <is>
          <t>直接</t>
        </is>
      </c>
      <c r="M10" s="430" t="inlineStr">
        <is>
          <t>国家</t>
        </is>
      </c>
      <c r="N10" s="430" t="inlineStr">
        <is>
          <t>N/A</t>
        </is>
      </c>
      <c r="O10" s="430" t="inlineStr">
        <is>
          <t>21/11/2025</t>
        </is>
      </c>
      <c r="P10" s="430" t="inlineStr">
        <is>
          <t>21/11/2025</t>
        </is>
      </c>
      <c r="Q10" s="430" t="inlineStr">
        <is>
          <t>N/A</t>
        </is>
      </c>
      <c r="R10" s="430" t="inlineStr">
        <is>
          <t>N/A</t>
        </is>
      </c>
      <c r="S10" s="430" t="inlineStr">
        <is>
          <t>N/A</t>
        </is>
      </c>
      <c r="T10" s="430">
        <f>IF(P10="","生效",IF(P10="N/A","生效",IF(TODAY()&lt;DATE(VALUE(RIGHT(P10,4)),VALUE(MID(P10,4,2)),VALUE(LEFT(P10,2))),"计划实施",IF(Q10="","生效",IF(Q10="N/A","生效",IF(TODAY()&lt;DATE(VALUE(RIGHT(Q10,4)),VALUE(MID(Q10,4,2)),VALUE(LEFT(Q10,2))),"生效","已终止"))))))</f>
        <v/>
      </c>
      <c r="U10" s="430" t="inlineStr">
        <is>
          <t>生态环境部（应对气候变化司）；国家能源局</t>
        </is>
      </c>
      <c r="V10" s="430" t="inlineStr">
        <is>
          <t>海上油田伴生气回收利用设施/核证自愿减排量（CCER）</t>
        </is>
      </c>
      <c r="W10" s="430" t="inlineStr">
        <is>
          <t>新建</t>
        </is>
      </c>
      <c r="X10" s="430"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Y10" s="430" t="inlineStr">
        <is>
          <t>N/A</t>
        </is>
      </c>
      <c r="Z10" s="430" t="inlineStr">
        <is>
          <t>N/A</t>
        </is>
      </c>
      <c r="AA10" s="430" t="inlineStr">
        <is>
          <t>企业</t>
        </is>
      </c>
      <c r="AB10" s="430" t="inlineStr">
        <is>
          <t>在中华人民共和国境内依法成立、拥有或管理海上油田伴生气回收利用设施的法人或其他组织，可自愿依据方法学开发项目并申请CCER登记。</t>
        </is>
      </c>
      <c r="AC10" s="430" t="inlineStr">
        <is>
          <t>注册、许可及行政管理；融资与投资；减排或预防</t>
        </is>
      </c>
      <c r="AD10" s="430"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E10" s="430" t="inlineStr">
        <is>
          <t>70.76</t>
        </is>
      </c>
      <c r="AF10" s="430" t="inlineStr">
        <is>
          <t>元/吨</t>
        </is>
      </c>
      <c r="AG10" s="430" t="inlineStr">
        <is>
          <t>尚无海上油田伴生气回收利用CCER的独立分类交易价格数据，表中数值为2025年全国CCER综合交易均价（70.76元/吨，来源：北京绿色交易所）。</t>
        </is>
      </c>
      <c r="AH10" s="430"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I10" s="430" t="inlineStr">
        <is>
          <t>减排量 = 基准线排放量 - 项目排放量 - 项目泄漏量。基准线排放量为伴生气火炬燃烧产生的排放；项目排放量包括外购化石燃料排放、电耗排放和运输排放；项目泄漏量忽略不计。</t>
        </is>
      </c>
      <c r="AJ10" s="430" t="inlineStr">
        <is>
          <t>N/A（仅规定一种核算方法）</t>
        </is>
      </c>
      <c r="AK10" s="430" t="inlineStr">
        <is>
          <t>项目业主通过签发和销售CCER获得碳收益；伴生气回收产品（天然气、LNG、CNG、LPG等）可对外销售形成额外收入。</t>
        </is>
      </c>
      <c r="AL10" s="430"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M10" s="430" t="inlineStr">
        <is>
          <t>项目业主提供虚假材料：处1万-10万元罚款并撤销登记、三年内不再受理；审定与核查机构违规：处5万-20万元罚款。</t>
        </is>
      </c>
      <c r="AN10" s="430" t="inlineStr">
        <is>
          <t>N/A（减排量取决于项目规模和自愿开发情况）</t>
        </is>
      </c>
      <c r="AO10" s="430" t="inlineStr">
        <is>
          <t>N/A</t>
        </is>
      </c>
      <c r="AP10" s="430" t="inlineStr">
        <is>
          <t>B06</t>
        </is>
      </c>
      <c r="AQ10" s="430" t="inlineStr">
        <is>
          <t>CO2; CH4</t>
        </is>
      </c>
      <c r="AR10" s="430" t="inlineStr">
        <is>
          <t>正向</t>
        </is>
      </c>
      <c r="AS10" s="430" t="inlineStr">
        <is>
          <t>能源安全；资源节约；污染防治</t>
        </is>
      </c>
      <c r="AT10" s="430" t="inlineStr">
        <is>
          <t>关于印发《温室气体自愿减排项目方法学 海上油田伴生气回收利用（CCER-10-002-V01）》等3项方法学的通知（环办气候函〔2025〕428号）</t>
        </is>
      </c>
      <c r="AU10" s="430" t="inlineStr">
        <is>
          <t>https://www.mee.gov.cn/xxgk2018/xxgk/xxgk06/202511/t20251121_1134574.html</t>
        </is>
      </c>
      <c r="AV10" s="430" t="inlineStr">
        <is>
          <t>https://www.cets.org.cn/（全国碳市场信息网）</t>
        </is>
      </c>
      <c r="AW10" s="430" t="inlineStr"/>
    </row>
    <row r="11">
      <c r="A11" s="430" t="inlineStr">
        <is>
          <t>CHNVTSVCMI01S008</t>
        </is>
      </c>
      <c r="B11" s="430" t="inlineStr">
        <is>
          <t>子方案</t>
        </is>
      </c>
      <c r="C11" s="430" t="inlineStr">
        <is>
          <t>自愿交易体系</t>
        </is>
      </c>
      <c r="D11" s="430" t="inlineStr">
        <is>
          <t>自愿碳市场</t>
        </is>
      </c>
      <c r="E11" s="430" t="inlineStr">
        <is>
          <t>能源</t>
        </is>
      </c>
      <c r="F11" s="430" t="inlineStr">
        <is>
          <t>油气伴生气回收</t>
        </is>
      </c>
      <c r="G11" s="430" t="inlineStr">
        <is>
          <t>陆上气田试气放喷气回收利用（CCER-10-003-V01）</t>
        </is>
      </c>
      <c r="H11" s="430" t="inlineStr">
        <is>
          <t>Onshore Gas Field Well Test and Blowdown Gas Recovery and Utilisation (CCER-10-003-V01)</t>
        </is>
      </c>
      <c r="I11" s="430" t="inlineStr">
        <is>
          <t>N/A</t>
        </is>
      </c>
      <c r="J11" s="430"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430" t="inlineStr">
        <is>
          <t>减缓气候变化</t>
        </is>
      </c>
      <c r="L11" s="430" t="inlineStr">
        <is>
          <t>直接</t>
        </is>
      </c>
      <c r="M11" s="430" t="inlineStr">
        <is>
          <t>国家</t>
        </is>
      </c>
      <c r="N11" s="430" t="inlineStr">
        <is>
          <t>N/A</t>
        </is>
      </c>
      <c r="O11" s="430" t="inlineStr">
        <is>
          <t>21/11/2025</t>
        </is>
      </c>
      <c r="P11" s="430" t="inlineStr">
        <is>
          <t>21/11/2025</t>
        </is>
      </c>
      <c r="Q11" s="430" t="inlineStr">
        <is>
          <t>N/A</t>
        </is>
      </c>
      <c r="R11" s="430" t="inlineStr">
        <is>
          <t>N/A</t>
        </is>
      </c>
      <c r="S11" s="430" t="inlineStr">
        <is>
          <t>N/A</t>
        </is>
      </c>
      <c r="T11" s="430">
        <f>IF(P11="","生效",IF(P11="N/A","生效",IF(TODAY()&lt;DATE(VALUE(RIGHT(P11,4)),VALUE(MID(P11,4,2)),VALUE(LEFT(P11,2))),"计划实施",IF(Q11="","生效",IF(Q11="N/A","生效",IF(TODAY()&lt;DATE(VALUE(RIGHT(Q11,4)),VALUE(MID(Q11,4,2)),VALUE(LEFT(Q11,2))),"生效","已终止"))))))</f>
        <v/>
      </c>
      <c r="U11" s="430" t="inlineStr">
        <is>
          <t>生态环境部（应对气候变化司）；国家能源局</t>
        </is>
      </c>
      <c r="V11" s="430" t="inlineStr">
        <is>
          <t>陆上气田试气放喷气回收利用设施/核证自愿减排量（CCER）</t>
        </is>
      </c>
      <c r="W11" s="430" t="inlineStr">
        <is>
          <t>新建</t>
        </is>
      </c>
      <c r="X11" s="430"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Y11" s="430" t="inlineStr">
        <is>
          <t>N/A</t>
        </is>
      </c>
      <c r="Z11" s="430" t="inlineStr">
        <is>
          <t>N/A</t>
        </is>
      </c>
      <c r="AA11" s="430" t="inlineStr">
        <is>
          <t>企业</t>
        </is>
      </c>
      <c r="AB11" s="430" t="inlineStr">
        <is>
          <t>在中华人民共和国境内依法成立、从事陆上天然气勘探开发的法人或其他组织，可自愿依据方法学开发试气放喷气回收利用项目并申请CCER登记。</t>
        </is>
      </c>
      <c r="AC11" s="430" t="inlineStr">
        <is>
          <t>注册、许可及行政管理；融资与投资；减排或预防</t>
        </is>
      </c>
      <c r="AD11" s="430"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E11" s="430" t="inlineStr">
        <is>
          <t>70.76</t>
        </is>
      </c>
      <c r="AF11" s="430" t="inlineStr">
        <is>
          <t>元/吨</t>
        </is>
      </c>
      <c r="AG11" s="430" t="inlineStr">
        <is>
          <t>尚无陆上气田试气放喷气回收利用CCER的独立分类交易价格数据，表中数值为2025年全国CCER综合交易均价（70.76元/吨，来源：北京绿色交易所）。</t>
        </is>
      </c>
      <c r="AH11" s="430"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I11" s="430" t="inlineStr">
        <is>
          <t>减排量 = 与回收产品等量的天然气燃烧产生的排放量 ×（1-行业现有回收率）- 回收产品时产生的排放量。采用保守性原则，通过回收产品产量回溯计算，并通过流量测量与组分分析交叉核对。</t>
        </is>
      </c>
      <c r="AJ11" s="430" t="inlineStr">
        <is>
          <t>N/A（仅规定一种核算方法）</t>
        </is>
      </c>
      <c r="AK11" s="430" t="inlineStr">
        <is>
          <t>项目业主通过签发和销售CCER获得碳收益；试气放喷气回收产品（天然气、CNG、LNG等）可对外销售形成额外收入。</t>
        </is>
      </c>
      <c r="AL11" s="430"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M11" s="430" t="inlineStr">
        <is>
          <t>项目业主提供虚假材料：处1万-10万元罚款并撤销登记、三年内不再受理；审定与核查机构违规：处5万-20万元罚款。</t>
        </is>
      </c>
      <c r="AN11" s="430" t="inlineStr">
        <is>
          <t>N/A（减排量取决于项目规模和自愿开发情况）</t>
        </is>
      </c>
      <c r="AO11" s="430" t="inlineStr">
        <is>
          <t>N/A</t>
        </is>
      </c>
      <c r="AP11" s="430" t="inlineStr">
        <is>
          <t>B06</t>
        </is>
      </c>
      <c r="AQ11" s="430" t="inlineStr">
        <is>
          <t>CO2; CH4</t>
        </is>
      </c>
      <c r="AR11" s="430" t="inlineStr">
        <is>
          <t>正向</t>
        </is>
      </c>
      <c r="AS11" s="430" t="inlineStr">
        <is>
          <t>能源安全；资源节约；污染防治</t>
        </is>
      </c>
      <c r="AT11" s="430" t="inlineStr">
        <is>
          <t>关于印发《温室气体自愿减排项目方法学 海上油田伴生气回收利用（CCER-10-002-V01）》等3项方法学的通知（环办气候函〔2025〕428号）</t>
        </is>
      </c>
      <c r="AU11" s="430" t="inlineStr">
        <is>
          <t>https://www.mee.gov.cn/xxgk2018/xxgk/xxgk06/202511/t20251121_1134574.html</t>
        </is>
      </c>
      <c r="AV11" s="430" t="inlineStr">
        <is>
          <t>https://www.cets.org.cn/（全国碳市场信息网）</t>
        </is>
      </c>
      <c r="AW11" s="430" t="inlineStr"/>
    </row>
    <row r="12">
      <c r="A12" s="430" t="inlineStr">
        <is>
          <t>CHNVTSVCMI01S009</t>
        </is>
      </c>
      <c r="B12" s="430" t="inlineStr">
        <is>
          <t>子方案</t>
        </is>
      </c>
      <c r="C12" s="430" t="inlineStr">
        <is>
          <t>自愿交易体系</t>
        </is>
      </c>
      <c r="D12" s="430" t="inlineStr">
        <is>
          <t>自愿碳市场</t>
        </is>
      </c>
      <c r="E12" s="430" t="inlineStr">
        <is>
          <t>能源</t>
        </is>
      </c>
      <c r="F12" s="430" t="inlineStr">
        <is>
          <t>油气伴生气回收</t>
        </is>
      </c>
      <c r="G12" s="430" t="inlineStr">
        <is>
          <t>陆上油田低气量伴生气回收利用（CCER-10-004-V01）</t>
        </is>
      </c>
      <c r="H12" s="430" t="inlineStr">
        <is>
          <t>Onshore Oilfield Low-Volume Associated Gas Recovery and Utilisation (CCER-10-004-V01)</t>
        </is>
      </c>
      <c r="I12" s="430" t="inlineStr">
        <is>
          <t>N/A</t>
        </is>
      </c>
      <c r="J12" s="430"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430" t="inlineStr">
        <is>
          <t>减缓气候变化</t>
        </is>
      </c>
      <c r="L12" s="430" t="inlineStr">
        <is>
          <t>直接</t>
        </is>
      </c>
      <c r="M12" s="430" t="inlineStr">
        <is>
          <t>国家</t>
        </is>
      </c>
      <c r="N12" s="430" t="inlineStr">
        <is>
          <t>N/A</t>
        </is>
      </c>
      <c r="O12" s="430" t="inlineStr">
        <is>
          <t>21/11/2025</t>
        </is>
      </c>
      <c r="P12" s="430" t="inlineStr">
        <is>
          <t>21/11/2025</t>
        </is>
      </c>
      <c r="Q12" s="430" t="inlineStr">
        <is>
          <t>N/A</t>
        </is>
      </c>
      <c r="R12" s="430" t="inlineStr">
        <is>
          <t>N/A</t>
        </is>
      </c>
      <c r="S12" s="430" t="inlineStr">
        <is>
          <t>N/A</t>
        </is>
      </c>
      <c r="T12" s="430">
        <f>IF(P12="","生效",IF(P12="N/A","生效",IF(TODAY()&lt;DATE(VALUE(RIGHT(P12,4)),VALUE(MID(P12,4,2)),VALUE(LEFT(P12,2))),"计划实施",IF(Q12="","生效",IF(Q12="N/A","生效",IF(TODAY()&lt;DATE(VALUE(RIGHT(Q12,4)),VALUE(MID(Q12,4,2)),VALUE(LEFT(Q12,2))),"生效","已终止"))))))</f>
        <v/>
      </c>
      <c r="U12" s="430" t="inlineStr">
        <is>
          <t>生态环境部（应对气候变化司）；国家能源局</t>
        </is>
      </c>
      <c r="V12" s="430" t="inlineStr">
        <is>
          <t>陆上油田低气量伴生气回收利用设施/核证自愿减排量（CCER）</t>
        </is>
      </c>
      <c r="W12" s="430" t="inlineStr">
        <is>
          <t>新建</t>
        </is>
      </c>
      <c r="X12" s="430"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Y12" s="430" t="inlineStr">
        <is>
          <t>N/A</t>
        </is>
      </c>
      <c r="Z12" s="430" t="inlineStr">
        <is>
          <t>N/A</t>
        </is>
      </c>
      <c r="AA12" s="430" t="inlineStr">
        <is>
          <t>企业</t>
        </is>
      </c>
      <c r="AB12" s="430" t="inlineStr">
        <is>
          <t>在中华人民共和国境内依法成立、拥有或管理陆上油田伴生气回收利用设施的法人或其他组织，同一企业位于同一省（自治区、直辖市）内的多个伴生气项目可合并申请CCER登记。</t>
        </is>
      </c>
      <c r="AC12" s="430" t="inlineStr">
        <is>
          <t>注册、许可及行政管理；融资与投资；减排或预防</t>
        </is>
      </c>
      <c r="AD12" s="430"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E12" s="430" t="inlineStr">
        <is>
          <t>70.76</t>
        </is>
      </c>
      <c r="AF12" s="430" t="inlineStr">
        <is>
          <t>元/吨</t>
        </is>
      </c>
      <c r="AG12" s="430" t="inlineStr">
        <is>
          <t>尚无陆上油田低气量伴生气回收利用CCER的独立分类交易价格数据，表中数值为2025年全国CCER综合交易均价（70.76元/吨，来源：北京绿色交易所）。</t>
        </is>
      </c>
      <c r="AH12" s="430"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I12" s="430"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J12" s="430" t="inlineStr">
        <is>
          <t>N/A（仅规定一种核算方法）</t>
        </is>
      </c>
      <c r="AK12" s="430" t="inlineStr">
        <is>
          <t>项目业主通过签发和销售CCER获得碳收益；伴生气回收产品可对外销售形成额外收入。以黑龙江某日处理1.5万m³伴生气的项目为例，获得CCER收益后项目收益率可从约5%提升至约8.5%。</t>
        </is>
      </c>
      <c r="AL12" s="430"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M12" s="430" t="inlineStr">
        <is>
          <t>项目业主提供虚假材料：处1万-10万元罚款并撤销登记、三年内不再受理；审定与核查机构违规：处5万-20万元罚款。</t>
        </is>
      </c>
      <c r="AN12" s="430" t="inlineStr">
        <is>
          <t>N/A（减排量取决于项目规模和自愿开发情况，当前已建项目约30万吨CO₂e/年）</t>
        </is>
      </c>
      <c r="AO12" s="430" t="inlineStr">
        <is>
          <t>N/A</t>
        </is>
      </c>
      <c r="AP12" s="430" t="inlineStr">
        <is>
          <t>B06</t>
        </is>
      </c>
      <c r="AQ12" s="430" t="inlineStr">
        <is>
          <t>CO2; CH4</t>
        </is>
      </c>
      <c r="AR12" s="430" t="inlineStr">
        <is>
          <t>正向</t>
        </is>
      </c>
      <c r="AS12" s="430" t="inlineStr">
        <is>
          <t>能源安全；资源节约；污染防治</t>
        </is>
      </c>
      <c r="AT12" s="430" t="inlineStr">
        <is>
          <t>关于印发《温室气体自愿减排项目方法学 海上油田伴生气回收利用（CCER-10-002-V01）》等3项方法学的通知（环办气候函〔2025〕428号）</t>
        </is>
      </c>
      <c r="AU12" s="430" t="inlineStr">
        <is>
          <t>https://www.mee.gov.cn/xxgk2018/xxgk/xxgk06/202511/t20251121_1134574.html</t>
        </is>
      </c>
      <c r="AV12" s="430" t="inlineStr">
        <is>
          <t>https://www.cets.org.cn/（全国碳市场信息网）</t>
        </is>
      </c>
      <c r="AW12" s="430" t="inlineStr"/>
    </row>
    <row r="13">
      <c r="A13" s="430" t="inlineStr">
        <is>
          <t>CHNVTSVCMI01S010</t>
        </is>
      </c>
      <c r="B13" s="430" t="inlineStr">
        <is>
          <t>子方案</t>
        </is>
      </c>
      <c r="C13" s="430" t="inlineStr">
        <is>
          <t>自愿交易体系</t>
        </is>
      </c>
      <c r="D13" s="430" t="inlineStr">
        <is>
          <t>自愿碳市场</t>
        </is>
      </c>
      <c r="E13" s="430" t="inlineStr">
        <is>
          <t>农业、林业和其他土地利用</t>
        </is>
      </c>
      <c r="F13" s="430" t="inlineStr">
        <is>
          <t>海洋碳汇（蓝碳）</t>
        </is>
      </c>
      <c r="G13" s="430" t="inlineStr">
        <is>
          <t>滨海盐沼植被修复（CCER-14-003-V01）</t>
        </is>
      </c>
      <c r="H13" s="430" t="inlineStr">
        <is>
          <t>Coastal Salt Marsh Vegetation Restoration (CCER-14-003-V01)</t>
        </is>
      </c>
      <c r="I13" s="430" t="inlineStr">
        <is>
          <t>N/A</t>
        </is>
      </c>
      <c r="J13" s="430"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430" t="inlineStr">
        <is>
          <t>减缓气候变化</t>
        </is>
      </c>
      <c r="L13" s="430" t="inlineStr">
        <is>
          <t>直接</t>
        </is>
      </c>
      <c r="M13" s="430" t="inlineStr">
        <is>
          <t>国家</t>
        </is>
      </c>
      <c r="N13" s="430" t="inlineStr">
        <is>
          <t>N/A</t>
        </is>
      </c>
      <c r="O13" s="430" t="inlineStr">
        <is>
          <t>28/11/2025</t>
        </is>
      </c>
      <c r="P13" s="430" t="inlineStr">
        <is>
          <t>28/11/2025</t>
        </is>
      </c>
      <c r="Q13" s="430" t="inlineStr">
        <is>
          <t>N/A</t>
        </is>
      </c>
      <c r="R13" s="430" t="inlineStr">
        <is>
          <t>N/A</t>
        </is>
      </c>
      <c r="S13" s="430" t="inlineStr">
        <is>
          <t>N/A</t>
        </is>
      </c>
      <c r="T13" s="430">
        <f>IF(P13="","生效",IF(P13="N/A","生效",IF(TODAY()&lt;DATE(VALUE(RIGHT(P13,4)),VALUE(MID(P13,4,2)),VALUE(LEFT(P13,2))),"计划实施",IF(Q13="","生效",IF(Q13="N/A","生效",IF(TODAY()&lt;DATE(VALUE(RIGHT(Q13,4)),VALUE(MID(Q13,4,2)),VALUE(LEFT(Q13,2))),"生效","已终止"))))))</f>
        <v/>
      </c>
      <c r="U13" s="430" t="inlineStr">
        <is>
          <t>生态环境部（应对气候变化司）；自然资源部</t>
        </is>
      </c>
      <c r="V13" s="430" t="inlineStr">
        <is>
          <t>滨海盐沼植被修复项目/核证自愿减排量（CCER）</t>
        </is>
      </c>
      <c r="W13" s="430" t="inlineStr">
        <is>
          <t>新建</t>
        </is>
      </c>
      <c r="X13" s="430" t="inlineStr">
        <is>
          <t>本方法学界定和覆盖的对象为在中国境内符合条件的滨海区域实施的盐沼植被修复项目。项目通过恢复和重建滨海盐沼植被（碱蓬、芦苇、盐地碱蓬等）增加生态系统碳汇。计入期20-40年。</t>
        </is>
      </c>
      <c r="Y13" s="430" t="inlineStr">
        <is>
          <t>N/A</t>
        </is>
      </c>
      <c r="Z13" s="430" t="inlineStr">
        <is>
          <t>N/A</t>
        </is>
      </c>
      <c r="AA13" s="430" t="inlineStr">
        <is>
          <t>企业</t>
        </is>
      </c>
      <c r="AB13" s="430" t="inlineStr">
        <is>
          <t>在中华人民共和国境内依法成立、拥有或管理符合方法学要求的滨海盐沼修复用地的法人或其他组织，可自愿依据方法学开发项目并申请CCER登记。</t>
        </is>
      </c>
      <c r="AC13" s="430" t="inlineStr">
        <is>
          <t>注册、许可及行政管理；融资与投资；减排或预防</t>
        </is>
      </c>
      <c r="AD13" s="430"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E13" s="430" t="inlineStr">
        <is>
          <t>70.76</t>
        </is>
      </c>
      <c r="AF13" s="430" t="inlineStr">
        <is>
          <t>元/吨</t>
        </is>
      </c>
      <c r="AG13" s="430" t="inlineStr">
        <is>
          <t>尚无滨海盐沼植被修复CCER的独立分类交易价格数据，表中数值为2025年全国CCER综合交易均价（70.76元/吨，来源：北京绿色交易所）。</t>
        </is>
      </c>
      <c r="AH13" s="430" t="inlineStr">
        <is>
          <t>1）项目须在符合条件的滨海区域实施盐沼植被修复；2）项目土地权属和减排量权属清晰；3）计入期最短20年、最长40年；4）同一省内多个项目可合并申请；5）额外性免予论证。</t>
        </is>
      </c>
      <c r="AI13" s="430" t="inlineStr">
        <is>
          <t>净碳汇量 = 项目碳汇量变化 - 基准线碳汇量变化。碳库涵盖地上生物量、地下生物量和土壤有机碳，采用储量变化法核算各碳库碳储量变化。基准线碳汇量基于项目开始前土地碳储量水平确定。</t>
        </is>
      </c>
      <c r="AJ13" s="430" t="inlineStr">
        <is>
          <t>N/A（仅规定一种核算方法）</t>
        </is>
      </c>
      <c r="AK13" s="430" t="inlineStr">
        <is>
          <t>项目业主通过签发和销售CCER获得碳收益；滨海盐沼植被修复兼具海岸防护、生物多样性保护、水质净化等多重生态效益。</t>
        </is>
      </c>
      <c r="AL13" s="430" t="inlineStr">
        <is>
          <t>项目业主按方法学规定的监测频率和方法对各碳库变化量进行监测和核算；省级和设区的市级生态环境主管部门会同自然资源主管部门开展监督检查。</t>
        </is>
      </c>
      <c r="AM13" s="430" t="inlineStr">
        <is>
          <t>项目业主提供虚假材料：处1万-10万元罚款并撤销登记、三年内不再受理；审定与核查机构违规：处5万-20万元罚款。</t>
        </is>
      </c>
      <c r="AN13" s="430" t="inlineStr">
        <is>
          <t>N/A（减排量取决于项目规模和自愿开发情况）</t>
        </is>
      </c>
      <c r="AO13" s="430" t="inlineStr">
        <is>
          <t>N/A</t>
        </is>
      </c>
      <c r="AP13" s="430" t="inlineStr">
        <is>
          <t>A02</t>
        </is>
      </c>
      <c r="AQ13" s="430" t="inlineStr">
        <is>
          <t>CO2</t>
        </is>
      </c>
      <c r="AR13" s="430" t="inlineStr">
        <is>
          <t>正向</t>
        </is>
      </c>
      <c r="AS13" s="430" t="inlineStr">
        <is>
          <t>生态保护；生物多样性保护；污染防治；产业发展；适应气候变化</t>
        </is>
      </c>
      <c r="AT13" s="430" t="inlineStr">
        <is>
          <t>关于印发《温室气体自愿减排项目方法学 滨海盐沼植被修复（CCER-14-003-V01）》等2项方法学的通知（环办气候函〔2025〕451号）</t>
        </is>
      </c>
      <c r="AU13" s="430" t="inlineStr">
        <is>
          <t>https://www.mee.gov.cn/xxgk2018/xxgk/xxgk06/202512/t20251203_1137023.html</t>
        </is>
      </c>
      <c r="AV13" s="430" t="inlineStr">
        <is>
          <t>https://www.cets.org.cn/（全国碳市场信息网）</t>
        </is>
      </c>
      <c r="AW13" s="430" t="inlineStr"/>
    </row>
    <row r="14">
      <c r="A14" s="430" t="inlineStr">
        <is>
          <t>CHNVTSVCMI01S011</t>
        </is>
      </c>
      <c r="B14" s="430" t="inlineStr">
        <is>
          <t>子方案</t>
        </is>
      </c>
      <c r="C14" s="430" t="inlineStr">
        <is>
          <t>自愿交易体系</t>
        </is>
      </c>
      <c r="D14" s="430" t="inlineStr">
        <is>
          <t>自愿碳市场</t>
        </is>
      </c>
      <c r="E14" s="430" t="inlineStr">
        <is>
          <t>农业、林业和其他土地利用</t>
        </is>
      </c>
      <c r="F14" s="430" t="inlineStr">
        <is>
          <t>海洋碳汇（蓝碳）</t>
        </is>
      </c>
      <c r="G14" s="430" t="inlineStr">
        <is>
          <t>海草床植被修复（CCER-14-004-V01）</t>
        </is>
      </c>
      <c r="H14" s="430" t="inlineStr">
        <is>
          <t>Seagrass Bed Vegetation Restoration (CCER-14-004-V01)</t>
        </is>
      </c>
      <c r="I14" s="430" t="inlineStr">
        <is>
          <t>N/A</t>
        </is>
      </c>
      <c r="J14" s="430"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430" t="inlineStr">
        <is>
          <t>减缓气候变化</t>
        </is>
      </c>
      <c r="L14" s="430" t="inlineStr">
        <is>
          <t>直接</t>
        </is>
      </c>
      <c r="M14" s="430" t="inlineStr">
        <is>
          <t>国家</t>
        </is>
      </c>
      <c r="N14" s="430" t="inlineStr">
        <is>
          <t>N/A</t>
        </is>
      </c>
      <c r="O14" s="430" t="inlineStr">
        <is>
          <t>28/11/2025</t>
        </is>
      </c>
      <c r="P14" s="430" t="inlineStr">
        <is>
          <t>28/11/2025</t>
        </is>
      </c>
      <c r="Q14" s="430" t="inlineStr">
        <is>
          <t>N/A</t>
        </is>
      </c>
      <c r="R14" s="430" t="inlineStr">
        <is>
          <t>N/A</t>
        </is>
      </c>
      <c r="S14" s="430" t="inlineStr">
        <is>
          <t>N/A</t>
        </is>
      </c>
      <c r="T14" s="430">
        <f>IF(P14="","生效",IF(P14="N/A","生效",IF(TODAY()&lt;DATE(VALUE(RIGHT(P14,4)),VALUE(MID(P14,4,2)),VALUE(LEFT(P14,2))),"计划实施",IF(Q14="","生效",IF(Q14="N/A","生效",IF(TODAY()&lt;DATE(VALUE(RIGHT(Q14,4)),VALUE(MID(Q14,4,2)),VALUE(LEFT(Q14,2))),"生效","已终止"))))))</f>
        <v/>
      </c>
      <c r="U14" s="430" t="inlineStr">
        <is>
          <t>生态环境部（应对气候变化司）；自然资源部</t>
        </is>
      </c>
      <c r="V14" s="430" t="inlineStr">
        <is>
          <t>海草床植被修复项目/核证自愿减排量（CCER）</t>
        </is>
      </c>
      <c r="W14" s="430" t="inlineStr">
        <is>
          <t>新建</t>
        </is>
      </c>
      <c r="X14" s="430" t="inlineStr">
        <is>
          <t>本方法学界定和覆盖的对象为在中国境内符合条件的海域实施的海草床（鳗草、海菖蒲等）植被修复项目。项目通过海草植株移植、种子播种等方式恢复和重建海草床生态系统碳汇。计入期20-40年。</t>
        </is>
      </c>
      <c r="Y14" s="430" t="inlineStr">
        <is>
          <t>N/A</t>
        </is>
      </c>
      <c r="Z14" s="430" t="inlineStr">
        <is>
          <t>N/A</t>
        </is>
      </c>
      <c r="AA14" s="430" t="inlineStr">
        <is>
          <t>企业</t>
        </is>
      </c>
      <c r="AB14" s="430" t="inlineStr">
        <is>
          <t>在中华人民共和国境内依法成立、拥有或管理符合方法学要求的海草床修复区域的法人或其他组织，可自愿依据方法学开发项目并申请CCER登记。</t>
        </is>
      </c>
      <c r="AC14" s="430" t="inlineStr">
        <is>
          <t>注册、许可及行政管理；融资与投资；减排或预防</t>
        </is>
      </c>
      <c r="AD14" s="430" t="inlineStr">
        <is>
          <t>项目业主依据方法学界定项目边界和碳库，编制项目设计文件并经审定机构审定；按监测频率对各碳库变化量进行监测和核算；编制减排量核算报告经核查机构核查后申请CCER签发。</t>
        </is>
      </c>
      <c r="AE14" s="430" t="inlineStr">
        <is>
          <t>70.76</t>
        </is>
      </c>
      <c r="AF14" s="430" t="inlineStr">
        <is>
          <t>元/吨</t>
        </is>
      </c>
      <c r="AG14" s="430" t="inlineStr">
        <is>
          <t>尚无海草床植被修复CCER的独立分类交易价格数据，表中数值为2025年全国CCER综合交易均价（70.76元/吨，来源：北京绿色交易所）。</t>
        </is>
      </c>
      <c r="AH14" s="430" t="inlineStr">
        <is>
          <t>1）项目须在符合条件的海域实施海草床植被修复；2）项目边界和减排量权属清晰；3）计入期最短20年、最长40年；4）同一省内多个项目可合并申请；5）额外性免予论证。</t>
        </is>
      </c>
      <c r="AI14" s="430" t="inlineStr">
        <is>
          <t>净碳汇量 = 项目碳汇量变化 - 基准线碳汇量变化。碳库涵盖海草地上生物量、地下生物量和沉积物有机碳，采用储量变化法核算各碳库碳储量变化。</t>
        </is>
      </c>
      <c r="AJ14" s="430" t="inlineStr">
        <is>
          <t>N/A（仅规定一种核算方法）</t>
        </is>
      </c>
      <c r="AK14" s="430" t="inlineStr">
        <is>
          <t>项目业主通过签发和销售CCER获得碳收益；海草床植被修复兼具海洋生物多样性保护、水质净化、海岸保护等多重生态效益。</t>
        </is>
      </c>
      <c r="AL14" s="430" t="inlineStr">
        <is>
          <t>项目业主按方法学规定的监测频率和方法对各碳库变化量进行监测和核算；省级和设区的市级生态环境主管部门会同自然资源主管部门开展监督检查。</t>
        </is>
      </c>
      <c r="AM14" s="430" t="inlineStr">
        <is>
          <t>项目业主提供虚假材料：处1万-10万元罚款并撤销登记、三年内不再受理；审定与核查机构违规：处5万-20万元罚款。</t>
        </is>
      </c>
      <c r="AN14" s="430" t="inlineStr">
        <is>
          <t>N/A（减排量取决于项目规模和自愿开发情况）</t>
        </is>
      </c>
      <c r="AO14" s="430" t="inlineStr">
        <is>
          <t>N/A</t>
        </is>
      </c>
      <c r="AP14" s="430" t="inlineStr">
        <is>
          <t>A02</t>
        </is>
      </c>
      <c r="AQ14" s="430" t="inlineStr">
        <is>
          <t>CO2</t>
        </is>
      </c>
      <c r="AR14" s="430" t="inlineStr">
        <is>
          <t>正向</t>
        </is>
      </c>
      <c r="AS14" s="430" t="inlineStr">
        <is>
          <t>生态保护；生物多样性保护；污染防治；产业发展；适应气候变化</t>
        </is>
      </c>
      <c r="AT14" s="430" t="inlineStr">
        <is>
          <t>关于印发《温室气体自愿减排项目方法学 滨海盐沼植被修复（CCER-14-003-V01）》等2项方法学的通知（环办气候函〔2025〕451号）</t>
        </is>
      </c>
      <c r="AU14" s="430" t="inlineStr">
        <is>
          <t>https://www.mee.gov.cn/xxgk2018/xxgk/xxgk06/202512/t20251203_1137023.html</t>
        </is>
      </c>
      <c r="AV14" s="430" t="inlineStr">
        <is>
          <t>https://www.cets.org.cn/（全国碳市场信息网）</t>
        </is>
      </c>
      <c r="AW14" s="430" t="inlineStr"/>
    </row>
    <row r="15">
      <c r="A15" s="430" t="inlineStr">
        <is>
          <t>CHNVTSVCMI01S012</t>
        </is>
      </c>
      <c r="B15" s="430" t="inlineStr">
        <is>
          <t>子方案</t>
        </is>
      </c>
      <c r="C15" s="430" t="inlineStr">
        <is>
          <t>自愿交易体系</t>
        </is>
      </c>
      <c r="D15" s="430" t="inlineStr">
        <is>
          <t>自愿碳市场</t>
        </is>
      </c>
      <c r="E15" s="430" t="inlineStr">
        <is>
          <t>农业、林业和其他土地利用</t>
        </is>
      </c>
      <c r="F15" s="430" t="inlineStr">
        <is>
          <t>淤地坝碳汇</t>
        </is>
      </c>
      <c r="G15" s="430" t="inlineStr">
        <is>
          <t>淤地坝碳汇（CCER-14-005-V01）</t>
        </is>
      </c>
      <c r="H15" s="430" t="inlineStr">
        <is>
          <t>Check Dam Carbon Sink (CCER-14-005-V01)</t>
        </is>
      </c>
      <c r="I15" s="430" t="inlineStr">
        <is>
          <t>N/A</t>
        </is>
      </c>
      <c r="J15" s="430"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430" t="inlineStr">
        <is>
          <t>减缓气候变化</t>
        </is>
      </c>
      <c r="L15" s="430" t="inlineStr">
        <is>
          <t>直接</t>
        </is>
      </c>
      <c r="M15" s="430" t="inlineStr">
        <is>
          <t>国家</t>
        </is>
      </c>
      <c r="N15" s="430" t="inlineStr">
        <is>
          <t>N/A</t>
        </is>
      </c>
      <c r="O15" s="430" t="inlineStr">
        <is>
          <t>25/11/2025</t>
        </is>
      </c>
      <c r="P15" s="430" t="inlineStr">
        <is>
          <t>25/11/2025</t>
        </is>
      </c>
      <c r="Q15" s="430" t="inlineStr">
        <is>
          <t>N/A</t>
        </is>
      </c>
      <c r="R15" s="430" t="inlineStr">
        <is>
          <t>N/A</t>
        </is>
      </c>
      <c r="S15" s="430" t="inlineStr">
        <is>
          <t>N/A</t>
        </is>
      </c>
      <c r="T15" s="430">
        <f>IF(P15="","生效",IF(P15="N/A","生效",IF(TODAY()&lt;DATE(VALUE(RIGHT(P15,4)),VALUE(MID(P15,4,2)),VALUE(LEFT(P15,2))),"计划实施",IF(Q15="","生效",IF(Q15="N/A","生效",IF(TODAY()&lt;DATE(VALUE(RIGHT(Q15,4)),VALUE(MID(Q15,4,2)),VALUE(LEFT(Q15,2))),"生效","已终止"))))))</f>
        <v/>
      </c>
      <c r="U15" s="430" t="inlineStr">
        <is>
          <t>生态环境部（应对气候变化司）；水利部</t>
        </is>
      </c>
      <c r="V15" s="430" t="inlineStr">
        <is>
          <t>淤地坝碳汇项目/核证自愿减排量（CCER）</t>
        </is>
      </c>
      <c r="W15" s="430" t="inlineStr">
        <is>
          <t>新建</t>
        </is>
      </c>
      <c r="X15" s="430"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Y15" s="430" t="inlineStr">
        <is>
          <t>N/A</t>
        </is>
      </c>
      <c r="Z15" s="430" t="inlineStr">
        <is>
          <t>N/A</t>
        </is>
      </c>
      <c r="AA15" s="430" t="inlineStr">
        <is>
          <t>企业</t>
        </is>
      </c>
      <c r="AB15" s="430" t="inlineStr">
        <is>
          <t>淤地坝产权所有者或其授权的法人主体，同一县级行政区域内多个淤地坝（淤地坝系）可合并为一个项目申请CCER登记。</t>
        </is>
      </c>
      <c r="AC15" s="430" t="inlineStr">
        <is>
          <t>注册、许可及行政管理；融资与投资；减排或预防</t>
        </is>
      </c>
      <c r="AD15" s="430"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E15" s="430" t="inlineStr">
        <is>
          <t>70.76</t>
        </is>
      </c>
      <c r="AF15" s="430" t="inlineStr">
        <is>
          <t>元/吨</t>
        </is>
      </c>
      <c r="AG15" s="430" t="inlineStr">
        <is>
          <t>尚无淤地坝碳汇CCER的独立分类交易价格数据，表中数值为2025年全国CCER综合交易均价（70.76元/吨，来源：北京绿色交易所）。</t>
        </is>
      </c>
      <c r="AH15" s="430" t="inlineStr">
        <is>
          <t>1）淤地坝须按SL/T804标准建设，坝体完好、权属清晰；2）计入期最短10年、最长40年；3）采用计量参数缺省值降低开发成本；4）非持久性风险扣减率1%；5）同一县级行政区域内多个淤地坝可合并申请；6）额外性免予论证。</t>
        </is>
      </c>
      <c r="AI15" s="430"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J15" s="430" t="inlineStr">
        <is>
          <t>N/A（仅规定一种核算方法）</t>
        </is>
      </c>
      <c r="AK15" s="430" t="inlineStr">
        <is>
          <t>项目业主通过签发和销售CCER获得碳收益；淤地坝兼具水土保持、防洪减沙、增加耕地等多重生态社会效益。</t>
        </is>
      </c>
      <c r="AL15" s="430" t="inlineStr">
        <is>
          <t>项目业主建立内部数据质量保障管理制度；土壤样品须在获CMA认证的第三方计量技术机构检验；省级和设区的市级生态环境主管部门会同水行政部门开展监督检查。</t>
        </is>
      </c>
      <c r="AM15" s="430" t="inlineStr">
        <is>
          <t>项目业主提供虚假材料：处1万-10万元罚款并撤销登记、三年内不再受理；审定与核查机构违规：处5万-20万元罚款。</t>
        </is>
      </c>
      <c r="AN15" s="430" t="inlineStr">
        <is>
          <t>N/A（减排量取决于项目规模和自愿开发情况）</t>
        </is>
      </c>
      <c r="AO15" s="430" t="inlineStr">
        <is>
          <t>N/A</t>
        </is>
      </c>
      <c r="AP15" s="430" t="inlineStr">
        <is>
          <t>A02</t>
        </is>
      </c>
      <c r="AQ15" s="430" t="inlineStr">
        <is>
          <t>CO2</t>
        </is>
      </c>
      <c r="AR15" s="430" t="inlineStr">
        <is>
          <t>正向</t>
        </is>
      </c>
      <c r="AS15" s="430" t="inlineStr">
        <is>
          <t>生态保护；污染防治；产业发展；适应气候变化</t>
        </is>
      </c>
      <c r="AT15" s="430" t="inlineStr">
        <is>
          <t>关于印发《温室气体自愿减排项目方法学 淤地坝碳汇（CCER-14-005-V01）》的通知（环办气候函〔2025〕438号）</t>
        </is>
      </c>
      <c r="AU15" s="430" t="inlineStr">
        <is>
          <t>https://www.mee.gov.cn/xxgk2018/xxgk/xxgk06/202512/t20251202_1136958.html</t>
        </is>
      </c>
      <c r="AV15" s="430" t="inlineStr">
        <is>
          <t>https://www.cets.org.cn/（全国碳市场信息网）</t>
        </is>
      </c>
      <c r="AW15" s="430" t="inlineStr"/>
    </row>
    <row r="16">
      <c r="A16" s="430" t="inlineStr">
        <is>
          <t>CHNVTSVCMI01S013</t>
        </is>
      </c>
      <c r="B16" s="430" t="inlineStr">
        <is>
          <t>子方案</t>
        </is>
      </c>
      <c r="C16" s="430" t="inlineStr">
        <is>
          <t>自愿交易体系</t>
        </is>
      </c>
      <c r="D16" s="430" t="inlineStr">
        <is>
          <t>自愿碳市场</t>
        </is>
      </c>
      <c r="E16" s="430" t="inlineStr">
        <is>
          <t>农业、林业和其他土地利用</t>
        </is>
      </c>
      <c r="F16" s="430" t="inlineStr">
        <is>
          <t>农业废弃物沼气利用</t>
        </is>
      </c>
      <c r="G16" s="430" t="inlineStr">
        <is>
          <t>规模化猪场粪污沼气回收利用工程（CCER-15-001-V01）</t>
        </is>
      </c>
      <c r="H16" s="430" t="inlineStr">
        <is>
          <t>Large-Scale Pig Farm Manure Biogas Recovery and Utilisation Project (CCER-15-001-V01)</t>
        </is>
      </c>
      <c r="I16" s="430" t="inlineStr">
        <is>
          <t>N/A</t>
        </is>
      </c>
      <c r="J16" s="430"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430" t="inlineStr">
        <is>
          <t>减缓气候变化</t>
        </is>
      </c>
      <c r="L16" s="430" t="inlineStr">
        <is>
          <t>直接</t>
        </is>
      </c>
      <c r="M16" s="430" t="inlineStr">
        <is>
          <t>国家</t>
        </is>
      </c>
      <c r="N16" s="430" t="inlineStr">
        <is>
          <t>N/A</t>
        </is>
      </c>
      <c r="O16" s="430" t="inlineStr">
        <is>
          <t>12/12/2025</t>
        </is>
      </c>
      <c r="P16" s="430" t="inlineStr">
        <is>
          <t>12/12/2025</t>
        </is>
      </c>
      <c r="Q16" s="430" t="inlineStr">
        <is>
          <t>N/A</t>
        </is>
      </c>
      <c r="R16" s="430" t="inlineStr">
        <is>
          <t>N/A</t>
        </is>
      </c>
      <c r="S16" s="430" t="inlineStr">
        <is>
          <t>N/A</t>
        </is>
      </c>
      <c r="T16" s="430">
        <f>IF(P16="","生效",IF(P16="N/A","生效",IF(TODAY()&lt;DATE(VALUE(RIGHT(P16,4)),VALUE(MID(P16,4,2)),VALUE(LEFT(P16,2))),"计划实施",IF(Q16="","生效",IF(Q16="N/A","生效",IF(TODAY()&lt;DATE(VALUE(RIGHT(Q16,4)),VALUE(MID(Q16,4,2)),VALUE(LEFT(Q16,2))),"生效","已终止"))))))</f>
        <v/>
      </c>
      <c r="U16" s="430" t="inlineStr">
        <is>
          <t>生态环境部（应对气候变化司）；农业农村部</t>
        </is>
      </c>
      <c r="V16" s="430" t="inlineStr">
        <is>
          <t>规模化猪场粪污沼气回收利用工程/核证自愿减排量（CCER）</t>
        </is>
      </c>
      <c r="W16" s="430" t="inlineStr">
        <is>
          <t>新建</t>
        </is>
      </c>
      <c r="X16" s="430"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Y16" s="430" t="inlineStr">
        <is>
          <t>N/A</t>
        </is>
      </c>
      <c r="Z16" s="430" t="inlineStr">
        <is>
          <t>N/A</t>
        </is>
      </c>
      <c r="AA16" s="430" t="inlineStr">
        <is>
          <t>企业</t>
        </is>
      </c>
      <c r="AB16" s="430" t="inlineStr">
        <is>
          <t>在中华人民共和国境内依法成立、经营规模化猪场（年出栏五百头以上）的法人或其他组织。同一法人在同一省内的多个猪场粪污沼气回收利用工程可合并申请。</t>
        </is>
      </c>
      <c r="AC16" s="430" t="inlineStr">
        <is>
          <t>注册、许可及行政管理；融资与投资；减排或预防</t>
        </is>
      </c>
      <c r="AD16" s="430"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E16" s="430" t="inlineStr">
        <is>
          <t>70.76</t>
        </is>
      </c>
      <c r="AF16" s="430" t="inlineStr">
        <is>
          <t>元/吨</t>
        </is>
      </c>
      <c r="AG16" s="430" t="inlineStr">
        <is>
          <t>尚无农业领域CCER的独立分类交易价格数据，表中数值为2025年全国CCER综合交易均价（70.76元/吨，来源：北京绿色交易所）。</t>
        </is>
      </c>
      <c r="AH16" s="430"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I16" s="430"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J16" s="430" t="inlineStr">
        <is>
          <t>N/A（仅规定一种核算方法）</t>
        </is>
      </c>
      <c r="AK16" s="430" t="inlineStr">
        <is>
          <t>项目业主通过签发和销售CCER获得碳收益；沼气发电、供气或生物天然气销售可形成额外收入；沼渣沼液农田利用可替代化肥，降低农业投入成本。</t>
        </is>
      </c>
      <c r="AL16" s="430"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M16" s="430" t="inlineStr">
        <is>
          <t>项目业主提供虚假材料：处1万-10万元罚款并撤销登记、三年内不再受理；审定与核查机构违规：处5万-20万元罚款。</t>
        </is>
      </c>
      <c r="AN16" s="430" t="inlineStr">
        <is>
          <t>N/A（减排量取决于项目规模和自愿开发情况）</t>
        </is>
      </c>
      <c r="AO16" s="430" t="inlineStr">
        <is>
          <t>N/A</t>
        </is>
      </c>
      <c r="AP16" s="430" t="inlineStr">
        <is>
          <t>A01</t>
        </is>
      </c>
      <c r="AQ16" s="430" t="inlineStr">
        <is>
          <t>CH4</t>
        </is>
      </c>
      <c r="AR16" s="430" t="inlineStr">
        <is>
          <t>正向</t>
        </is>
      </c>
      <c r="AS16" s="430" t="inlineStr">
        <is>
          <t>污染防治；资源节约；产业发展</t>
        </is>
      </c>
      <c r="AT16" s="430" t="inlineStr">
        <is>
          <t>关于印发《温室气体自愿减排项目方法学 规模化猪场粪污沼气回收利用工程（CCER-15-001-V01）》等2项方法学的通知（环办气候函〔2025〕473号）</t>
        </is>
      </c>
      <c r="AU16" s="430" t="inlineStr">
        <is>
          <t>https://www.mee.gov.cn/xxgk2018/xxgk/xxgk06/202512/t20251217_1138026.html</t>
        </is>
      </c>
      <c r="AV16" s="430" t="inlineStr">
        <is>
          <t>https://www.cets.org.cn/（全国碳市场信息网）</t>
        </is>
      </c>
      <c r="AW16" s="430" t="inlineStr"/>
    </row>
    <row r="17">
      <c r="A17" s="430" t="inlineStr">
        <is>
          <t>CHNVTSVCMI01S014</t>
        </is>
      </c>
      <c r="B17" s="430" t="inlineStr">
        <is>
          <t>子方案</t>
        </is>
      </c>
      <c r="C17" s="430" t="inlineStr">
        <is>
          <t>自愿交易体系</t>
        </is>
      </c>
      <c r="D17" s="430" t="inlineStr">
        <is>
          <t>自愿碳市场</t>
        </is>
      </c>
      <c r="E17" s="430" t="inlineStr">
        <is>
          <t>农业、林业和其他土地利用</t>
        </is>
      </c>
      <c r="F17" s="430" t="inlineStr">
        <is>
          <t>农业废弃物沼气利用</t>
        </is>
      </c>
      <c r="G17" s="430" t="inlineStr">
        <is>
          <t>农业废弃物集中处理工程（CCER-15-002-V01）</t>
        </is>
      </c>
      <c r="H17" s="430" t="inlineStr">
        <is>
          <t>Centralised Agricultural Waste Treatment Project (CCER-15-002-V01)</t>
        </is>
      </c>
      <c r="I17" s="430" t="inlineStr">
        <is>
          <t>N/A</t>
        </is>
      </c>
      <c r="J17" s="430"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430" t="inlineStr">
        <is>
          <t>减缓气候变化</t>
        </is>
      </c>
      <c r="L17" s="430" t="inlineStr">
        <is>
          <t>直接</t>
        </is>
      </c>
      <c r="M17" s="430" t="inlineStr">
        <is>
          <t>国家</t>
        </is>
      </c>
      <c r="N17" s="430" t="inlineStr">
        <is>
          <t>N/A</t>
        </is>
      </c>
      <c r="O17" s="430" t="inlineStr">
        <is>
          <t>12/12/2025</t>
        </is>
      </c>
      <c r="P17" s="430" t="inlineStr">
        <is>
          <t>12/12/2025</t>
        </is>
      </c>
      <c r="Q17" s="430" t="inlineStr">
        <is>
          <t>N/A</t>
        </is>
      </c>
      <c r="R17" s="430" t="inlineStr">
        <is>
          <t>N/A</t>
        </is>
      </c>
      <c r="S17" s="430" t="inlineStr">
        <is>
          <t>N/A</t>
        </is>
      </c>
      <c r="T17" s="430">
        <f>IF(P17="","生效",IF(P17="N/A","生效",IF(TODAY()&lt;DATE(VALUE(RIGHT(P17,4)),VALUE(MID(P17,4,2)),VALUE(LEFT(P17,2))),"计划实施",IF(Q17="","生效",IF(Q17="N/A","生效",IF(TODAY()&lt;DATE(VALUE(RIGHT(Q17,4)),VALUE(MID(Q17,4,2)),VALUE(LEFT(Q17,2))),"生效","已终止"))))))</f>
        <v/>
      </c>
      <c r="U17" s="430" t="inlineStr">
        <is>
          <t>生态环境部（应对气候变化司）；农业农村部</t>
        </is>
      </c>
      <c r="V17" s="430" t="inlineStr">
        <is>
          <t>农业废弃物集中处理工程/核证自愿减排量（CCER）</t>
        </is>
      </c>
      <c r="W17" s="430" t="inlineStr">
        <is>
          <t>新建</t>
        </is>
      </c>
      <c r="X17" s="430"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Y17" s="430" t="inlineStr">
        <is>
          <t>N/A</t>
        </is>
      </c>
      <c r="Z17" s="430" t="inlineStr">
        <is>
          <t>N/A</t>
        </is>
      </c>
      <c r="AA17" s="430" t="inlineStr">
        <is>
          <t>企业</t>
        </is>
      </c>
      <c r="AB17" s="430" t="inlineStr">
        <is>
          <t>在中华人民共和国境内依法成立、运营农业废弃物集中处理设施的法人或其他组织。项目业主须与畜禽养殖场户和种植场户签署合作协议，同一养殖场户只能与一个集中处理项目签署合作协议。</t>
        </is>
      </c>
      <c r="AC17" s="430" t="inlineStr">
        <is>
          <t>注册、许可及行政管理；融资与投资；减排或预防</t>
        </is>
      </c>
      <c r="AD17" s="430"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E17" s="430" t="inlineStr">
        <is>
          <t>70.76</t>
        </is>
      </c>
      <c r="AF17" s="430" t="inlineStr">
        <is>
          <t>元/吨</t>
        </is>
      </c>
      <c r="AG17" s="430" t="inlineStr">
        <is>
          <t>尚无农业废弃物集中处理CCER的独立分类交易价格数据，表中数值为2025年全国CCER综合交易均价（70.76元/吨，来源：北京绿色交易所）。</t>
        </is>
      </c>
      <c r="AH17" s="430"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I17" s="430"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J17" s="430" t="inlineStr">
        <is>
          <t>N/A（仅规定一种核算方法）</t>
        </is>
      </c>
      <c r="AK17" s="430" t="inlineStr">
        <is>
          <t>项目业主通过签发和销售CCER获得碳收益；沼气发电、供气或生物天然气销售形成额外收入；沼渣沼液农田利用可替代化肥。</t>
        </is>
      </c>
      <c r="AL17" s="430" t="inlineStr">
        <is>
          <t>项目业主对进料量、沼气产生量、甲烷体积浓度、发电量/供气量、运输车辆往返距离、运输废弃物质量等关键参数进行持续监测；监测数据须与全国碳市场管理平台联网并每小时上传一次。</t>
        </is>
      </c>
      <c r="AM17" s="430" t="inlineStr">
        <is>
          <t>项目业主提供虚假材料：处1万-10万元罚款并撤销登记、三年内不再受理；审定与核查机构违规：处5万-20万元罚款。</t>
        </is>
      </c>
      <c r="AN17" s="430" t="inlineStr">
        <is>
          <t>N/A（减排量取决于项目规模和自愿开发情况）</t>
        </is>
      </c>
      <c r="AO17" s="430" t="inlineStr">
        <is>
          <t>N/A</t>
        </is>
      </c>
      <c r="AP17" s="430" t="inlineStr">
        <is>
          <t>A01</t>
        </is>
      </c>
      <c r="AQ17" s="430" t="inlineStr">
        <is>
          <t>CH4</t>
        </is>
      </c>
      <c r="AR17" s="430" t="inlineStr">
        <is>
          <t>正向</t>
        </is>
      </c>
      <c r="AS17" s="430" t="inlineStr">
        <is>
          <t>污染防治；资源节约；产业发展</t>
        </is>
      </c>
      <c r="AT17" s="430" t="inlineStr">
        <is>
          <t>关于印发《温室气体自愿减排项目方法学 规模化猪场粪污沼气回收利用工程（CCER-15-001-V01）》等2项方法学的通知（环办气候函〔2025〕473号）</t>
        </is>
      </c>
      <c r="AU17" s="430" t="inlineStr">
        <is>
          <t>https://www.mee.gov.cn/xxgk2018/xxgk/xxgk06/202512/t20251217_1138026.html</t>
        </is>
      </c>
      <c r="AV17" s="430" t="inlineStr">
        <is>
          <t>https://www.cets.org.cn/（全国碳市场信息网）</t>
        </is>
      </c>
      <c r="AW17" s="430" t="inlineStr"/>
    </row>
    <row r="18">
      <c r="A18" s="430" t="inlineStr">
        <is>
          <t>CHNVTSVCMI01S015</t>
        </is>
      </c>
      <c r="B18" s="430" t="inlineStr">
        <is>
          <t>子方案</t>
        </is>
      </c>
      <c r="C18" s="430" t="inlineStr">
        <is>
          <t>自愿交易体系</t>
        </is>
      </c>
      <c r="D18" s="430" t="inlineStr">
        <is>
          <t>自愿碳市场</t>
        </is>
      </c>
      <c r="E18" s="430" t="inlineStr">
        <is>
          <t>建筑</t>
        </is>
      </c>
      <c r="F18" s="430" t="inlineStr">
        <is>
          <t>建筑节能改造</t>
        </is>
      </c>
      <c r="G18" s="430" t="inlineStr">
        <is>
          <t>既有公共建筑围护结构与供暖通风空调系统能效提升（CCER-06-001-V01）</t>
        </is>
      </c>
      <c r="H18" s="430" t="inlineStr">
        <is>
          <t>Energy Efficiency Improvement of Existing Public Building Envelope and HVAC Systems (CCER-06-001-V01)</t>
        </is>
      </c>
      <c r="I18" s="430" t="inlineStr">
        <is>
          <t>N/A</t>
        </is>
      </c>
      <c r="J18" s="430"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430" t="inlineStr">
        <is>
          <t>减缓气候变化</t>
        </is>
      </c>
      <c r="L18" s="430" t="inlineStr">
        <is>
          <t>直接</t>
        </is>
      </c>
      <c r="M18" s="430" t="inlineStr">
        <is>
          <t>国家</t>
        </is>
      </c>
      <c r="N18" s="430" t="inlineStr">
        <is>
          <t>N/A</t>
        </is>
      </c>
      <c r="O18" s="430" t="inlineStr">
        <is>
          <t>19/12/2025</t>
        </is>
      </c>
      <c r="P18" s="430" t="inlineStr">
        <is>
          <t>19/12/2025</t>
        </is>
      </c>
      <c r="Q18" s="430" t="inlineStr">
        <is>
          <t>N/A</t>
        </is>
      </c>
      <c r="R18" s="430" t="inlineStr">
        <is>
          <t>N/A</t>
        </is>
      </c>
      <c r="S18" s="430" t="inlineStr">
        <is>
          <t>N/A</t>
        </is>
      </c>
      <c r="T18" s="430">
        <f>IF(P18="","生效",IF(P18="N/A","生效",IF(TODAY()&lt;DATE(VALUE(RIGHT(P18,4)),VALUE(MID(P18,4,2)),VALUE(LEFT(P18,2))),"计划实施",IF(Q18="","生效",IF(Q18="N/A","生效",IF(TODAY()&lt;DATE(VALUE(RIGHT(Q18,4)),VALUE(MID(Q18,4,2)),VALUE(LEFT(Q18,2))),"生效","已终止"))))))</f>
        <v/>
      </c>
      <c r="U18" s="430" t="inlineStr">
        <is>
          <t>生态环境部（应对气候变化司）；住房和城乡建设部</t>
        </is>
      </c>
      <c r="V18" s="430" t="inlineStr">
        <is>
          <t>既有公共建筑能效提升改造项目/核证自愿减排量（CCER）</t>
        </is>
      </c>
      <c r="W18" s="430" t="inlineStr">
        <is>
          <t>新建</t>
        </is>
      </c>
      <c r="X18" s="430"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Y18" s="430" t="inlineStr">
        <is>
          <t>N/A</t>
        </is>
      </c>
      <c r="Z18" s="430" t="inlineStr">
        <is>
          <t>N/A</t>
        </is>
      </c>
      <c r="AA18" s="430" t="inlineStr">
        <is>
          <t>企业</t>
        </is>
      </c>
      <c r="AB18" s="430" t="inlineStr">
        <is>
          <t>既有公共建筑的产权所有者或其授权的法人主体，可自愿依据方法学实施能效提升改造并申请CCER登记。同一省内的多个建筑可打包合并申报。</t>
        </is>
      </c>
      <c r="AC18" s="430" t="inlineStr">
        <is>
          <t>注册、许可及行政管理；融资与投资；减排或预防</t>
        </is>
      </c>
      <c r="AD18" s="430"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E18" s="430" t="inlineStr">
        <is>
          <t>70.76</t>
        </is>
      </c>
      <c r="AF18" s="430" t="inlineStr">
        <is>
          <t>元/吨</t>
        </is>
      </c>
      <c r="AG18" s="430" t="inlineStr">
        <is>
          <t>尚无建筑领域CCER的独立分类交易价格数据，表中数值为2025年全国CCER综合交易均价（70.76元/吨，来源：北京绿色交易所）。</t>
        </is>
      </c>
      <c r="AH18" s="430"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I18" s="430" t="inlineStr">
        <is>
          <t>减排量 = 基准期排放量 - 计入期排放量 - 新增HFCs制冷剂泄漏排放当量（如适用）。采暖度日数或供冷度日数变化超20%时年减排量计为0，月使用时间不足160小时则该月减排量计为0。</t>
        </is>
      </c>
      <c r="AJ18" s="430" t="inlineStr">
        <is>
          <t>N/A（仅规定一种核算方法）</t>
        </is>
      </c>
      <c r="AK18" s="430" t="inlineStr">
        <is>
          <t>项目业主通过签发和销售CCER获得碳收益；建筑能效提升可直接降低运营能源成本；多数项目收益率可提升3%-8%。</t>
        </is>
      </c>
      <c r="AL18" s="430" t="inlineStr">
        <is>
          <t>项目业主对建筑能耗数据进行持续监测，电能表、热量表等须经CNAS认可机构每年校准；能耗数据每分钟上传至全国碳市场管理平台；全部数据在最后一期减排量登记后至少保存10年。</t>
        </is>
      </c>
      <c r="AM18" s="430" t="inlineStr">
        <is>
          <t>项目业主提供虚假材料：处1万-10万元罚款并撤销登记、三年内不再受理；审定与核查机构违规：处5万-20万元罚款。</t>
        </is>
      </c>
      <c r="AN18" s="430" t="inlineStr">
        <is>
          <t>N/A（减排量取决于改造规模和自愿开发情况，2028年预计46万吨CO₂/年）</t>
        </is>
      </c>
      <c r="AO18" s="430" t="inlineStr">
        <is>
          <t>N/A</t>
        </is>
      </c>
      <c r="AP18" s="430" t="inlineStr">
        <is>
          <t>F41</t>
        </is>
      </c>
      <c r="AQ18" s="430" t="inlineStr">
        <is>
          <t>CO2; HFCs</t>
        </is>
      </c>
      <c r="AR18" s="430" t="inlineStr">
        <is>
          <t>正向</t>
        </is>
      </c>
      <c r="AS18" s="430" t="inlineStr">
        <is>
          <t>节能；产业发展；技术创新</t>
        </is>
      </c>
      <c r="AT18" s="430" t="inlineStr">
        <is>
          <t>关于印发《温室气体自愿减排项目方法学 既有公共建筑围护结构与供暖通风空调系统能效提升（CCER-06-001-V01）》的通知（环办气候函〔2025〕485号）</t>
        </is>
      </c>
      <c r="AU18" s="430" t="inlineStr">
        <is>
          <t>https://www.mee.gov.cn/xxgk2018/xxgk/xxgk06/202512/t20251223_1138457.html</t>
        </is>
      </c>
      <c r="AV18" s="430" t="inlineStr">
        <is>
          <t>https://www.cets.org.cn/（全国碳市场信息网）</t>
        </is>
      </c>
      <c r="AW18" s="430" t="inlineStr"/>
    </row>
    <row r="19">
      <c r="A19" s="430" t="inlineStr">
        <is>
          <t>CHNVTSVCMI01S016</t>
        </is>
      </c>
      <c r="B19" s="430" t="inlineStr">
        <is>
          <t>子方案</t>
        </is>
      </c>
      <c r="C19" s="430" t="inlineStr">
        <is>
          <t>自愿交易体系</t>
        </is>
      </c>
      <c r="D19" s="430" t="inlineStr">
        <is>
          <t>自愿碳市场</t>
        </is>
      </c>
      <c r="E19" s="430" t="inlineStr">
        <is>
          <t>能源</t>
        </is>
      </c>
      <c r="F19" s="430" t="inlineStr">
        <is>
          <t>可再生能源电解水制氢</t>
        </is>
      </c>
      <c r="G19" s="430" t="inlineStr">
        <is>
          <t>可再生能源电解水制氢（CCER-01-004-V01）</t>
        </is>
      </c>
      <c r="H19" s="430" t="inlineStr">
        <is>
          <t>Renewable Energy Electrolytic Hydrogen Production (CCER-01-004-V01)</t>
        </is>
      </c>
      <c r="I19" s="430" t="inlineStr">
        <is>
          <t>N/A</t>
        </is>
      </c>
      <c r="J19" s="430"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430" t="inlineStr">
        <is>
          <t>减缓气候变化；非化石能源</t>
        </is>
      </c>
      <c r="L19" s="430" t="inlineStr">
        <is>
          <t>直接</t>
        </is>
      </c>
      <c r="M19" s="430" t="inlineStr">
        <is>
          <t>国家</t>
        </is>
      </c>
      <c r="N19" s="430" t="inlineStr">
        <is>
          <t>N/A</t>
        </is>
      </c>
      <c r="O19" s="430" t="inlineStr">
        <is>
          <t>23/12/2025</t>
        </is>
      </c>
      <c r="P19" s="430" t="inlineStr">
        <is>
          <t>23/12/2025</t>
        </is>
      </c>
      <c r="Q19" s="430" t="inlineStr">
        <is>
          <t>N/A</t>
        </is>
      </c>
      <c r="R19" s="430" t="inlineStr">
        <is>
          <t>N/A</t>
        </is>
      </c>
      <c r="S19" s="430" t="inlineStr">
        <is>
          <t>N/A</t>
        </is>
      </c>
      <c r="T19" s="430">
        <f>IF(P19="","生效",IF(P19="N/A","生效",IF(TODAY()&lt;DATE(VALUE(RIGHT(P19,4)),VALUE(MID(P19,4,2)),VALUE(LEFT(P19,2))),"计划实施",IF(Q19="","生效",IF(Q19="N/A","生效",IF(TODAY()&lt;DATE(VALUE(RIGHT(Q19,4)),VALUE(MID(Q19,4,2)),VALUE(LEFT(Q19,2))),"生效","已终止"))))))</f>
        <v/>
      </c>
      <c r="U19" s="430" t="inlineStr">
        <is>
          <t>生态环境部（应对气候变化司）；国家能源局</t>
        </is>
      </c>
      <c r="V19" s="430" t="inlineStr">
        <is>
          <t>可再生能源电解水制氢项目/核证自愿减排量（CCER）</t>
        </is>
      </c>
      <c r="W19" s="430" t="inlineStr">
        <is>
          <t>新建</t>
        </is>
      </c>
      <c r="X19" s="430"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Y19" s="430" t="inlineStr">
        <is>
          <t>N/A</t>
        </is>
      </c>
      <c r="Z19" s="430" t="inlineStr">
        <is>
          <t>N/A</t>
        </is>
      </c>
      <c r="AA19" s="430" t="inlineStr">
        <is>
          <t>企业</t>
        </is>
      </c>
      <c r="AB19" s="430" t="inlineStr">
        <is>
          <t>在中华人民共和国境内依法成立、拥有自有可再生能源电厂和电解水制氢设施的法人或其他组织，可自愿依据方法学开发项目并申请CCER登记。</t>
        </is>
      </c>
      <c r="AC19" s="430" t="inlineStr">
        <is>
          <t>注册、许可及行政管理；融资与投资；减排或预防</t>
        </is>
      </c>
      <c r="AD19" s="430"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E19" s="430" t="inlineStr">
        <is>
          <t>70.76</t>
        </is>
      </c>
      <c r="AF19" s="430" t="inlineStr">
        <is>
          <t>元/吨</t>
        </is>
      </c>
      <c r="AG19" s="430" t="inlineStr">
        <is>
          <t>尚无氢能领域CCER的独立分类交易价格数据，表中数值为2025年全国CCER综合交易均价（70.76元/吨，来源：北京绿色交易所）。</t>
        </is>
      </c>
      <c r="AH19" s="430"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I19" s="430"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J19" s="430" t="inlineStr">
        <is>
          <t>N/A（仅规定一种核算方法）</t>
        </is>
      </c>
      <c r="AK19" s="430" t="inlineStr">
        <is>
          <t>项目业主通过签发和销售CCER获得碳收益，打通绿氢绿色价值变现渠道；据估算2030年符合要求的项目年减排量有望达6000万吨CO₂，每年可创造数十亿元的绿色收益。</t>
        </is>
      </c>
      <c r="AL19" s="430" t="inlineStr">
        <is>
          <t>项目业主按方法学规定对制氢量、可再生能源发电量、外购电量等参数进行持续监测，监测数据须与全国碳市场管理平台联网；省级和设区的市级生态环境主管部门会同能源主管部门开展监督检查。</t>
        </is>
      </c>
      <c r="AM19" s="430" t="inlineStr">
        <is>
          <t>项目业主提供虚假材料：处1万-10万元罚款并撤销登记、三年内不再受理；审定与核查机构违规：处5万-20万元罚款。</t>
        </is>
      </c>
      <c r="AN19" s="430" t="inlineStr">
        <is>
          <t>N/A（减排量取决于项目规模和自愿开发情况）</t>
        </is>
      </c>
      <c r="AO19" s="430" t="inlineStr">
        <is>
          <t>N/A</t>
        </is>
      </c>
      <c r="AP19" s="430" t="inlineStr">
        <is>
          <t>D35</t>
        </is>
      </c>
      <c r="AQ19" s="430" t="inlineStr">
        <is>
          <t>CO2</t>
        </is>
      </c>
      <c r="AR19" s="430" t="inlineStr">
        <is>
          <t>正向</t>
        </is>
      </c>
      <c r="AS19" s="430" t="inlineStr">
        <is>
          <t>可再生能源发展；技术创新；产业发展；污染防治</t>
        </is>
      </c>
      <c r="AT19" s="430" t="inlineStr">
        <is>
          <t>关于印发《温室气体自愿减排项目方法学 可再生能源电解水制氢（CCER-01-004-V01）》等2项方法学的通知（环办气候函〔2025〕491号）</t>
        </is>
      </c>
      <c r="AU19" s="430" t="inlineStr">
        <is>
          <t>https://www.mee.gov.cn/xxgk2018/xxgk/xxgk06/202512/t20251226_1139056.html</t>
        </is>
      </c>
      <c r="AV19" s="430" t="inlineStr">
        <is>
          <t>https://www.cets.org.cn/（全国碳市场信息网）</t>
        </is>
      </c>
      <c r="AW19" s="430" t="inlineStr"/>
    </row>
    <row r="20">
      <c r="A20" s="430" t="inlineStr">
        <is>
          <t>CHNVTSVCMI01S017</t>
        </is>
      </c>
      <c r="B20" s="430" t="inlineStr">
        <is>
          <t>子方案</t>
        </is>
      </c>
      <c r="C20" s="430" t="inlineStr">
        <is>
          <t>自愿交易体系</t>
        </is>
      </c>
      <c r="D20" s="430" t="inlineStr">
        <is>
          <t>自愿碳市场</t>
        </is>
      </c>
      <c r="E20" s="430" t="inlineStr">
        <is>
          <t>能源</t>
        </is>
      </c>
      <c r="F20" s="430" t="inlineStr">
        <is>
          <t>电气设备SF6回收净化</t>
        </is>
      </c>
      <c r="G20" s="430" t="inlineStr">
        <is>
          <t>电气设备六氟化硫回收和净化（CCER-11-001-V01）</t>
        </is>
      </c>
      <c r="H20" s="430" t="inlineStr">
        <is>
          <t>SF6 Recovery and Purification from Electrical Equipment (CCER-11-001-V01)</t>
        </is>
      </c>
      <c r="I20" s="430" t="inlineStr">
        <is>
          <t>N/A</t>
        </is>
      </c>
      <c r="J20" s="430"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430" t="inlineStr">
        <is>
          <t>减缓气候变化</t>
        </is>
      </c>
      <c r="L20" s="430" t="inlineStr">
        <is>
          <t>直接</t>
        </is>
      </c>
      <c r="M20" s="430" t="inlineStr">
        <is>
          <t>国家</t>
        </is>
      </c>
      <c r="N20" s="430" t="inlineStr">
        <is>
          <t>N/A</t>
        </is>
      </c>
      <c r="O20" s="430" t="inlineStr">
        <is>
          <t>23/12/2025</t>
        </is>
      </c>
      <c r="P20" s="430" t="inlineStr">
        <is>
          <t>23/12/2025</t>
        </is>
      </c>
      <c r="Q20" s="430" t="inlineStr">
        <is>
          <t>N/A</t>
        </is>
      </c>
      <c r="R20" s="430" t="inlineStr">
        <is>
          <t>N/A</t>
        </is>
      </c>
      <c r="S20" s="430" t="inlineStr">
        <is>
          <t>N/A</t>
        </is>
      </c>
      <c r="T20" s="430">
        <f>IF(P20="","生效",IF(P20="N/A","生效",IF(TODAY()&lt;DATE(VALUE(RIGHT(P20,4)),VALUE(MID(P20,4,2)),VALUE(LEFT(P20,2))),"计划实施",IF(Q20="","生效",IF(Q20="N/A","生效",IF(TODAY()&lt;DATE(VALUE(RIGHT(Q20,4)),VALUE(MID(Q20,4,2)),VALUE(LEFT(Q20,2))),"生效","已终止"))))))</f>
        <v/>
      </c>
      <c r="U20" s="430" t="inlineStr">
        <is>
          <t>生态环境部（应对气候变化司）；国家能源局</t>
        </is>
      </c>
      <c r="V20" s="430" t="inlineStr">
        <is>
          <t>电气设备六氟化硫回收和净化项目/核证自愿减排量（CCER）</t>
        </is>
      </c>
      <c r="W20" s="430" t="inlineStr">
        <is>
          <t>新建</t>
        </is>
      </c>
      <c r="X20" s="430"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Y20" s="430" t="inlineStr">
        <is>
          <t>N/A</t>
        </is>
      </c>
      <c r="Z20" s="430" t="inlineStr">
        <is>
          <t>N/A</t>
        </is>
      </c>
      <c r="AA20" s="430" t="inlineStr">
        <is>
          <t>企业</t>
        </is>
      </c>
      <c r="AB20" s="430" t="inlineStr">
        <is>
          <t>SF6电气设备产权所有者（含履行所有者职责的法人单位）或其授权的相关主体。位于同一省（自治区、直辖市）内多个变电站的项目可合并申请，须取得全部设备所有者的授权。</t>
        </is>
      </c>
      <c r="AC20" s="430" t="inlineStr">
        <is>
          <t>注册、许可及行政管理；融资与投资；减排或预防</t>
        </is>
      </c>
      <c r="AD20" s="430"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E20" s="430" t="inlineStr">
        <is>
          <t>70.76</t>
        </is>
      </c>
      <c r="AF20" s="430" t="inlineStr">
        <is>
          <t>元/吨</t>
        </is>
      </c>
      <c r="AG20" s="430" t="inlineStr">
        <is>
          <t>尚无SF6领域CCER的独立分类交易价格数据，表中数值为2025年全国CCER综合交易均价（70.76元/吨，来源：北京绿色交易所）。</t>
        </is>
      </c>
      <c r="AH20" s="430"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I20" s="430"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J20" s="430" t="inlineStr">
        <is>
          <t>N/A（仅规定一种核算方法）</t>
        </is>
      </c>
      <c r="AK20" s="430" t="inlineStr">
        <is>
          <t>项目业主通过签发和销售CCER获得碳收益；回收净化后的SF6回用可替代购买新气降低物料成本。据测算年减排潜力320万吨CO2e，2030年可增至600万吨。</t>
        </is>
      </c>
      <c r="AL20" s="430"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M20" s="430" t="inlineStr">
        <is>
          <t>项目业主提供虚假材料：处1万-10万元罚款并撤销登记、三年内不再受理；审定与核查机构违规：处5万-20万元罚款。</t>
        </is>
      </c>
      <c r="AN20" s="430" t="inlineStr">
        <is>
          <t>N/A（减排量取决于项目规模和自愿开发情况，年减排潜力约320万吨CO2e）</t>
        </is>
      </c>
      <c r="AO20" s="430" t="inlineStr">
        <is>
          <t>N/A</t>
        </is>
      </c>
      <c r="AP20" s="430" t="inlineStr">
        <is>
          <t>D35</t>
        </is>
      </c>
      <c r="AQ20" s="430" t="inlineStr">
        <is>
          <t>SF6</t>
        </is>
      </c>
      <c r="AR20" s="430" t="inlineStr">
        <is>
          <t>正向</t>
        </is>
      </c>
      <c r="AS20" s="430" t="inlineStr">
        <is>
          <t>资源节约；技术创新；污染防治</t>
        </is>
      </c>
      <c r="AT20" s="430" t="inlineStr">
        <is>
          <t>关于印发《温室气体自愿减排项目方法学 可再生能源电解水制氢（CCER-01-004-V01）》等2项方法学的通知（环办气候函〔2025〕491号）</t>
        </is>
      </c>
      <c r="AU20" s="430" t="inlineStr">
        <is>
          <t>https://www.mee.gov.cn/xxgk2018/xxgk/xxgk06/202512/t20251226_1139056.html</t>
        </is>
      </c>
      <c r="AV20" s="430" t="inlineStr">
        <is>
          <t>https://www.cets.org.cn/（全国碳市场信息网）</t>
        </is>
      </c>
      <c r="AW20" s="430" t="inlineStr"/>
    </row>
    <row r="21">
      <c r="A21" s="430" t="inlineStr">
        <is>
          <t>CHNVTSVCMI01S018</t>
        </is>
      </c>
      <c r="B21" s="430" t="inlineStr">
        <is>
          <t>子方案</t>
        </is>
      </c>
      <c r="C21" s="430" t="inlineStr">
        <is>
          <t>自愿交易体系</t>
        </is>
      </c>
      <c r="D21" s="430" t="inlineStr">
        <is>
          <t>自愿碳市场</t>
        </is>
      </c>
      <c r="E21" s="430" t="inlineStr">
        <is>
          <t>能源</t>
        </is>
      </c>
      <c r="F21" s="430" t="inlineStr">
        <is>
          <t>中深层地热能供暖</t>
        </is>
      </c>
      <c r="G21" s="430" t="inlineStr">
        <is>
          <t>中深层地热能井下换热供暖技术应用工程（CCER-01-003-V01）</t>
        </is>
      </c>
      <c r="H21" s="430" t="inlineStr">
        <is>
          <t>Medium-Deep Geothermal Downhole Heat Exchange Heating Technology Application Project (CCER-01-003-V01)</t>
        </is>
      </c>
      <c r="I21" s="430" t="inlineStr">
        <is>
          <t>N/A</t>
        </is>
      </c>
      <c r="J21" s="430"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430" t="inlineStr">
        <is>
          <t>减缓气候变化</t>
        </is>
      </c>
      <c r="L21" s="430" t="inlineStr">
        <is>
          <t>直接</t>
        </is>
      </c>
      <c r="M21" s="430" t="inlineStr">
        <is>
          <t>国家</t>
        </is>
      </c>
      <c r="N21" s="430" t="inlineStr">
        <is>
          <t>N/A</t>
        </is>
      </c>
      <c r="O21" s="430" t="inlineStr">
        <is>
          <t>25/12/2025</t>
        </is>
      </c>
      <c r="P21" s="430" t="inlineStr">
        <is>
          <t>25/12/2025</t>
        </is>
      </c>
      <c r="Q21" s="430" t="inlineStr">
        <is>
          <t>N/A</t>
        </is>
      </c>
      <c r="R21" s="430" t="inlineStr">
        <is>
          <t>N/A</t>
        </is>
      </c>
      <c r="S21" s="430" t="inlineStr">
        <is>
          <t>N/A</t>
        </is>
      </c>
      <c r="T21" s="430">
        <f>IF(P21="","生效",IF(P21="N/A","生效",IF(TODAY()&lt;DATE(VALUE(RIGHT(P21,4)),VALUE(MID(P21,4,2)),VALUE(LEFT(P21,2))),"计划实施",IF(Q21="","生效",IF(Q21="N/A","生效",IF(TODAY()&lt;DATE(VALUE(RIGHT(Q21,4)),VALUE(MID(Q21,4,2)),VALUE(LEFT(Q21,2))),"生效","已终止"))))))</f>
        <v/>
      </c>
      <c r="U21" s="430" t="inlineStr">
        <is>
          <t>生态环境部（应对气候变化司）；住房和城乡建设部；国家能源局</t>
        </is>
      </c>
      <c r="V21" s="430" t="inlineStr">
        <is>
          <t>中深层地热能井下换热供暖工程/核证自愿减排量（CCER）</t>
        </is>
      </c>
      <c r="W21" s="430" t="inlineStr">
        <is>
          <t>新建</t>
        </is>
      </c>
      <c r="X21" s="430"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Y21" s="430" t="inlineStr">
        <is>
          <t>N/A</t>
        </is>
      </c>
      <c r="Z21" s="430" t="inlineStr">
        <is>
          <t>N/A</t>
        </is>
      </c>
      <c r="AA21" s="430" t="inlineStr">
        <is>
          <t>企业</t>
        </is>
      </c>
      <c r="AB21" s="430" t="inlineStr">
        <is>
          <t>中深层地热能井下换热供暖技术应用工程的产权所有者或其授权的法人主体。位于同一省（自治区、直辖市）内的多个技术应用工程可合并申请。</t>
        </is>
      </c>
      <c r="AC21" s="430" t="inlineStr">
        <is>
          <t>注册、许可及行政管理；融资与投资；减排或预防</t>
        </is>
      </c>
      <c r="AD21" s="430"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E21" s="430" t="inlineStr">
        <is>
          <t>70.76</t>
        </is>
      </c>
      <c r="AF21" s="430" t="inlineStr">
        <is>
          <t>元/吨</t>
        </is>
      </c>
      <c r="AG21" s="430" t="inlineStr">
        <is>
          <t>尚无地热能领域CCER的独立分类交易价格数据，表中数值为2025年全国CCER综合交易均价（70.76元/吨，来源：北京绿色交易所）。</t>
        </is>
      </c>
      <c r="AH21" s="430"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I21" s="430"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J21" s="430" t="inlineStr">
        <is>
          <t>N/A（仅规定一种核算方法）</t>
        </is>
      </c>
      <c r="AK21" s="430" t="inlineStr">
        <is>
          <t>项目业主通过签发和销售CCER获得碳收益；据典型示范工程测算，每百万平方米井下换热技术应用面积每年可获得CCER收益约100-150万元。</t>
        </is>
      </c>
      <c r="AL21" s="430"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M21" s="430" t="inlineStr">
        <is>
          <t>项目业主提供虚假材料：处1万-10万元罚款并撤销登记、三年内不再受理；审定与核查机构违规：处5万-20万元罚款。</t>
        </is>
      </c>
      <c r="AN21" s="430" t="inlineStr">
        <is>
          <t>N/A（减排量取决于项目规模和自愿开发情况）</t>
        </is>
      </c>
      <c r="AO21" s="430" t="inlineStr">
        <is>
          <t>N/A</t>
        </is>
      </c>
      <c r="AP21" s="430" t="inlineStr">
        <is>
          <t>D35</t>
        </is>
      </c>
      <c r="AQ21" s="430" t="inlineStr">
        <is>
          <t>CO2</t>
        </is>
      </c>
      <c r="AR21" s="430" t="inlineStr">
        <is>
          <t>正向</t>
        </is>
      </c>
      <c r="AS21" s="430" t="inlineStr">
        <is>
          <t>可再生能源发展；能源安全；技术创新；污染防治</t>
        </is>
      </c>
      <c r="AT21" s="430" t="inlineStr">
        <is>
          <t>关于印发《温室气体自愿减排项目方法学 中深层地热能井下换热供暖技术应用工程（CCER-01-003-V01）》的通知（环办气候函〔2025〕493号）</t>
        </is>
      </c>
      <c r="AU21" s="430" t="inlineStr">
        <is>
          <t>https://www.mee.gov.cn/xxgk2018/xxgk/xxgk06/202512/t20251226_1139063.html</t>
        </is>
      </c>
      <c r="AV21" s="430" t="inlineStr">
        <is>
          <t>https://www.cets.org.cn/（全国碳市场信息网）</t>
        </is>
      </c>
      <c r="AW21" s="430"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绿色经济；绿色金融</t>
        </is>
      </c>
      <c r="L22" s="341" t="inlineStr">
        <is>
          <t>间接</t>
        </is>
      </c>
      <c r="M22" s="341" t="inlineStr">
        <is>
          <t>国家</t>
        </is>
      </c>
      <c r="N22" s="341" t="inlineStr">
        <is>
          <t>N/A</t>
        </is>
      </c>
      <c r="O22" s="341" t="inlineStr">
        <is>
          <t>22/12/2015</t>
        </is>
      </c>
      <c r="P22" s="341" t="inlineStr">
        <is>
          <t>22/12/2015</t>
        </is>
      </c>
      <c r="Q22" s="341" t="inlineStr">
        <is>
          <t>N/A</t>
        </is>
      </c>
      <c r="R22" s="341" t="inlineStr">
        <is>
          <t>01/10/2025</t>
        </is>
      </c>
      <c r="S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T22" s="341">
        <f>IF(P22="","生效",IF(P22="N/A","生效",IF(TODAY()&lt;DATE(VALUE(RIGHT(P22,4)),VALUE(MID(P22,4,2)),VALUE(LEFT(P22,2))),"计划实施",IF(Q22="","生效",IF(Q22="N/A","生效",IF(TODAY()&lt;DATE(VALUE(RIGHT(Q22,4)),VALUE(MID(Q22,4,2)),VALUE(LEFT(Q22,2))),"生效","已终止"))))))</f>
        <v/>
      </c>
      <c r="U22" s="341" t="inlineStr">
        <is>
          <t>中国人民银行、金融监管总局、中国证监会（2025年版）；中国人民银行、国家发展改革委、中国证监会（绿色债券目录2021年版）；中国人民银行（绿色债券目录2015年版）</t>
        </is>
      </c>
      <c r="V22" s="341" t="inlineStr">
        <is>
          <t>绿色金融产品（绿色贷款、绿色债券等）</t>
        </is>
      </c>
      <c r="W22" s="341" t="inlineStr">
        <is>
          <t>N/A</t>
        </is>
      </c>
      <c r="X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Y22" s="341" t="inlineStr">
        <is>
          <t>N/A</t>
        </is>
      </c>
      <c r="Z22" s="341" t="inlineStr">
        <is>
          <t>N/A</t>
        </is>
      </c>
      <c r="AA22" s="341" t="inlineStr">
        <is>
          <t>企业</t>
        </is>
      </c>
      <c r="AB22" s="341" t="inlineStr">
        <is>
          <t>绿色债券发行主体、绿色贷款融资主体等市场主体，以及提供绿色金融产品和服务的金融机构。发行主体和金融机构参照目录开展绿色项目认定和信息披露，参与为自愿性质，无强制性义务。</t>
        </is>
      </c>
      <c r="AC22" s="341" t="inlineStr">
        <is>
          <t>融资与投资</t>
        </is>
      </c>
      <c r="AD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E22" s="341" t="inlineStr">
        <is>
          <t>N/A</t>
        </is>
      </c>
      <c r="AF22" s="341" t="inlineStr">
        <is>
          <t>N/A</t>
        </is>
      </c>
      <c r="AG22" s="341" t="inlineStr">
        <is>
          <t>N/A</t>
        </is>
      </c>
      <c r="AH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I22" s="341" t="inlineStr">
        <is>
          <t>N/A</t>
        </is>
      </c>
      <c r="AJ22" s="341" t="inlineStr">
        <is>
          <t>N/A</t>
        </is>
      </c>
      <c r="AK22" s="341" t="inlineStr">
        <is>
          <t>纳入目录的项目可获得绿色贷款、绿色债券等绿色金融产品的资金支持和市场认可；统一标准有助于降低识别成本、提升绿色金融资产管理效率，增强绿色项目的融资便利。</t>
        </is>
      </c>
      <c r="AL22" s="341" t="inlineStr">
        <is>
          <t>发行主体和金融机构参照目录自行开展绿色项目认定并进行信息披露；由相关业务主管部门在绿色金融产品管理中结合目录进行业务规范和指导，无强制性合规监测处罚。</t>
        </is>
      </c>
      <c r="AM22" s="341" t="inlineStr">
        <is>
          <t>N/A（本工具为自愿性绿色金融标准目录，不设违规制裁）</t>
        </is>
      </c>
      <c r="AN22" s="341" t="inlineStr">
        <is>
          <t>N/A（本工具为绿色金融标准目录，通过统一绿色项目认定标准并引导资金投向绿色低碳项目间接支持减排，无直接可量化的温室气体排放覆盖量）</t>
        </is>
      </c>
      <c r="AO22" s="341" t="inlineStr">
        <is>
          <t>N/A（本工具为间接绿色金融标准工具，无直接的温室气体排放覆盖占比）</t>
        </is>
      </c>
      <c r="AP22" s="341" t="inlineStr">
        <is>
          <t>K64</t>
        </is>
      </c>
      <c r="AQ22" s="341" t="inlineStr">
        <is>
          <t>CO2; CH4; N2O</t>
        </is>
      </c>
      <c r="AR22" s="341" t="inlineStr">
        <is>
          <t>正向</t>
        </is>
      </c>
      <c r="AS22" s="341" t="inlineStr">
        <is>
          <t>产业发展；污染防治；资源节约；循环经济；生态保护</t>
        </is>
      </c>
      <c r="AT22" s="341" t="inlineStr">
        <is>
          <t>中国人民银行 金融监管总局 中国证监会关于印发《绿色金融支持项目目录（2025年版）》的通知（银发〔2025〕132号）</t>
        </is>
      </c>
      <c r="AU22" s="341" t="inlineStr">
        <is>
          <t>https://www.gov.cn/zhengce/zhengceku/202507/content_7032004.htm</t>
        </is>
      </c>
      <c r="AV22" s="341" t="inlineStr">
        <is>
          <t>https://www.gov.cn/zhengce/zhengceku/2021-04/22/content_5601284.htm；https://www.pbc.gov.cn/tiaofasi/144941/3581332/3588085/index.html</t>
        </is>
      </c>
      <c r="AW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国家</t>
        </is>
      </c>
      <c r="N23" s="341" t="inlineStr">
        <is>
          <t>N/A</t>
        </is>
      </c>
      <c r="O23" s="341" t="inlineStr">
        <is>
          <t>22/12/2014</t>
        </is>
      </c>
      <c r="P23" s="341" t="inlineStr">
        <is>
          <t>01/01/2015</t>
        </is>
      </c>
      <c r="Q23" s="341" t="inlineStr">
        <is>
          <t>N/A</t>
        </is>
      </c>
      <c r="R23" s="341" t="inlineStr">
        <is>
          <t>N/A</t>
        </is>
      </c>
      <c r="S23" s="341" t="inlineStr">
        <is>
          <t>N/A</t>
        </is>
      </c>
      <c r="T23" s="341">
        <f>IF(P23="","生效",IF(P23="N/A","生效",IF(TODAY()&lt;DATE(VALUE(RIGHT(P23,4)),VALUE(MID(P23,4,2)),VALUE(LEFT(P23,2))),"计划实施",IF(Q23="","生效",IF(Q23="N/A","生效",IF(TODAY()&lt;DATE(VALUE(RIGHT(Q23,4)),VALUE(MID(Q23,4,2)),VALUE(LEFT(Q23,2))),"生效","已终止"))))))</f>
        <v/>
      </c>
      <c r="U23" s="341" t="inlineStr">
        <is>
          <t>商务部（流通发展司）；环境保护部（现生态环境部）；工业和信息化部</t>
        </is>
      </c>
      <c r="V23" s="341" t="inlineStr">
        <is>
          <t>企业采购的货物与服务（绿色采购）</t>
        </is>
      </c>
      <c r="W23" s="341" t="inlineStr">
        <is>
          <t>N/A</t>
        </is>
      </c>
      <c r="X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Y23" s="341" t="inlineStr">
        <is>
          <t>N/A</t>
        </is>
      </c>
      <c r="Z23" s="341" t="inlineStr">
        <is>
          <t>N/A</t>
        </is>
      </c>
      <c r="AA23" s="341" t="inlineStr">
        <is>
          <t>企业</t>
        </is>
      </c>
      <c r="AB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C23" s="341" t="inlineStr">
        <is>
          <t>消费与使用</t>
        </is>
      </c>
      <c r="AD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E23" s="341" t="inlineStr">
        <is>
          <t>N/A</t>
        </is>
      </c>
      <c r="AF23" s="341" t="inlineStr">
        <is>
          <t>N/A</t>
        </is>
      </c>
      <c r="AG23" s="341" t="inlineStr">
        <is>
          <t>N/A</t>
        </is>
      </c>
      <c r="AH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I23" s="341" t="inlineStr">
        <is>
          <t>N/A</t>
        </is>
      </c>
      <c r="AJ23" s="341" t="inlineStr">
        <is>
          <t>N/A</t>
        </is>
      </c>
      <c r="AK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L23" s="341" t="inlineStr">
        <is>
          <t>企业参照指南自行开展绿色采购管理和供应商环境绩效评估，自愿披露绿色采购信息；政府部门通过行业调查和信息平台了解企业绿色采购实践情况，无强制性合规监测要求。</t>
        </is>
      </c>
      <c r="AM23" s="341" t="inlineStr">
        <is>
          <t>N/A（自愿性指南，无违规制裁。指南为推荐性和指导性质，企业自愿采纳，不设强制性合规义务和处罚。）</t>
        </is>
      </c>
      <c r="AN23" s="341" t="inlineStr">
        <is>
          <t>N/A（本工具为自愿性信息工具，通过引导企业自愿采纳绿色采购实践间接促进减排，无直接可量化的温室气体排放覆盖量）</t>
        </is>
      </c>
      <c r="AO23" s="341" t="inlineStr">
        <is>
          <t>N/A（本工具为间接自愿性工具，无直接的温室气体排放覆盖占比）</t>
        </is>
      </c>
      <c r="AP23" s="341" t="inlineStr">
        <is>
          <t>C10; C11; C12; C13; C14; C15; C16; C17; C18; C19; C20; C21; C22; C23; C24; C25; C26; C27; C28; C29; C30; C31; C32; C33</t>
        </is>
      </c>
      <c r="AQ23" s="341" t="inlineStr">
        <is>
          <t>CO2; CH4; N2O</t>
        </is>
      </c>
      <c r="AR23" s="341" t="inlineStr">
        <is>
          <t>正向</t>
        </is>
      </c>
      <c r="AS23" s="341" t="inlineStr">
        <is>
          <t>产业发展；污染防治；资源节约；循环经济</t>
        </is>
      </c>
      <c r="AT23" s="341" t="inlineStr">
        <is>
          <t>商务部 环境保护部 工业和信息化部关于印发《企业绿色采购指南（试行）》的通知（商流通函[2014]973号）</t>
        </is>
      </c>
      <c r="AU23" s="341" t="inlineStr">
        <is>
          <t>https://www.mee.gov.cn/gkml/hbb/gwy/201412/t20141226_293493.htm</t>
        </is>
      </c>
      <c r="AV23" s="341" t="inlineStr">
        <is>
          <t>https://policy.mofcom.gov.cn/claw/clawContent.shtml?id=6413</t>
        </is>
      </c>
      <c r="AW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国家</t>
        </is>
      </c>
      <c r="N24" s="341" t="inlineStr">
        <is>
          <t>N/A</t>
        </is>
      </c>
      <c r="O24" s="341" t="inlineStr">
        <is>
          <t>29/05/2019</t>
        </is>
      </c>
      <c r="P24" s="341" t="inlineStr">
        <is>
          <t>29/05/2019</t>
        </is>
      </c>
      <c r="Q24" s="341" t="inlineStr">
        <is>
          <t>N/A</t>
        </is>
      </c>
      <c r="R24" s="341" t="inlineStr">
        <is>
          <t>N/A</t>
        </is>
      </c>
      <c r="S24" s="341" t="inlineStr">
        <is>
          <t>N/A</t>
        </is>
      </c>
      <c r="T24" s="341">
        <f>IF(P24="","生效",IF(P24="N/A","生效",IF(TODAY()&lt;DATE(VALUE(RIGHT(P24,4)),VALUE(MID(P24,4,2)),VALUE(LEFT(P24,2))),"计划实施",IF(Q24="","生效",IF(Q24="N/A","生效",IF(TODAY()&lt;DATE(VALUE(RIGHT(Q24,4)),VALUE(MID(Q24,4,2)),VALUE(LEFT(Q24,2))),"生效","已终止"))))))</f>
        <v/>
      </c>
      <c r="U24" s="341" t="inlineStr">
        <is>
          <t>生态环境部（应对气候变化司）</t>
        </is>
      </c>
      <c r="V24" s="341" t="inlineStr">
        <is>
          <t>大型活动（演出、赛事、会议、展览、庆典等）</t>
        </is>
      </c>
      <c r="W24" s="341" t="inlineStr">
        <is>
          <t>N/A</t>
        </is>
      </c>
      <c r="X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Y24" s="341" t="inlineStr">
        <is>
          <t>N/A</t>
        </is>
      </c>
      <c r="Z24" s="341" t="inlineStr">
        <is>
          <t>N/A</t>
        </is>
      </c>
      <c r="AA24" s="341" t="inlineStr">
        <is>
          <t>企业</t>
        </is>
      </c>
      <c r="AB24" s="341" t="inlineStr">
        <is>
          <t>各类大型活动的主办单位、承办单位和组织者。活动组织者可依据指南自愿开展大型活动碳排放核算、减排和抵消并声明碳中和，参与为自愿性质，无强制性合规义务。</t>
        </is>
      </c>
      <c r="AC24" s="341" t="inlineStr">
        <is>
          <t>消费与使用</t>
        </is>
      </c>
      <c r="AD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E24" s="341" t="inlineStr">
        <is>
          <t>N/A</t>
        </is>
      </c>
      <c r="AF24" s="341" t="inlineStr">
        <is>
          <t>N/A</t>
        </is>
      </c>
      <c r="AG24" s="341" t="inlineStr">
        <is>
          <t>N/A</t>
        </is>
      </c>
      <c r="AH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I24" s="341" t="inlineStr">
        <is>
          <t>N/A</t>
        </is>
      </c>
      <c r="AJ24" s="341" t="inlineStr">
        <is>
          <t>N/A</t>
        </is>
      </c>
      <c r="AK24" s="341" t="inlineStr">
        <is>
          <t>活动组织者完成碳中和后可依据指南声明大型活动碳中和，提升活动绿色品牌形象和社会影响力；部分地方对实施碳中和的大型活动给予宣传推广和表彰。</t>
        </is>
      </c>
      <c r="AL24" s="341" t="inlineStr">
        <is>
          <t>活动组织者自行开展碳排放核算和实施减排抵消措施；鼓励委托第三方机构对碳中和实施过程和结果进行独立评价和核查，但非强制要求。</t>
        </is>
      </c>
      <c r="AM24" s="341" t="inlineStr">
        <is>
          <t>N/A（本工具为自愿性碳中和方法指南，不设违规制裁）</t>
        </is>
      </c>
      <c r="AN24" s="341" t="inlineStr">
        <is>
          <t>N/A（本工具为自愿性碳中和方法工具，碳排放覆盖量取决于活动组织者自愿采纳的规模和程度，无直接可量化的固定覆盖量）</t>
        </is>
      </c>
      <c r="AO24" s="341" t="inlineStr">
        <is>
          <t>N/A（本工具为自愿性工具，碳排放覆盖占比取决于自愿采纳情况）</t>
        </is>
      </c>
      <c r="AP24" s="341" t="inlineStr">
        <is>
          <t>R93; S94</t>
        </is>
      </c>
      <c r="AQ24" s="341" t="inlineStr">
        <is>
          <t>CO2; CH4; N2O</t>
        </is>
      </c>
      <c r="AR24" s="341" t="inlineStr">
        <is>
          <t>正向</t>
        </is>
      </c>
      <c r="AS24" s="341" t="inlineStr">
        <is>
          <t>公众健康；产业发展；污染防治</t>
        </is>
      </c>
      <c r="AT24" s="341" t="inlineStr">
        <is>
          <t>关于发布《大型活动碳中和实施指南（试行）》的公告（生态环境部公告2019年第19号）</t>
        </is>
      </c>
      <c r="AU24" s="341" t="inlineStr">
        <is>
          <t>https://www.mee.gov.cn/xxgk2018/xxgk/xxgk01/201906/t20190617_706706.html</t>
        </is>
      </c>
      <c r="AV24" s="341" t="inlineStr">
        <is>
          <t>https://www.gov.cn/gongbao/content/2019/content_5430516.htm</t>
        </is>
      </c>
      <c r="AW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国家</t>
        </is>
      </c>
      <c r="N25" s="341" t="inlineStr">
        <is>
          <t>N/A</t>
        </is>
      </c>
      <c r="O25" s="341" t="inlineStr">
        <is>
          <t>20/11/2024</t>
        </is>
      </c>
      <c r="P25" s="341" t="inlineStr">
        <is>
          <t>17/12/2024</t>
        </is>
      </c>
      <c r="Q25" s="341" t="inlineStr">
        <is>
          <t>N/A</t>
        </is>
      </c>
      <c r="R25" s="341" t="inlineStr">
        <is>
          <t>19/12/2025</t>
        </is>
      </c>
      <c r="S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T25" s="341">
        <f>IF(P25="","生效",IF(P25="N/A","生效",IF(TODAY()&lt;DATE(VALUE(RIGHT(P25,4)),VALUE(MID(P25,4,2)),VALUE(LEFT(P25,2))),"计划实施",IF(Q25="","生效",IF(Q25="N/A","生效",IF(TODAY()&lt;DATE(VALUE(RIGHT(Q25,4)),VALUE(MID(Q25,4,2)),VALUE(LEFT(Q25,2))),"生效","已终止"))))))</f>
        <v/>
      </c>
      <c r="U25" s="341" t="inlineStr">
        <is>
          <t>财政部（会计司，牵头）；外交部；国家发展和改革委员会；工业和信息化部；生态环境部；商务部；中国人民银行；国务院国有资产监督管理委员会；国家金融监督管理总局；中国证券监督管理委员会</t>
        </is>
      </c>
      <c r="V25" s="341" t="inlineStr">
        <is>
          <t>可持续/ESG信息（披露对象）</t>
        </is>
      </c>
      <c r="W25" s="341" t="inlineStr">
        <is>
          <t>N/A</t>
        </is>
      </c>
      <c r="X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Y25" s="341" t="inlineStr">
        <is>
          <t>N/A</t>
        </is>
      </c>
      <c r="Z25" s="341" t="inlineStr">
        <is>
          <t>N/A</t>
        </is>
      </c>
      <c r="AA25" s="341" t="inlineStr">
        <is>
          <t>企业</t>
        </is>
      </c>
      <c r="AB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C25" s="341" t="inlineStr">
        <is>
          <t>注册、许可及行政管理</t>
        </is>
      </c>
      <c r="AD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E25" s="341" t="inlineStr">
        <is>
          <t>N/A</t>
        </is>
      </c>
      <c r="AF25" s="341" t="inlineStr">
        <is>
          <t>N/A</t>
        </is>
      </c>
      <c r="AG25" s="341" t="inlineStr">
        <is>
          <t>N/A</t>
        </is>
      </c>
      <c r="AH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I25" s="341" t="inlineStr">
        <is>
          <t>N/A</t>
        </is>
      </c>
      <c r="AJ25" s="341" t="inlineStr">
        <is>
          <t>N/A</t>
        </is>
      </c>
      <c r="AK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L25" s="341" t="inlineStr">
        <is>
          <t>当前自愿实施阶段无强制性合规监测要求。财政部将会同相关部门对准则实施情况进行跟踪评估，适时调整实施范围和强制要求。企业自愿进行的可持续信息披露可由第三方机构提供鉴证服务。</t>
        </is>
      </c>
      <c r="AM25" s="341" t="inlineStr">
        <is>
          <t>N/A（自愿性披露标准，不设违规制裁。当前阶段由企业自愿实施，无强制合规义务和处罚。）</t>
        </is>
      </c>
      <c r="AN25" s="341" t="inlineStr">
        <is>
          <t>N/A（本工具为自愿性披露准则框架，碳排放覆盖量取决于自愿采纳准则进行气候相关信息披露的企业数量和披露范围，无直接可量化的固定覆盖量）</t>
        </is>
      </c>
      <c r="AO25" s="341" t="inlineStr">
        <is>
          <t>N/A（本工具为自愿性工具，碳排放覆盖占比取决于自愿采纳情况）</t>
        </is>
      </c>
      <c r="AP25" s="341" t="inlineStr">
        <is>
          <t>M72</t>
        </is>
      </c>
      <c r="AQ25" s="341" t="inlineStr">
        <is>
          <t>CO2; CH4; N2O</t>
        </is>
      </c>
      <c r="AR25" s="341" t="inlineStr">
        <is>
          <t>正向</t>
        </is>
      </c>
      <c r="AS25" s="341" t="inlineStr">
        <is>
          <t>技术创新；产业发展；节能</t>
        </is>
      </c>
      <c r="AT25" s="341" t="inlineStr">
        <is>
          <t>财政部等部门关于印发《企业可持续披露准则——基本准则（试行）》的通知（财会〔2024〕17号）</t>
        </is>
      </c>
      <c r="AU25" s="341" t="inlineStr">
        <is>
          <t>http://kjs.mof.gov.cn/zhengcefabu/202412/t20241216_3949745.htm</t>
        </is>
      </c>
      <c r="AV25" s="341" t="inlineStr">
        <is>
          <t>https://www.casc.org.cn/2025/1225/278706.shtml</t>
        </is>
      </c>
      <c r="AW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信息披露；绿色金融</t>
        </is>
      </c>
      <c r="L26" s="341" t="inlineStr">
        <is>
          <t>间接</t>
        </is>
      </c>
      <c r="M26" s="341" t="inlineStr">
        <is>
          <t>国家</t>
        </is>
      </c>
      <c r="N26" s="341" t="inlineStr">
        <is>
          <t>N/A</t>
        </is>
      </c>
      <c r="O26" s="341" t="inlineStr">
        <is>
          <t>22/07/2021</t>
        </is>
      </c>
      <c r="P26" s="341" t="inlineStr">
        <is>
          <t>22/07/2021</t>
        </is>
      </c>
      <c r="Q26" s="341" t="inlineStr">
        <is>
          <t>N/A</t>
        </is>
      </c>
      <c r="R26" s="341" t="inlineStr">
        <is>
          <t>N/A</t>
        </is>
      </c>
      <c r="S26" s="341" t="inlineStr">
        <is>
          <t>N/A</t>
        </is>
      </c>
      <c r="T26" s="341">
        <f>IF(P26="","生效",IF(P26="N/A","生效",IF(TODAY()&lt;DATE(VALUE(RIGHT(P26,4)),VALUE(MID(P26,4,2)),VALUE(LEFT(P26,2))),"计划实施",IF(Q26="","生效",IF(Q26="N/A","生效",IF(TODAY()&lt;DATE(VALUE(RIGHT(Q26,4)),VALUE(MID(Q26,4,2)),VALUE(LEFT(Q26,2))),"生效","已终止"))))))</f>
        <v/>
      </c>
      <c r="U26" s="341" t="inlineStr">
        <is>
          <t>中国人民银行（研究局、科技司）；全国金融标准化技术委员会（SAC/TC 180）</t>
        </is>
      </c>
      <c r="V26" s="341" t="inlineStr">
        <is>
          <t>环境信息（披露对象）</t>
        </is>
      </c>
      <c r="W26" s="341" t="inlineStr">
        <is>
          <t>N/A</t>
        </is>
      </c>
      <c r="X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Y26" s="341" t="inlineStr">
        <is>
          <t>N/A</t>
        </is>
      </c>
      <c r="Z26" s="341" t="inlineStr">
        <is>
          <t>N/A</t>
        </is>
      </c>
      <c r="AA26" s="341" t="inlineStr">
        <is>
          <t>企业</t>
        </is>
      </c>
      <c r="AB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C26" s="341" t="inlineStr">
        <is>
          <t>注册、许可及行政管理</t>
        </is>
      </c>
      <c r="AD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E26" s="341" t="inlineStr">
        <is>
          <t>N/A</t>
        </is>
      </c>
      <c r="AF26" s="341" t="inlineStr">
        <is>
          <t>N/A</t>
        </is>
      </c>
      <c r="AG26" s="341" t="inlineStr">
        <is>
          <t>N/A</t>
        </is>
      </c>
      <c r="AH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I26" s="341" t="inlineStr">
        <is>
          <t>N/A</t>
        </is>
      </c>
      <c r="AJ26" s="341" t="inlineStr">
        <is>
          <t>N/A</t>
        </is>
      </c>
      <c r="AK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L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M26" s="341" t="inlineStr">
        <is>
          <t>N/A（推荐性行业标准，不设违规制裁。金融机构自愿采纳，无强制合规义务和处罚。）</t>
        </is>
      </c>
      <c r="AN26" s="341" t="inlineStr">
        <is>
          <t>N/A（本工具为自愿性披露指南，碳排放覆盖量取决于金融机构自愿采纳指南进行环境信息（包括投融资组合碳排放）披露的覆盖范围和披露深度，无直接可量化的固定覆盖量）</t>
        </is>
      </c>
      <c r="AO26" s="341" t="inlineStr">
        <is>
          <t>N/A（本工具为自愿性工具，碳排放覆盖占比取决于自愿采纳情况）</t>
        </is>
      </c>
      <c r="AP26" s="341" t="inlineStr">
        <is>
          <t>K64</t>
        </is>
      </c>
      <c r="AQ26" s="341" t="inlineStr">
        <is>
          <t>CO2; CH4; N2O</t>
        </is>
      </c>
      <c r="AR26" s="341" t="inlineStr">
        <is>
          <t>正向</t>
        </is>
      </c>
      <c r="AS26" s="341" t="inlineStr">
        <is>
          <t>产业发展；技术创新；节能；污染防治</t>
        </is>
      </c>
      <c r="AT26" s="341" t="inlineStr">
        <is>
          <t>中国人民银行《金融机构环境信息披露指南》（JR/T 0227—2021）</t>
        </is>
      </c>
      <c r="AU26" s="341" t="inlineStr">
        <is>
          <t>https://std.samr.gov.cn/hb/search/stdHBDetailed?id=C8CBBCAE2F3D5981E05397BE0A0AB29C</t>
        </is>
      </c>
      <c r="AV26" s="341" t="inlineStr">
        <is>
          <t>N/A</t>
        </is>
      </c>
      <c r="AW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国家</t>
        </is>
      </c>
      <c r="N27" s="341" t="inlineStr">
        <is>
          <t>N/A</t>
        </is>
      </c>
      <c r="O27" s="341" t="inlineStr">
        <is>
          <t>11/02/1999</t>
        </is>
      </c>
      <c r="P27" s="341" t="inlineStr">
        <is>
          <t>11/02/1999</t>
        </is>
      </c>
      <c r="Q27" s="341" t="inlineStr">
        <is>
          <t>N/A</t>
        </is>
      </c>
      <c r="R27" s="341" t="inlineStr">
        <is>
          <t>23/09/2022</t>
        </is>
      </c>
      <c r="S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T27" s="341">
        <f>IF(P27="","生效",IF(P27="N/A","生效",IF(TODAY()&lt;DATE(VALUE(RIGHT(P27,4)),VALUE(MID(P27,4,2)),VALUE(LEFT(P27,2))),"计划实施",IF(Q27="","生效",IF(Q27="N/A","生效",IF(TODAY()&lt;DATE(VALUE(RIGHT(Q27,4)),VALUE(MID(Q27,4,2)),VALUE(LEFT(Q27,2))),"生效","已终止"))))))</f>
        <v/>
      </c>
      <c r="U27" s="341" t="inlineStr">
        <is>
          <t>国家市场监督管理总局（牵头，认证监督管理司）；国家发展和改革委员会；工业和信息化部；生态环境部。历史：国家经贸委（1999年节能产品认证）；国家发展改革委、国家认监委（2013年低碳产品认证）</t>
        </is>
      </c>
      <c r="V27" s="341" t="inlineStr">
        <is>
          <t>终端用能产品（节能低碳认证对象）</t>
        </is>
      </c>
      <c r="W27" s="341" t="inlineStr">
        <is>
          <t>新建；既有</t>
        </is>
      </c>
      <c r="X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Y27" s="341" t="inlineStr">
        <is>
          <t>N/A</t>
        </is>
      </c>
      <c r="Z27" s="341" t="inlineStr">
        <is>
          <t>N/A</t>
        </is>
      </c>
      <c r="AA27" s="341" t="inlineStr">
        <is>
          <t>企业</t>
        </is>
      </c>
      <c r="AB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C27" s="341" t="inlineStr">
        <is>
          <t>注册、许可及行政管理</t>
        </is>
      </c>
      <c r="AD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E27" s="341" t="inlineStr">
        <is>
          <t>N/A</t>
        </is>
      </c>
      <c r="AF27" s="341" t="inlineStr">
        <is>
          <t>N/A</t>
        </is>
      </c>
      <c r="AG27" s="341" t="inlineStr">
        <is>
          <t>N/A</t>
        </is>
      </c>
      <c r="AH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I27" s="341" t="inlineStr">
        <is>
          <t>N/A</t>
        </is>
      </c>
      <c r="AJ27" s="341" t="inlineStr">
        <is>
          <t>N/A</t>
        </is>
      </c>
      <c r="AK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L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M27" s="341" t="inlineStr">
        <is>
          <t>N/A（自愿性认证标识，不设违规制裁。对未通过监督检查或不持续符合认证要求的产品和企业，认证机构可暂停或撤销其认证证书和标识使用权；存在弄虚作假的依法追究责任。）</t>
        </is>
      </c>
      <c r="AN27" s="341" t="inlineStr">
        <is>
          <t>N/A（本工具为自愿性认证标识工具，碳排放覆盖量取决于企业自愿申请认证的产品数量和节能减碳效果，无直接可量化的固定覆盖量）</t>
        </is>
      </c>
      <c r="AO27" s="341" t="inlineStr">
        <is>
          <t>N/A（本工具为自愿性工具，碳排放覆盖占比取决于自愿采纳情况）</t>
        </is>
      </c>
      <c r="AP27" s="341" t="inlineStr">
        <is>
          <t>C10; C11; C12; C13; C14; C15; C16; C17; C18; C19; C20; C21; C22; C23; C24; C25; C26; C27; C28; C29; C30; C31; C32; C33</t>
        </is>
      </c>
      <c r="AQ27" s="341" t="inlineStr">
        <is>
          <t>CO2; CH4; N2O</t>
        </is>
      </c>
      <c r="AR27" s="341" t="inlineStr">
        <is>
          <t>正向</t>
        </is>
      </c>
      <c r="AS27" s="341" t="inlineStr">
        <is>
          <t>节能；污染防治；技术创新；产业发展</t>
        </is>
      </c>
      <c r="AT27" s="341" t="inlineStr">
        <is>
          <t>国务院办公厅《关于深化电子电器行业管理制度改革的意见》（国办发〔2022〕31号）</t>
        </is>
      </c>
      <c r="AU27" s="341" t="inlineStr">
        <is>
          <t>https://www.gov.cn/xinwen/2022-09/23/content_5711581.htm</t>
        </is>
      </c>
      <c r="AV27" s="341" t="inlineStr">
        <is>
          <t>https://www.ndrc.gov.cn/fggz/hjyzy/stwmjs/200507/t20050711_1159582_ext.html；https://www.ndrc.gov.cn/xxgk/zcfb/tz/201303/t20130319_964565.html</t>
        </is>
      </c>
      <c r="AW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能源效率；减缓气候变化</t>
        </is>
      </c>
      <c r="L28" s="341" t="inlineStr">
        <is>
          <t>间接</t>
        </is>
      </c>
      <c r="M28" s="341" t="inlineStr">
        <is>
          <t>国家</t>
        </is>
      </c>
      <c r="N28" s="341" t="inlineStr">
        <is>
          <t>N/A</t>
        </is>
      </c>
      <c r="O28" s="341" t="inlineStr">
        <is>
          <t>10/08/2007</t>
        </is>
      </c>
      <c r="P28" s="341" t="inlineStr">
        <is>
          <t>10/08/2007</t>
        </is>
      </c>
      <c r="Q28" s="341" t="inlineStr">
        <is>
          <t>N/A</t>
        </is>
      </c>
      <c r="R28" s="341" t="inlineStr">
        <is>
          <t>01/03/2019</t>
        </is>
      </c>
      <c r="S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T28" s="341">
        <f>IF(P28="","生效",IF(P28="N/A","生效",IF(TODAY()&lt;DATE(VALUE(RIGHT(P28,4)),VALUE(MID(P28,4,2)),VALUE(LEFT(P28,2))),"计划实施",IF(Q28="","生效",IF(Q28="N/A","生效",IF(TODAY()&lt;DATE(VALUE(RIGHT(Q28,4)),VALUE(MID(Q28,4,2)),VALUE(LEFT(Q28,2))),"生效","已终止"))))))</f>
        <v/>
      </c>
      <c r="U28" s="341" t="inlineStr">
        <is>
          <t>住房和城乡建设部（标准定额司）；各省、自治区、直辖市住房城乡建设主管部门</t>
        </is>
      </c>
      <c r="V28" s="341" t="inlineStr">
        <is>
          <t>建筑（绿色建筑评价对象）</t>
        </is>
      </c>
      <c r="W28" s="341" t="inlineStr">
        <is>
          <t>新建；既有</t>
        </is>
      </c>
      <c r="X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Y28" s="341" t="inlineStr">
        <is>
          <t>N/A</t>
        </is>
      </c>
      <c r="Z28" s="341" t="inlineStr">
        <is>
          <t>N/A</t>
        </is>
      </c>
      <c r="AA28" s="341" t="inlineStr">
        <is>
          <t>企业</t>
        </is>
      </c>
      <c r="AB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C28" s="341" t="inlineStr">
        <is>
          <t>注册、许可及行政管理</t>
        </is>
      </c>
      <c r="AD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E28" s="341" t="inlineStr">
        <is>
          <t>N/A</t>
        </is>
      </c>
      <c r="AF28" s="341" t="inlineStr">
        <is>
          <t>N/A</t>
        </is>
      </c>
      <c r="AG28" s="341" t="inlineStr">
        <is>
          <t>N/A</t>
        </is>
      </c>
      <c r="AH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I28" s="341" t="inlineStr">
        <is>
          <t>N/A</t>
        </is>
      </c>
      <c r="AJ28" s="341" t="inlineStr">
        <is>
          <t>N/A</t>
        </is>
      </c>
      <c r="AK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L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M28" s="341" t="inlineStr">
        <is>
          <t>N/A（自愿性建筑评价标识，不设违规制裁。发现申报材料弄虚作假或运营不再符合要求的，由主管部门撤销标识。）</t>
        </is>
      </c>
      <c r="AN28" s="341" t="inlineStr">
        <is>
          <t>N/A（本工具为自愿性建筑评价标识工具，碳排放覆盖量取决于建筑项目自愿申报并获得标识的绿色建筑总量，无直接可量化的固定覆盖量）</t>
        </is>
      </c>
      <c r="AO28" s="341" t="inlineStr">
        <is>
          <t>N/A（本工具为自愿性工具，碳排放覆盖占比取决于自愿采纳情况）</t>
        </is>
      </c>
      <c r="AP28" s="341" t="inlineStr">
        <is>
          <t>F41; F42; F43</t>
        </is>
      </c>
      <c r="AQ28" s="341" t="inlineStr">
        <is>
          <t>CO2; CH4; N2O</t>
        </is>
      </c>
      <c r="AR28" s="341" t="inlineStr">
        <is>
          <t>正向</t>
        </is>
      </c>
      <c r="AS28" s="341" t="inlineStr">
        <is>
          <t>节能；资源节约；污染防治；生态保护</t>
        </is>
      </c>
      <c r="AT28" s="341" t="inlineStr">
        <is>
          <t>《住房和城乡建设部关于印发绿色建筑标识管理办法的通知》（建标规〔2021〕1号）</t>
        </is>
      </c>
      <c r="AU28" s="341" t="inlineStr">
        <is>
          <t>https://www.gov.cn/zhengce/zhengceku/2021-01/17/content_5580528.htm</t>
        </is>
      </c>
      <c r="AV28" s="341" t="inlineStr">
        <is>
          <t>N/A</t>
        </is>
      </c>
      <c r="AW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循环经济；减缓气候变化</t>
        </is>
      </c>
      <c r="L29" s="341" t="inlineStr">
        <is>
          <t>间接</t>
        </is>
      </c>
      <c r="M29" s="341" t="inlineStr">
        <is>
          <t>国家</t>
        </is>
      </c>
      <c r="N29" s="341" t="inlineStr">
        <is>
          <t>N/A</t>
        </is>
      </c>
      <c r="O29" s="341" t="inlineStr">
        <is>
          <t>21/04/2016</t>
        </is>
      </c>
      <c r="P29" s="341" t="inlineStr">
        <is>
          <t>21/04/2016</t>
        </is>
      </c>
      <c r="Q29" s="341" t="inlineStr">
        <is>
          <t>N/A</t>
        </is>
      </c>
      <c r="R29" s="341" t="inlineStr">
        <is>
          <t>N/A</t>
        </is>
      </c>
      <c r="S29" s="341" t="inlineStr">
        <is>
          <t>N/A</t>
        </is>
      </c>
      <c r="T29" s="341">
        <f>IF(P29="","生效",IF(P29="N/A","生效",IF(TODAY()&lt;DATE(VALUE(RIGHT(P29,4)),VALUE(MID(P29,4,2)),VALUE(LEFT(P29,2))),"计划实施",IF(Q29="","生效",IF(Q29="N/A","生效",IF(TODAY()&lt;DATE(VALUE(RIGHT(Q29,4)),VALUE(MID(Q29,4,2)),VALUE(LEFT(Q29,2))),"生效","已终止"))))))</f>
        <v/>
      </c>
      <c r="U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V29" s="341" t="inlineStr">
        <is>
          <t>用水产品（坐便器、智能坐便器、洗碗机、淋浴器、净水机等）；重点用水企业（火电、钢铁、纺织染整、造纸、石油炼制、化工等21个行业）；灌区（灌溉面积1万亩以上的大中型灌区）；公共机构（党政机关、学校、医院等）</t>
        </is>
      </c>
      <c r="W29" s="341" t="inlineStr">
        <is>
          <t>既有</t>
        </is>
      </c>
      <c r="X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Y29" s="341" t="inlineStr">
        <is>
          <t>N/A</t>
        </is>
      </c>
      <c r="Z29" s="341" t="inlineStr">
        <is>
          <t>N/A</t>
        </is>
      </c>
      <c r="AA29" s="341" t="inlineStr">
        <is>
          <t>企业；政府</t>
        </is>
      </c>
      <c r="AB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C29" s="341" t="inlineStr">
        <is>
          <t>注册、许可及行政管理</t>
        </is>
      </c>
      <c r="AD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E29" s="341" t="inlineStr">
        <is>
          <t>N/A</t>
        </is>
      </c>
      <c r="AF29" s="341" t="inlineStr">
        <is>
          <t>N/A</t>
        </is>
      </c>
      <c r="AG29" s="341" t="inlineStr">
        <is>
          <t>N/A</t>
        </is>
      </c>
      <c r="AH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I29" s="341" t="inlineStr">
        <is>
          <t>N/A</t>
        </is>
      </c>
      <c r="AJ29" s="341" t="inlineStr">
        <is>
          <t>N/A</t>
        </is>
      </c>
      <c r="AK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L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M29" s="341" t="inlineStr">
        <is>
          <t>N/A（自愿性遴选制度，不设违规制裁。对不再符合水效领跑者条件的获评单位，撤销其称号并公告。对弄虚作假的申报主体取消申报资格并在一定期限内禁止再次申报。）</t>
        </is>
      </c>
      <c r="AN29" s="341" t="inlineStr">
        <is>
          <t>N/A（本工具为自愿性标杆引领机制，碳排放覆盖量取决于获评单位的节水规模和节水降碳协同效果，无直接可量化的固定覆盖量）</t>
        </is>
      </c>
      <c r="AO29" s="341" t="inlineStr">
        <is>
          <t>N/A（本工具为自愿性工具，碳排放覆盖占比取决于自愿参与情况）</t>
        </is>
      </c>
      <c r="AP29" s="341" t="inlineStr">
        <is>
          <t>A01; C13; C17; C19; C20; C23; C24; C27; D35; O84; P85; Q86</t>
        </is>
      </c>
      <c r="AQ29" s="341" t="inlineStr">
        <is>
          <t>CO2</t>
        </is>
      </c>
      <c r="AR29" s="341" t="inlineStr">
        <is>
          <t>正向</t>
        </is>
      </c>
      <c r="AS29" s="341" t="inlineStr">
        <is>
          <t>资源节约；节能；污染防治</t>
        </is>
      </c>
      <c r="AT29" s="341" t="inlineStr">
        <is>
          <t>国家发展改革委 水利部 工业和信息化部 住房城乡建设部 国家质检总局 国家能源局关于印发《水效领跑者引领行动实施方案》的通知（发改环资〔2016〕876号）</t>
        </is>
      </c>
      <c r="AU29" s="341" t="inlineStr">
        <is>
          <t>https://zfxxgk.ndrc.gov.cn/web/iteminfo.jsp?id=2443</t>
        </is>
      </c>
      <c r="AV29" s="341" t="inlineStr">
        <is>
          <t>N/A</t>
        </is>
      </c>
      <c r="AW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碳效领跑者制度是由国家发展改革委牵头建立并实施的自愿性对标制度，通过定期评选并公布能效或碳效水平领先的领跑者，以其能效或碳效水平作为行业基准和赶超目标，引导用能主体开展对标达标和竞争，推动整体能效和碳效水平持续提升。制度根据《能效领跑者制度实施方案》（发改环资〔2014〕3001号）建立，原覆盖终端用能产品、高耗能行业企业和公共机构三类对象；2022年产品遴选取消后，现设两个子方案：（1）能效领跑者——高耗能行业企业（2026年度起推荐范围扩展至43个细分行业）和公共机构，以单位产品综合能耗等能效指标对标（详见子方案S001）；（2）碳效领跑者——2026年度起首次设立，在电解铝、水泥熟料、合成氨、乙烯、甲醇5个细分行业依据产品碳足迹核算规则国家标准或团体标准对标（详见子方案S002）。各类领跑者名单经自愿申报、地方推荐、专家评审和公示后由政府主管部门发布。参与为自愿性质，不设强制性合规义务和处罚。</t>
        </is>
      </c>
      <c r="K30" s="341" t="inlineStr">
        <is>
          <t>能源效率；减缓气候变化</t>
        </is>
      </c>
      <c r="L30" s="341" t="inlineStr">
        <is>
          <t>直接</t>
        </is>
      </c>
      <c r="M30" s="341" t="inlineStr">
        <is>
          <t>国家</t>
        </is>
      </c>
      <c r="N30" s="341" t="inlineStr">
        <is>
          <t>N/A</t>
        </is>
      </c>
      <c r="O30" s="341" t="inlineStr">
        <is>
          <t>31/12/2014</t>
        </is>
      </c>
      <c r="P30" s="341" t="inlineStr">
        <is>
          <t>01/01/2015</t>
        </is>
      </c>
      <c r="Q30" s="341" t="inlineStr">
        <is>
          <t>N/A</t>
        </is>
      </c>
      <c r="R30" s="341" t="inlineStr">
        <is>
          <t>30/07/2026</t>
        </is>
      </c>
      <c r="S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T30" s="341">
        <f>IF(P30="","生效",IF(P30="N/A","生效",IF(TODAY()&lt;DATE(VALUE(RIGHT(P30,4)),VALUE(MID(P30,4,2)),VALUE(LEFT(P30,2))),"计划实施",IF(Q30="","生效",IF(Q30="N/A","生效",IF(TODAY()&lt;DATE(VALUE(RIGHT(Q30,4)),VALUE(MID(Q30,4,2)),VALUE(LEFT(Q30,2))),"生效","已终止"))))))</f>
        <v/>
      </c>
      <c r="U30" s="341" t="inlineStr">
        <is>
          <t>国家发展和改革委员会（资源节约和环境保护司）；工业和信息化部（节能与综合利用司）；国家市场监督管理总局（产品质量安全监督管理司、计量司）</t>
        </is>
      </c>
      <c r="V30" s="341" t="inlineStr">
        <is>
          <t>高耗能企业；公共机构（能效领跑者认定对象）；重点行业工业企业（碳效领跑者认定对象）</t>
        </is>
      </c>
      <c r="W30" s="341" t="inlineStr">
        <is>
          <t>新建；既有</t>
        </is>
      </c>
      <c r="X30" s="341" t="inlineStr">
        <is>
          <t>本工具界定和覆盖的对象为两个子方案的领跑者遴选：（1）能效领跑者——高耗能行业企业，以单位产品综合能耗为评选依据，2026年度扩展至43个细分行业；公共机构（国家机关、学校、医院等），以单位建筑面积能耗和人均能耗等指标为评选依据（详见子方案S001）；（2）碳效领跑者——电解铝、水泥熟料、合成氨、乙烯、甲醇5个细分行业企业，以产品碳足迹为对标指标（详见子方案S002）。各类领跑者定期评选发布。原终端用能产品能效领跑者遴选已于2022年取消（国办发〔2022〕31号）。</t>
        </is>
      </c>
      <c r="Y30" s="341" t="inlineStr">
        <is>
          <t>N/A</t>
        </is>
      </c>
      <c r="Z30" s="341" t="inlineStr">
        <is>
          <t>N/A</t>
        </is>
      </c>
      <c r="AA30" s="341" t="inlineStr">
        <is>
          <t>企业</t>
        </is>
      </c>
      <c r="AB30" s="341" t="inlineStr">
        <is>
          <t>高耗能行业企业和公共机构（能效领跑者）、5个重点行业工业企业（碳效领跑者）均可自愿申报，经初审、专家评审和公示后入选。参与为自愿性质，无强制性合规义务。原终端用能产品能效领跑者已于2022年取消。</t>
        </is>
      </c>
      <c r="AC30" s="341" t="inlineStr">
        <is>
          <t>注册、许可及行政管理</t>
        </is>
      </c>
      <c r="AD30" s="341" t="inlineStr">
        <is>
          <t>本工具规范和引导的活动为能效领跑者与碳效领跑者的自愿申报、评选与发布过程（详见子方案S001、S002）。领跑者名单有效期约两年，到期后重新评选。参与为自愿性质。</t>
        </is>
      </c>
      <c r="AE30" s="341" t="inlineStr">
        <is>
          <t>N/A</t>
        </is>
      </c>
      <c r="AF30" s="341" t="inlineStr">
        <is>
          <t>N/A</t>
        </is>
      </c>
      <c r="AG30" s="341" t="inlineStr">
        <is>
          <t>N/A</t>
        </is>
      </c>
      <c r="AH30" s="341" t="inlineStr">
        <is>
          <t>1）能效领跑者：高耗能行业企业单位产品能耗须达到行业先进值，公共机构须达到相应类别能源资源消耗先进水平（详见子方案S001）；2）碳效领跑者：申报单位年能源消费量超过1万吨标准煤或年二氧化碳排放量超过2.6万吨二氧化碳当量，单位产品能效达到或优于能耗限额标准1级和标杆水平，绿色电力消费比例达到规定要求，依据产品碳足迹核算规则标准对标（详见子方案S002）；3）均经自愿申报、地方推荐、专家评审、公示后发布；4）参与为自愿性质，不设强制性合规义务和处罚。</t>
        </is>
      </c>
      <c r="AI30" s="341" t="inlineStr">
        <is>
          <t>N/A</t>
        </is>
      </c>
      <c r="AJ30" s="341" t="inlineStr">
        <is>
          <t>N/A</t>
        </is>
      </c>
      <c r="AK30" s="341" t="inlineStr">
        <is>
          <t>入选领跑者的企业和公共机构可获得国家级名单发布和媒体宣传推广，提升品牌形象和行业影响力；优先推荐纳入相关示范名单；部分地方给予表彰和资金奖励（详见子方案S001、S002）。</t>
        </is>
      </c>
      <c r="AL30" s="341" t="inlineStr">
        <is>
          <t>对入选的能效、碳效领跑者实行动态管理；不再符合领跑者条件或存在弄虚作假的，取消其领跑者资格并向社会公告。主管部门每年组织新一轮推荐遴选（详见子方案S001、S002）。</t>
        </is>
      </c>
      <c r="AM30" s="341" t="inlineStr">
        <is>
          <t>N/A（自愿制度，不设违规制裁。对不再符合领跑者条件或存在弄虚作假的，取消其领跑者资格并向社会公告。）</t>
        </is>
      </c>
      <c r="AN30" s="341" t="inlineStr">
        <is>
          <t>N/A（本工具为自愿性对标制度，碳排放覆盖量取决于企业自愿参与和能效提升的规模和程度，无直接可量化的固定覆盖量）</t>
        </is>
      </c>
      <c r="AO30" s="341" t="inlineStr">
        <is>
          <t>N/A（本工具为自愿性工具，碳排放覆盖占比取决于自愿采纳情况）</t>
        </is>
      </c>
      <c r="AP30" s="341" t="inlineStr">
        <is>
          <t>C19; C20; C23; C24; D35; O84; P85; Q86</t>
        </is>
      </c>
      <c r="AQ30" s="341" t="inlineStr">
        <is>
          <t>CO2; CH4; N2O</t>
        </is>
      </c>
      <c r="AR30" s="341" t="inlineStr">
        <is>
          <t>正向</t>
        </is>
      </c>
      <c r="AS30" s="341" t="inlineStr">
        <is>
          <t>节能；技术创新；产业发展；污染防治</t>
        </is>
      </c>
      <c r="AT30" s="341" t="inlineStr">
        <is>
          <t>关于印发《能效领跑者制度实施方案》的通知（发改环资〔2014〕3001号）；关于组织开展2026年度重点行业能效、碳效领跑者企业推荐工作的通知（工信厅联节函〔2026〕372号）</t>
        </is>
      </c>
      <c r="AU30" s="341" t="inlineStr">
        <is>
          <t>https://www.ndrc.gov.cn/xxgk/zcfb/tz/201501/t20150108_963728.html</t>
        </is>
      </c>
      <c r="AV30" s="341" t="inlineStr">
        <is>
          <t>https://wap.miit.gov.cn/zwgk/zcwj/wjfb/tz/art/2026/art_277a824ef0ae478faf7dc2d4f14b5db6.html</t>
        </is>
      </c>
      <c r="AW30" s="341" t="inlineStr"/>
    </row>
    <row r="31">
      <c r="A31" s="430" t="inlineStr">
        <is>
          <t>CHNVIIVLBI04S001</t>
        </is>
      </c>
      <c r="B31" s="430" t="inlineStr">
        <is>
          <t>子方案</t>
        </is>
      </c>
      <c r="C31" s="430" t="inlineStr">
        <is>
          <t>自愿性信息工具</t>
        </is>
      </c>
      <c r="D31" s="430" t="inlineStr">
        <is>
          <t>自愿性认证标识</t>
        </is>
      </c>
      <c r="E31" s="430" t="inlineStr">
        <is>
          <t>跨部门；工业</t>
        </is>
      </c>
      <c r="F31" s="430" t="inlineStr">
        <is>
          <t>N/A</t>
        </is>
      </c>
      <c r="G31" s="430" t="inlineStr">
        <is>
          <t>能效领跑者</t>
        </is>
      </c>
      <c r="H31" s="430" t="inlineStr">
        <is>
          <t>Energy Efficiency Top-Runner</t>
        </is>
      </c>
      <c r="I31" s="430" t="inlineStr">
        <is>
          <t>能效、碳效领跑者制度</t>
        </is>
      </c>
      <c r="J31" s="430" t="inlineStr">
        <is>
          <t>能效领跑者是能效、碳效领跑者制度下自2014年起实施的自愿性对标遴选机制，通过定期评选并公布高耗能行业企业和公共机构中能效水平最高的领跑者，以其能效水平作为行业基准和赶超目标，引导用能主体开展能效对标达标和竞争，推动整体能效水平持续提升。该机制根据《能效领跑者制度实施方案》（发改环资〔2014〕3001号）建立，原覆盖终端用能产品、高耗能行业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2026年度起推荐范围扩展至43个细分行业，包括钢铁、有色、建材、石化、化工、纺织、造纸等；（2）公共机构能效领跑者——能源资源利用效率达到先进水平的国家机关、学校、医院等公共机构。2026年度起新增绿色电力消费比例要求（不低于本地区2025年可再生能源电力总量消纳责任权重、重点用能行业绿色电力消费比例），原则上每个行业能效领跑者企业数量不超过5家。领跑者名单经自愿申报、地方推荐、专家评审和公示后发布，有效期约两年。参与为自愿性质，不设强制性合规义务和处罚。</t>
        </is>
      </c>
      <c r="K31" s="430" t="inlineStr">
        <is>
          <t>能源效率</t>
        </is>
      </c>
      <c r="L31" s="430" t="inlineStr">
        <is>
          <t>间接</t>
        </is>
      </c>
      <c r="M31" s="430" t="inlineStr">
        <is>
          <t>国家</t>
        </is>
      </c>
      <c r="N31" s="430" t="inlineStr">
        <is>
          <t>N/A</t>
        </is>
      </c>
      <c r="O31" s="430" t="inlineStr">
        <is>
          <t>31/12/2014</t>
        </is>
      </c>
      <c r="P31" s="430" t="inlineStr">
        <is>
          <t>01/01/2015</t>
        </is>
      </c>
      <c r="Q31" s="430" t="inlineStr">
        <is>
          <t>N/A</t>
        </is>
      </c>
      <c r="R31" s="430" t="inlineStr">
        <is>
          <t>30/07/2026</t>
        </is>
      </c>
      <c r="S31" s="430" t="inlineStr">
        <is>
          <t>2014年12月31日国家发展改革委等印发《能效领跑者制度实施方案》（发改环资〔2014〕3001号），建立覆盖终端用能产品、高耗能行业企业和公共机构三类对象的能效领跑者制度。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并新增绿色电力消费比例要求。</t>
        </is>
      </c>
      <c r="T31" s="430">
        <f>IF(P31="","生效",IF(P31="N/A","生效",IF(TODAY()&lt;DATE(VALUE(RIGHT(P31,4)),VALUE(MID(P31,4,2)),VALUE(LEFT(P31,2))),"计划实施",IF(Q31="","生效",IF(Q31="N/A","生效",IF(TODAY()&lt;DATE(VALUE(RIGHT(Q31,4)),VALUE(MID(Q31,4,2)),VALUE(LEFT(Q31,2))),"生效","已终止"))))))</f>
        <v/>
      </c>
      <c r="U31" s="430" t="inlineStr">
        <is>
          <t>国家发展和改革委员会（资源节约和环境保护司）；工业和信息化部（节能与综合利用司）；国家市场监督管理总局（产品质量安全监督管理司）</t>
        </is>
      </c>
      <c r="V31" s="430" t="inlineStr">
        <is>
          <t>高耗能行业企业；公共机构</t>
        </is>
      </c>
      <c r="W31" s="430" t="inlineStr">
        <is>
          <t>新建；既有</t>
        </is>
      </c>
      <c r="X31" s="430" t="inlineStr">
        <is>
          <t>本子方案界定和覆盖的对象包括两类：（1）高耗能行业企业，以单位产品综合能耗为评选依据，2026年度推荐范围扩展至43个细分行业，包括钢铁、水泥、电解铝、平板玻璃、炼油、乙烯、合成氨等行业；（2）公共机构（国家机关、学校、医院等），以单位建筑面积能耗和人均能耗等指标为评选依据。领跑者定期评选发布，名单有效期约两年。原终端用能产品能效领跑者遴选已于2022年取消（国办发〔2022〕31号）。</t>
        </is>
      </c>
      <c r="Y31" s="430" t="inlineStr">
        <is>
          <t>N/A</t>
        </is>
      </c>
      <c r="Z31" s="430" t="inlineStr">
        <is>
          <t>N/A</t>
        </is>
      </c>
      <c r="AA31" s="430" t="inlineStr">
        <is>
          <t>企业</t>
        </is>
      </c>
      <c r="AB31" s="430"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C31" s="430" t="inlineStr">
        <is>
          <t>注册、许可及行政管理</t>
        </is>
      </c>
      <c r="AD31" s="430"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E31" s="430" t="inlineStr">
        <is>
          <t>N/A</t>
        </is>
      </c>
      <c r="AF31" s="430" t="inlineStr">
        <is>
          <t>N/A</t>
        </is>
      </c>
      <c r="AG31" s="430" t="inlineStr">
        <is>
          <t>N/A</t>
        </is>
      </c>
      <c r="AH31" s="430"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则上每个行业能效领跑者企业不超过5家（2026年度起）；6）参与为自愿性质。</t>
        </is>
      </c>
      <c r="AI31" s="430" t="inlineStr">
        <is>
          <t>N/A</t>
        </is>
      </c>
      <c r="AJ31" s="430" t="inlineStr">
        <is>
          <t>N/A</t>
        </is>
      </c>
      <c r="AK31" s="430"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L31" s="430" t="inlineStr">
        <is>
          <t>对入选的能效领跑者产品和企业在有效期内实行动态管理；如产品能效或企业单位产品能耗不再符合领跑者要求，取消其领跑者资格。由主管部门组织第三方机构进行监督检查。</t>
        </is>
      </c>
      <c r="AM31" s="430" t="inlineStr">
        <is>
          <t>N/A（自愿制度，不设违规制裁。对不再符合领跑者条件或存在弄虚作假的，取消其领跑者资格并向社会公告。）</t>
        </is>
      </c>
      <c r="AN31" s="430" t="inlineStr">
        <is>
          <t>N/A（本工具为自愿性对标制度，碳排放覆盖量取决于企业自愿参与和能效提升的规模和程度，无直接可量化的固定覆盖量）</t>
        </is>
      </c>
      <c r="AO31" s="430" t="inlineStr">
        <is>
          <t>N/A（本工具为自愿性工具，碳排放覆盖占比取决于自愿采纳情况）</t>
        </is>
      </c>
      <c r="AP31" s="430" t="inlineStr">
        <is>
          <t>C19; C20; C23; C24; D35; O84; P85; Q86</t>
        </is>
      </c>
      <c r="AQ31" s="430" t="inlineStr">
        <is>
          <t>CO2; CH4; N2O</t>
        </is>
      </c>
      <c r="AR31" s="430" t="inlineStr">
        <is>
          <t>正向</t>
        </is>
      </c>
      <c r="AS31" s="430" t="inlineStr">
        <is>
          <t>节能；技术创新；产业发展；污染防治</t>
        </is>
      </c>
      <c r="AT31" s="430" t="inlineStr">
        <is>
          <t>关于印发《能效领跑者制度实施方案》的通知（发改环资〔2014〕3001号）；关于组织开展2026年度重点行业能效、碳效领跑者企业推荐工作的通知（工信厅联节函〔2026〕372号）</t>
        </is>
      </c>
      <c r="AU31" s="430" t="inlineStr">
        <is>
          <t>https://www.ndrc.gov.cn/xxgk/zcfb/tz/201501/t20150108_963728.html</t>
        </is>
      </c>
      <c r="AV31" s="430" t="inlineStr">
        <is>
          <t>https://wap.miit.gov.cn/zwgk/zcwj/wjfb/tz/art/2026/art_277a824ef0ae478faf7dc2d4f14b5db6.html</t>
        </is>
      </c>
      <c r="AW31" s="430" t="inlineStr"/>
    </row>
    <row r="32">
      <c r="A32" s="430" t="inlineStr">
        <is>
          <t>CHNVIIVLBI04S002</t>
        </is>
      </c>
      <c r="B32" s="430" t="inlineStr">
        <is>
          <t>子方案</t>
        </is>
      </c>
      <c r="C32" s="430" t="inlineStr">
        <is>
          <t>自愿性信息工具</t>
        </is>
      </c>
      <c r="D32" s="430" t="inlineStr">
        <is>
          <t>自愿性认证标识</t>
        </is>
      </c>
      <c r="E32" s="430" t="inlineStr">
        <is>
          <t>工业</t>
        </is>
      </c>
      <c r="F32" s="430" t="inlineStr">
        <is>
          <t>电解铝；水泥熟料；合成氨；乙烯；甲醇</t>
        </is>
      </c>
      <c r="G32" s="430" t="inlineStr">
        <is>
          <t>重点行业碳效领跑者</t>
        </is>
      </c>
      <c r="H32" s="430" t="inlineStr">
        <is>
          <t>Carbon Efficiency Top-Runner in Key Industries</t>
        </is>
      </c>
      <c r="I32" s="430" t="inlineStr">
        <is>
          <t>能效、碳效领跑者制度</t>
        </is>
      </c>
      <c r="J32" s="430"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2" s="430" t="inlineStr">
        <is>
          <t>减缓气候变化</t>
        </is>
      </c>
      <c r="L32" s="430" t="inlineStr">
        <is>
          <t>直接</t>
        </is>
      </c>
      <c r="M32" s="430" t="inlineStr">
        <is>
          <t>国家</t>
        </is>
      </c>
      <c r="N32" s="430" t="inlineStr">
        <is>
          <t>N/A</t>
        </is>
      </c>
      <c r="O32" s="430" t="inlineStr">
        <is>
          <t>30/07/2026</t>
        </is>
      </c>
      <c r="P32" s="430" t="inlineStr">
        <is>
          <t>03/08/2026</t>
        </is>
      </c>
      <c r="Q32" s="430" t="inlineStr">
        <is>
          <t>N/A</t>
        </is>
      </c>
      <c r="R32" s="430" t="inlineStr">
        <is>
          <t>N/A</t>
        </is>
      </c>
      <c r="S32" s="430" t="inlineStr">
        <is>
          <t>N/A</t>
        </is>
      </c>
      <c r="T32" s="430">
        <f>IF(P32="","生效",IF(P32="N/A","生效",IF(TODAY()&lt;DATE(VALUE(RIGHT(P32,4)),VALUE(MID(P32,4,2)),VALUE(LEFT(P32,2))),"计划实施",IF(Q32="","生效",IF(Q32="N/A","生效",IF(TODAY()&lt;DATE(VALUE(RIGHT(Q32,4)),VALUE(MID(Q32,4,2)),VALUE(LEFT(Q32,2))),"生效","已终止"))))))</f>
        <v/>
      </c>
      <c r="U32" s="430" t="inlineStr">
        <is>
          <t>工业和信息化部（节能与综合利用司）；国家发展和改革委员会（资源节约和环境保护司）；国家市场监督管理总局（计量司）</t>
        </is>
      </c>
      <c r="V32" s="430" t="inlineStr">
        <is>
          <t>重点行业工业企业（碳效领跑者遴选对象）</t>
        </is>
      </c>
      <c r="W32" s="430" t="inlineStr">
        <is>
          <t>既有</t>
        </is>
      </c>
      <c r="X32" s="430"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Y32" s="430" t="inlineStr">
        <is>
          <t>N/A</t>
        </is>
      </c>
      <c r="Z32" s="430" t="inlineStr">
        <is>
          <t>年能源消费量＞1万吨标准煤或年二氧化碳排放量＞2.6万吨二氧化碳当量</t>
        </is>
      </c>
      <c r="AA32" s="430" t="inlineStr">
        <is>
          <t>企业</t>
        </is>
      </c>
      <c r="AB32" s="430"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C32" s="430" t="inlineStr">
        <is>
          <t>注册、许可及行政管理</t>
        </is>
      </c>
      <c r="AD32" s="430"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E32" s="430" t="inlineStr">
        <is>
          <t>N/A</t>
        </is>
      </c>
      <c r="AF32" s="430" t="inlineStr">
        <is>
          <t>N/A</t>
        </is>
      </c>
      <c r="AG32" s="430" t="inlineStr">
        <is>
          <t>N/A</t>
        </is>
      </c>
      <c r="AH32" s="430"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I32" s="430" t="inlineStr">
        <is>
          <t>N/A</t>
        </is>
      </c>
      <c r="AJ32" s="430" t="inlineStr">
        <is>
          <t>N/A</t>
        </is>
      </c>
      <c r="AK32" s="430"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L32" s="430" t="inlineStr">
        <is>
          <t>省级初审（2026年9月15日前报送推荐意见及推荐表）；工业和信息化部、国家发展改革委、市场监管总局组织复审，通过专家评审确定名单；每年组织新一轮推荐遴选，实行动态更新。</t>
        </is>
      </c>
      <c r="AM32" s="430" t="inlineStr">
        <is>
          <t>N/A（自愿性遴选标识，不设违规制裁。申报单位近三年存在较大及以上事故、比较重大以上行政处罚、失信等情形的不得申报；不再符合领跑者条件或弄虚作假的，取消资格。）</t>
        </is>
      </c>
      <c r="AN32" s="430" t="inlineStr">
        <is>
          <t>N/A（自愿性工具，覆盖量取决于自愿申报与入选企业的规模与数量，无固定可量化覆盖量）</t>
        </is>
      </c>
      <c r="AO32" s="430" t="inlineStr">
        <is>
          <t>N/A</t>
        </is>
      </c>
      <c r="AP32" s="430" t="inlineStr">
        <is>
          <t>C20; C23; C24</t>
        </is>
      </c>
      <c r="AQ32" s="430" t="inlineStr">
        <is>
          <t>CO2</t>
        </is>
      </c>
      <c r="AR32" s="430" t="inlineStr">
        <is>
          <t>正向</t>
        </is>
      </c>
      <c r="AS32" s="430" t="inlineStr">
        <is>
          <t>节能；技术创新；产业发展</t>
        </is>
      </c>
      <c r="AT32" s="430" t="inlineStr">
        <is>
          <t>关于组织开展2026年度重点行业能效、碳效领跑者企业推荐工作的通知（工信厅联节函〔2026〕372号）</t>
        </is>
      </c>
      <c r="AU32" s="430" t="inlineStr">
        <is>
          <t>https://wap.miit.gov.cn/zwgk/zcwj/wjfb/tz/art/2026/art_277a824ef0ae478faf7dc2d4f14b5db6.html</t>
        </is>
      </c>
      <c r="AV32" s="430" t="inlineStr">
        <is>
          <t>N/A</t>
        </is>
      </c>
      <c r="AW32" s="430" t="inlineStr"/>
    </row>
    <row r="33">
      <c r="A33" s="341" t="inlineStr">
        <is>
          <t>CHNVIIVLBI05S000</t>
        </is>
      </c>
      <c r="B33" s="341" t="inlineStr">
        <is>
          <t>工具</t>
        </is>
      </c>
      <c r="C33" s="341" t="inlineStr">
        <is>
          <t>自愿性信息工具</t>
        </is>
      </c>
      <c r="D33" s="341" t="inlineStr">
        <is>
          <t>自愿性认证标识</t>
        </is>
      </c>
      <c r="E33" s="341" t="inlineStr">
        <is>
          <t>跨部门</t>
        </is>
      </c>
      <c r="F33" s="341" t="inlineStr">
        <is>
          <t>N/A</t>
        </is>
      </c>
      <c r="G33" s="341" t="inlineStr">
        <is>
          <t>绿色产品标识</t>
        </is>
      </c>
      <c r="H33" s="341" t="inlineStr">
        <is>
          <t>Green Product Label</t>
        </is>
      </c>
      <c r="I33" s="341" t="inlineStr">
        <is>
          <t>N/A</t>
        </is>
      </c>
      <c r="J33"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3" s="341" t="inlineStr">
        <is>
          <t>绿色消费；减缓气候变化；适应气候变化</t>
        </is>
      </c>
      <c r="L33" s="341" t="inlineStr">
        <is>
          <t>间接</t>
        </is>
      </c>
      <c r="M33" s="341" t="inlineStr">
        <is>
          <t>国家</t>
        </is>
      </c>
      <c r="N33" s="341" t="inlineStr">
        <is>
          <t>N/A</t>
        </is>
      </c>
      <c r="O33" s="341" t="inlineStr">
        <is>
          <t>22/11/2016</t>
        </is>
      </c>
      <c r="P33" s="341" t="inlineStr">
        <is>
          <t>22/11/2016</t>
        </is>
      </c>
      <c r="Q33" s="341" t="inlineStr">
        <is>
          <t>N/A</t>
        </is>
      </c>
      <c r="R33" s="341" t="inlineStr">
        <is>
          <t>01/03/2020</t>
        </is>
      </c>
      <c r="S33" s="341" t="inlineStr">
        <is>
          <t>2020年市场监管总局发布《绿色产品认证目录》整合后正式实施，进一步明确了认证产品范围和实施细则。</t>
        </is>
      </c>
      <c r="T33" s="341">
        <f>IF(P33="","生效",IF(P33="N/A","生效",IF(TODAY()&lt;DATE(VALUE(RIGHT(P33,4)),VALUE(MID(P33,4,2)),VALUE(LEFT(P33,2))),"计划实施",IF(Q33="","生效",IF(Q33="N/A","生效",IF(TODAY()&lt;DATE(VALUE(RIGHT(Q33,4)),VALUE(MID(Q33,4,2)),VALUE(LEFT(Q33,2))),"生效","已终止"))))))</f>
        <v/>
      </c>
      <c r="U33" s="341" t="inlineStr">
        <is>
          <t>国家市场监督管理总局（认证监督管理司）；国家认证认可监督管理委员会；国家发展和改革委员会；工业和信息化部；住房和城乡建设部等相关部门</t>
        </is>
      </c>
      <c r="V33" s="341" t="inlineStr">
        <is>
          <t>产品（绿色产品认证对象）</t>
        </is>
      </c>
      <c r="W33" s="341" t="inlineStr">
        <is>
          <t>新建；既有</t>
        </is>
      </c>
      <c r="X33"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Y33" s="341" t="inlineStr">
        <is>
          <t>N/A</t>
        </is>
      </c>
      <c r="Z33" s="341" t="inlineStr">
        <is>
          <t>N/A</t>
        </is>
      </c>
      <c r="AA33" s="341" t="inlineStr">
        <is>
          <t>企业</t>
        </is>
      </c>
      <c r="AB33"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C33" s="341" t="inlineStr">
        <is>
          <t>注册、许可及行政管理</t>
        </is>
      </c>
      <c r="AD33"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E33" s="341" t="inlineStr">
        <is>
          <t>N/A</t>
        </is>
      </c>
      <c r="AF33" s="341" t="inlineStr">
        <is>
          <t>N/A</t>
        </is>
      </c>
      <c r="AG33" s="341" t="inlineStr">
        <is>
          <t>N/A</t>
        </is>
      </c>
      <c r="AH33"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I33" s="341" t="inlineStr">
        <is>
          <t>N/A</t>
        </is>
      </c>
      <c r="AJ33" s="341" t="inlineStr">
        <is>
          <t>N/A</t>
        </is>
      </c>
      <c r="AK33"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L33"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M33" s="341" t="inlineStr">
        <is>
          <t>N/A（自愿性认证标识，不设违规制裁。对未通过监督检查或不持续符合绿色产品认证要求的产品和企业，认证机构可暂停或撤销其认证证书和标识使用权；存在弄虚作假的依法追究责任。）</t>
        </is>
      </c>
      <c r="AN33" s="341" t="inlineStr">
        <is>
          <t>N/A（本工具为自愿性认证标识工具，碳排放覆盖量取决于企业自愿申请认证的产品类别和数量，无直接可量化的固定覆盖量）</t>
        </is>
      </c>
      <c r="AO33" s="341" t="inlineStr">
        <is>
          <t>N/A（本工具为自愿性工具，碳排放覆盖占比取决于自愿采纳情况）</t>
        </is>
      </c>
      <c r="AP33" s="341" t="inlineStr">
        <is>
          <t>C10; C11; C12; C13; C14; C15; C16; C17; C18; C19; C20; C21; C22; C23; C24; C25; C26; C27; C28; C29; C30; C31; C32; C33</t>
        </is>
      </c>
      <c r="AQ33" s="341" t="inlineStr">
        <is>
          <t>CO2; CH4; N2O</t>
        </is>
      </c>
      <c r="AR33" s="341" t="inlineStr">
        <is>
          <t>正向</t>
        </is>
      </c>
      <c r="AS33" s="341" t="inlineStr">
        <is>
          <t>产业发展；污染防治；资源节约；循环经济；公众健康</t>
        </is>
      </c>
      <c r="AT33" s="341" t="inlineStr">
        <is>
          <t>国务院办公厅关于建立统一的绿色产品标准、认证、标识体系的意见（国办发〔2016〕86号）</t>
        </is>
      </c>
      <c r="AU33" s="341" t="inlineStr">
        <is>
          <t>https://www.gov.cn/zhengce/content/2016-12/07/content_5144554.htm</t>
        </is>
      </c>
      <c r="AV33" s="341" t="inlineStr">
        <is>
          <t>N/A</t>
        </is>
      </c>
      <c r="AW33" s="341" t="inlineStr"/>
    </row>
    <row r="34">
      <c r="A34" s="341" t="inlineStr">
        <is>
          <t>CHNVIIVLBI06S000</t>
        </is>
      </c>
      <c r="B34" s="341" t="inlineStr">
        <is>
          <t>工具</t>
        </is>
      </c>
      <c r="C34" s="341" t="inlineStr">
        <is>
          <t>自愿性信息工具</t>
        </is>
      </c>
      <c r="D34" s="341" t="inlineStr">
        <is>
          <t>自愿性认证标识</t>
        </is>
      </c>
      <c r="E34" s="341" t="inlineStr">
        <is>
          <t>建筑</t>
        </is>
      </c>
      <c r="F34" s="341" t="inlineStr">
        <is>
          <t>N/A</t>
        </is>
      </c>
      <c r="G34" s="341" t="inlineStr">
        <is>
          <t>近零能耗建筑标识</t>
        </is>
      </c>
      <c r="H34" s="341" t="inlineStr">
        <is>
          <t>Nearly Zero Energy Building Label</t>
        </is>
      </c>
      <c r="I34" s="341" t="inlineStr">
        <is>
          <t>N/A</t>
        </is>
      </c>
      <c r="J34"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4" s="341" t="inlineStr">
        <is>
          <t>能源效率；减缓气候变化</t>
        </is>
      </c>
      <c r="L34" s="341" t="inlineStr">
        <is>
          <t>直接</t>
        </is>
      </c>
      <c r="M34" s="341" t="inlineStr">
        <is>
          <t>国家</t>
        </is>
      </c>
      <c r="N34" s="341" t="inlineStr">
        <is>
          <t>N/A</t>
        </is>
      </c>
      <c r="O34" s="341" t="inlineStr">
        <is>
          <t>01/01/2019</t>
        </is>
      </c>
      <c r="P34" s="341" t="inlineStr">
        <is>
          <t>01/09/2019</t>
        </is>
      </c>
      <c r="Q34" s="341" t="inlineStr">
        <is>
          <t>N/A</t>
        </is>
      </c>
      <c r="R34" s="341" t="inlineStr">
        <is>
          <t>N/A</t>
        </is>
      </c>
      <c r="S34" s="341" t="inlineStr">
        <is>
          <t>N/A</t>
        </is>
      </c>
      <c r="T34" s="341">
        <f>IF(P34="","生效",IF(P34="N/A","生效",IF(TODAY()&lt;DATE(VALUE(RIGHT(P34,4)),VALUE(MID(P34,4,2)),VALUE(LEFT(P34,2))),"计划实施",IF(Q34="","生效",IF(Q34="N/A","生效",IF(TODAY()&lt;DATE(VALUE(RIGHT(Q34,4)),VALUE(MID(Q34,4,2)),VALUE(LEFT(Q34,2))),"生效","已终止"))))))</f>
        <v/>
      </c>
      <c r="U34" s="341" t="inlineStr">
        <is>
          <t>住房和城乡建设部（标准定额司）；中国建筑节能协会等经授权的测评机构</t>
        </is>
      </c>
      <c r="V34" s="341" t="inlineStr">
        <is>
          <t>建筑（近零能耗建筑评价对象）</t>
        </is>
      </c>
      <c r="W34" s="341" t="inlineStr">
        <is>
          <t>新建；既有</t>
        </is>
      </c>
      <c r="X34"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Y34" s="341" t="inlineStr">
        <is>
          <t>N/A</t>
        </is>
      </c>
      <c r="Z34" s="341" t="inlineStr">
        <is>
          <t>N/A</t>
        </is>
      </c>
      <c r="AA34" s="341" t="inlineStr">
        <is>
          <t>企业</t>
        </is>
      </c>
      <c r="AB34"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C34" s="341" t="inlineStr">
        <is>
          <t>注册、许可及行政管理</t>
        </is>
      </c>
      <c r="AD34"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E34" s="341" t="inlineStr">
        <is>
          <t>N/A</t>
        </is>
      </c>
      <c r="AF34" s="341" t="inlineStr">
        <is>
          <t>N/A</t>
        </is>
      </c>
      <c r="AG34" s="341" t="inlineStr">
        <is>
          <t>N/A</t>
        </is>
      </c>
      <c r="AH34"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I34" s="341" t="inlineStr">
        <is>
          <t>N/A</t>
        </is>
      </c>
      <c r="AJ34" s="341" t="inlineStr">
        <is>
          <t>N/A</t>
        </is>
      </c>
      <c r="AK34"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L34" s="341" t="inlineStr">
        <is>
          <t>获得标识的建筑须持续符合近零能耗建筑运营要求；测评机构对标识项目进行定期跟踪评估，发现不再符合要求的可撤销标识。鼓励项目单位对建筑实际运行能耗进行持续监测和公开。</t>
        </is>
      </c>
      <c r="AM34" s="341" t="inlineStr">
        <is>
          <t>N/A（自愿性建筑评价标识，不设违规制裁。发现申报材料弄虚作假或运营不再符合要求的，由测评机构撤销标识。）</t>
        </is>
      </c>
      <c r="AN34" s="341" t="inlineStr">
        <is>
          <t>N/A（本工具为自愿性建筑评价标识工具，碳排放覆盖量取决于建筑项目自愿申报并获得标识的近零能耗建筑总量，无直接可量化的固定覆盖量）</t>
        </is>
      </c>
      <c r="AO34" s="341" t="inlineStr">
        <is>
          <t>N/A（本工具为自愿性工具，碳排放覆盖占比取决于自愿采纳情况）</t>
        </is>
      </c>
      <c r="AP34" s="341" t="inlineStr">
        <is>
          <t>F41; F42; F43</t>
        </is>
      </c>
      <c r="AQ34" s="341" t="inlineStr">
        <is>
          <t>CO2; CH4; N2O</t>
        </is>
      </c>
      <c r="AR34" s="341" t="inlineStr">
        <is>
          <t>正向</t>
        </is>
      </c>
      <c r="AS34" s="341" t="inlineStr">
        <is>
          <t>节能；污染防治；技术创新</t>
        </is>
      </c>
      <c r="AT34" s="341" t="inlineStr">
        <is>
          <t>住房和城乡建设部关于发布国家标准《近零能耗建筑技术标准》的公告（住房和城乡建设部公告2019年第22号，GB/T 51350-2019）</t>
        </is>
      </c>
      <c r="AU34" s="341" t="inlineStr">
        <is>
          <t>https://www.mohurd.gov.cn/gongkai/zc/wjk/art/2019/art_17339_240712.html</t>
        </is>
      </c>
      <c r="AV34" s="341" t="inlineStr">
        <is>
          <t>N/A</t>
        </is>
      </c>
      <c r="AW34" s="341" t="inlineStr"/>
    </row>
    <row r="35">
      <c r="A35" s="341" t="inlineStr">
        <is>
          <t>CHNVIIVLBI07S000</t>
        </is>
      </c>
      <c r="B35" s="341" t="inlineStr">
        <is>
          <t>工具</t>
        </is>
      </c>
      <c r="C35" s="341" t="inlineStr">
        <is>
          <t>自愿性信息工具</t>
        </is>
      </c>
      <c r="D35" s="341" t="inlineStr">
        <is>
          <t>自愿性认证标识</t>
        </is>
      </c>
      <c r="E35" s="341" t="inlineStr">
        <is>
          <t>跨部门</t>
        </is>
      </c>
      <c r="F35" s="341" t="inlineStr">
        <is>
          <t>N/A</t>
        </is>
      </c>
      <c r="G35" s="341" t="inlineStr">
        <is>
          <t>产品碳足迹标识</t>
        </is>
      </c>
      <c r="H35" s="341" t="inlineStr">
        <is>
          <t>Product Carbon Footprint Label</t>
        </is>
      </c>
      <c r="I35" s="341" t="inlineStr">
        <is>
          <t>N/A</t>
        </is>
      </c>
      <c r="J35"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5" s="341" t="inlineStr">
        <is>
          <t>减缓气候变化；绿色消费</t>
        </is>
      </c>
      <c r="L35" s="341" t="inlineStr">
        <is>
          <t>直接</t>
        </is>
      </c>
      <c r="M35" s="341" t="inlineStr">
        <is>
          <t>国家</t>
        </is>
      </c>
      <c r="N35" s="341" t="inlineStr">
        <is>
          <t>N/A</t>
        </is>
      </c>
      <c r="O35" s="341" t="inlineStr">
        <is>
          <t>30/08/2024</t>
        </is>
      </c>
      <c r="P35" s="341" t="inlineStr">
        <is>
          <t>30/08/2024</t>
        </is>
      </c>
      <c r="Q35" s="341" t="inlineStr">
        <is>
          <t>N/A</t>
        </is>
      </c>
      <c r="R35" s="341" t="inlineStr">
        <is>
          <t>N/A</t>
        </is>
      </c>
      <c r="S35" s="341" t="inlineStr">
        <is>
          <t>N/A</t>
        </is>
      </c>
      <c r="T35" s="341">
        <f>IF(P35="","生效",IF(P35="N/A","生效",IF(TODAY()&lt;DATE(VALUE(RIGHT(P35,4)),VALUE(MID(P35,4,2)),VALUE(LEFT(P35,2))),"计划实施",IF(Q35="","生效",IF(Q35="N/A","生效",IF(TODAY()&lt;DATE(VALUE(RIGHT(Q35,4)),VALUE(MID(Q35,4,2)),VALUE(LEFT(Q35,2))),"生效","已终止"))))))</f>
        <v/>
      </c>
      <c r="U35" s="341" t="inlineStr">
        <is>
          <t>国家市场监督管理总局（认证监督管理司）；生态环境部；国家发展和改革委员会；工业和信息化部</t>
        </is>
      </c>
      <c r="V35" s="341" t="inlineStr">
        <is>
          <t>产品（碳足迹标识认证对象）</t>
        </is>
      </c>
      <c r="W35" s="341" t="inlineStr">
        <is>
          <t>新建；既有</t>
        </is>
      </c>
      <c r="X35"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Y35" s="341" t="inlineStr">
        <is>
          <t>N/A</t>
        </is>
      </c>
      <c r="Z35" s="341" t="inlineStr">
        <is>
          <t>N/A</t>
        </is>
      </c>
      <c r="AA35" s="341" t="inlineStr">
        <is>
          <t>企业</t>
        </is>
      </c>
      <c r="AB35"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C35" s="341" t="inlineStr">
        <is>
          <t>注册、许可及行政管理</t>
        </is>
      </c>
      <c r="AD35"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E35" s="341" t="inlineStr">
        <is>
          <t>N/A</t>
        </is>
      </c>
      <c r="AF35" s="341" t="inlineStr">
        <is>
          <t>N/A</t>
        </is>
      </c>
      <c r="AG35" s="341" t="inlineStr">
        <is>
          <t>N/A</t>
        </is>
      </c>
      <c r="AH35"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I35" s="341" t="inlineStr">
        <is>
          <t>N/A</t>
        </is>
      </c>
      <c r="AJ35" s="341" t="inlineStr">
        <is>
          <t>N/A</t>
        </is>
      </c>
      <c r="AK35"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L35"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M35" s="341" t="inlineStr">
        <is>
          <t>N/A（自愿性认证标识，不设违规制裁。对未通过监督检查、碳足迹数据存在虚假或不持续符合认证要求的产品和企业，认证机构可暂停或撤销其认证证书和标识使用权。）</t>
        </is>
      </c>
      <c r="AN35" s="341" t="inlineStr">
        <is>
          <t>N/A（本工具为自愿性认证标识工具，碳排放覆盖量取决于企业自愿申请认证的产品类别和数量，以及产品碳足迹的量值和减排幅度，无直接可量化的固定覆盖量）</t>
        </is>
      </c>
      <c r="AO35" s="341" t="inlineStr">
        <is>
          <t>N/A（本工具为自愿性工具，碳排放覆盖占比取决于自愿采纳情况）</t>
        </is>
      </c>
      <c r="AP35" s="341" t="inlineStr">
        <is>
          <t>C13; C24; C26; C27</t>
        </is>
      </c>
      <c r="AQ35" s="341" t="inlineStr">
        <is>
          <t>CO2; CH4; N2O; SF6; HFCs; PFCs</t>
        </is>
      </c>
      <c r="AR35" s="341" t="inlineStr">
        <is>
          <t>正向</t>
        </is>
      </c>
      <c r="AS35" s="341" t="inlineStr">
        <is>
          <t>技术创新；产业发展；节能</t>
        </is>
      </c>
      <c r="AT35" s="341" t="inlineStr">
        <is>
          <t>市场监管总局等部门关于开展产品碳足迹标识认证试点工作的通知（国市监认证发〔2024〕85号）</t>
        </is>
      </c>
      <c r="AU35" s="341" t="inlineStr">
        <is>
          <t>https://www.gov.cn/zhengce/zhengceku/202409/content_6973449.htm</t>
        </is>
      </c>
      <c r="AV35" s="341" t="inlineStr">
        <is>
          <t>N/A</t>
        </is>
      </c>
      <c r="AW35" s="341" t="inlineStr"/>
    </row>
    <row r="36">
      <c r="A36" s="341" t="inlineStr">
        <is>
          <t>CHNVIIVLBI08S000</t>
        </is>
      </c>
      <c r="B36" s="341" t="inlineStr">
        <is>
          <t>工具</t>
        </is>
      </c>
      <c r="C36" s="341" t="inlineStr">
        <is>
          <t>自愿性信息工具</t>
        </is>
      </c>
      <c r="D36" s="341" t="inlineStr">
        <is>
          <t>自愿性认证标识</t>
        </is>
      </c>
      <c r="E36" s="341" t="inlineStr">
        <is>
          <t>跨部门</t>
        </is>
      </c>
      <c r="F36" s="341" t="inlineStr">
        <is>
          <t>N/A</t>
        </is>
      </c>
      <c r="G36" s="341" t="inlineStr">
        <is>
          <t>绿色债券标识</t>
        </is>
      </c>
      <c r="H36" s="341" t="inlineStr">
        <is>
          <t>Green Bond Label</t>
        </is>
      </c>
      <c r="I36" s="341" t="inlineStr">
        <is>
          <t>N/A</t>
        </is>
      </c>
      <c r="J36"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6" s="341" t="inlineStr">
        <is>
          <t>绿色经济；减缓气候变化；绿色金融</t>
        </is>
      </c>
      <c r="L36" s="341" t="inlineStr">
        <is>
          <t>间接</t>
        </is>
      </c>
      <c r="M36" s="341" t="inlineStr">
        <is>
          <t>国家</t>
        </is>
      </c>
      <c r="N36" s="341" t="inlineStr">
        <is>
          <t>N/A</t>
        </is>
      </c>
      <c r="O36" s="341" t="inlineStr">
        <is>
          <t>26/10/2017</t>
        </is>
      </c>
      <c r="P36" s="341" t="inlineStr">
        <is>
          <t>28/12/2017</t>
        </is>
      </c>
      <c r="Q36" s="341" t="inlineStr">
        <is>
          <t>N/A</t>
        </is>
      </c>
      <c r="R36" s="341" t="inlineStr">
        <is>
          <t>01/10/2025</t>
        </is>
      </c>
      <c r="S36"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T36" s="341">
        <f>IF(P36="","生效",IF(P36="N/A","生效",IF(TODAY()&lt;DATE(VALUE(RIGHT(P36,4)),VALUE(MID(P36,4,2)),VALUE(LEFT(P36,2))),"计划实施",IF(Q36="","生效",IF(Q36="N/A","生效",IF(TODAY()&lt;DATE(VALUE(RIGHT(Q36,4)),VALUE(MID(Q36,4,2)),VALUE(LEFT(Q36,2))),"生效","已终止"))))))</f>
        <v/>
      </c>
      <c r="U36" s="341" t="inlineStr">
        <is>
          <t>中国人民银行（金融市场司）；中国证券监督管理委员会（公司债券监管部）；国家发展改革委（财政金融和信用建设司）</t>
        </is>
      </c>
      <c r="V36" s="341" t="inlineStr">
        <is>
          <t>绿色债券（认证标识对象）</t>
        </is>
      </c>
      <c r="W36" s="341" t="inlineStr">
        <is>
          <t>新建；既有</t>
        </is>
      </c>
      <c r="X36"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Y36" s="341" t="inlineStr">
        <is>
          <t>N/A</t>
        </is>
      </c>
      <c r="Z36" s="341" t="inlineStr">
        <is>
          <t>N/A</t>
        </is>
      </c>
      <c r="AA36" s="341" t="inlineStr">
        <is>
          <t>企业</t>
        </is>
      </c>
      <c r="AB36"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C36" s="341" t="inlineStr">
        <is>
          <t>注册、许可及行政管理</t>
        </is>
      </c>
      <c r="AD36"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E36" s="341" t="inlineStr">
        <is>
          <t>N/A</t>
        </is>
      </c>
      <c r="AF36" s="341" t="inlineStr">
        <is>
          <t>N/A</t>
        </is>
      </c>
      <c r="AG36" s="341" t="inlineStr">
        <is>
          <t>N/A</t>
        </is>
      </c>
      <c r="AH36"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I36" s="341" t="inlineStr">
        <is>
          <t>N/A</t>
        </is>
      </c>
      <c r="AJ36" s="341" t="inlineStr">
        <is>
          <t>N/A</t>
        </is>
      </c>
      <c r="AK36"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L36"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M36"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N36" s="341" t="inlineStr">
        <is>
          <t>N/A（本工具为自愿性债券标识工具，碳排放覆盖量取决于发行主体自愿申请标识的绿色债券规模和所支持绿色项目的减排效果，无直接可量化的固定覆盖量）</t>
        </is>
      </c>
      <c r="AO36" s="341" t="inlineStr">
        <is>
          <t>N/A（本工具为自愿性工具，碳排放覆盖占比取决于自愿采纳情况）</t>
        </is>
      </c>
      <c r="AP36" s="341" t="inlineStr">
        <is>
          <t>K64</t>
        </is>
      </c>
      <c r="AQ36" s="341" t="inlineStr">
        <is>
          <t>CO2; CH4; N2O</t>
        </is>
      </c>
      <c r="AR36" s="341" t="inlineStr">
        <is>
          <t>正向</t>
        </is>
      </c>
      <c r="AS36" s="341" t="inlineStr">
        <is>
          <t>产业发展；技术创新；节能；污染防治</t>
        </is>
      </c>
      <c r="AT36" s="341" t="inlineStr">
        <is>
          <t>《中国人民银行 中国证券监督管理委员会公告（〔2017〕第20号）——绿色债券评估认证行为指引（暂行）》</t>
        </is>
      </c>
      <c r="AU36" s="341" t="inlineStr">
        <is>
          <t>https://www.gov.cn/gongbao/content/2018/content_5271800.htm</t>
        </is>
      </c>
      <c r="AV36" s="341" t="inlineStr">
        <is>
          <t>https://www.gov.cn/zhengce/zhengceku/2021-04/22/content_5601284.htm;https://www.nafmii.org.cn/xhdt/202207/t20220729_255959.html;https://www.gov.cn/zhengce/zhengceku/202507/content_7032004.htm</t>
        </is>
      </c>
      <c r="AW36" s="341" t="inlineStr"/>
    </row>
    <row r="37">
      <c r="A37" s="341" t="inlineStr">
        <is>
          <t>CHNVIIVLBI09S000</t>
        </is>
      </c>
      <c r="B37" s="341" t="inlineStr">
        <is>
          <t>工具</t>
        </is>
      </c>
      <c r="C37" s="341" t="inlineStr">
        <is>
          <t>自愿性信息工具</t>
        </is>
      </c>
      <c r="D37" s="341" t="inlineStr">
        <is>
          <t>自愿性认证标识</t>
        </is>
      </c>
      <c r="E37" s="341" t="inlineStr">
        <is>
          <t>跨部门</t>
        </is>
      </c>
      <c r="F37" s="341" t="inlineStr">
        <is>
          <t>N/A</t>
        </is>
      </c>
      <c r="G37" s="341" t="inlineStr">
        <is>
          <t>可持续发展挂钩债券标识</t>
        </is>
      </c>
      <c r="H37" s="341" t="inlineStr">
        <is>
          <t>Sustainability-Linked Bond Label</t>
        </is>
      </c>
      <c r="I37" s="341" t="inlineStr">
        <is>
          <t>N/A</t>
        </is>
      </c>
      <c r="J37"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7" s="341" t="inlineStr">
        <is>
          <t>绿色经济；减缓气候变化；绿色金融</t>
        </is>
      </c>
      <c r="L37" s="341" t="inlineStr">
        <is>
          <t>间接</t>
        </is>
      </c>
      <c r="M37" s="341" t="inlineStr">
        <is>
          <t>国家</t>
        </is>
      </c>
      <c r="N37" s="341" t="inlineStr">
        <is>
          <t>N/A</t>
        </is>
      </c>
      <c r="O37" s="341" t="inlineStr">
        <is>
          <t>28/04/2021</t>
        </is>
      </c>
      <c r="P37" s="341" t="inlineStr">
        <is>
          <t>28/04/2021</t>
        </is>
      </c>
      <c r="Q37" s="341" t="inlineStr">
        <is>
          <t>N/A</t>
        </is>
      </c>
      <c r="R37" s="341" t="inlineStr">
        <is>
          <t>10/10/2024</t>
        </is>
      </c>
      <c r="S37"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T37" s="341">
        <f>IF(P37="","生效",IF(P37="N/A","生效",IF(TODAY()&lt;DATE(VALUE(RIGHT(P37,4)),VALUE(MID(P37,4,2)),VALUE(LEFT(P37,2))),"计划实施",IF(Q37="","生效",IF(Q37="N/A","生效",IF(TODAY()&lt;DATE(VALUE(RIGHT(Q37,4)),VALUE(MID(Q37,4,2)),VALUE(LEFT(Q37,2))),"生效","已终止"))))))</f>
        <v/>
      </c>
      <c r="U37" s="341" t="inlineStr">
        <is>
          <t>中国银行间市场交易商协会（NAFMII）</t>
        </is>
      </c>
      <c r="V37" s="341" t="inlineStr">
        <is>
          <t>可持续发展挂钩债券（标识对象）</t>
        </is>
      </c>
      <c r="W37" s="341" t="inlineStr">
        <is>
          <t>新建；既有</t>
        </is>
      </c>
      <c r="X37"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Y37" s="341" t="inlineStr">
        <is>
          <t>N/A</t>
        </is>
      </c>
      <c r="Z37" s="341" t="inlineStr">
        <is>
          <t>N/A</t>
        </is>
      </c>
      <c r="AA37" s="341" t="inlineStr">
        <is>
          <t>企业</t>
        </is>
      </c>
      <c r="AB37"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C37" s="341" t="inlineStr">
        <is>
          <t>注册、许可及行政管理</t>
        </is>
      </c>
      <c r="AD37"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E37" s="341" t="inlineStr">
        <is>
          <t>N/A</t>
        </is>
      </c>
      <c r="AF37" s="341" t="inlineStr">
        <is>
          <t>N/A</t>
        </is>
      </c>
      <c r="AG37" s="341" t="inlineStr">
        <is>
          <t>N/A</t>
        </is>
      </c>
      <c r="AH37"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I37" s="341" t="inlineStr">
        <is>
          <t>N/A</t>
        </is>
      </c>
      <c r="AJ37" s="341" t="inlineStr">
        <is>
          <t>N/A</t>
        </is>
      </c>
      <c r="AK37"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L37"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M37"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N37" s="341" t="inlineStr">
        <is>
          <t>N/A（本工具为自愿性债券标识工具，碳排放覆盖量取决于发行主体自愿申请标识的SLB规模和所挂钩可持续发展目标中气候相关指标的覆盖面，无直接可量化的固定覆盖量）</t>
        </is>
      </c>
      <c r="AO37" s="341" t="inlineStr">
        <is>
          <t>N/A（本工具为自愿性工具，碳排放覆盖占比取决于自愿采纳情况）</t>
        </is>
      </c>
      <c r="AP37" s="341" t="inlineStr">
        <is>
          <t>K64</t>
        </is>
      </c>
      <c r="AQ37" s="341" t="inlineStr">
        <is>
          <t>CO2; CH4; N2O</t>
        </is>
      </c>
      <c r="AR37" s="341" t="inlineStr">
        <is>
          <t>正向</t>
        </is>
      </c>
      <c r="AS37" s="341" t="inlineStr">
        <is>
          <t>产业发展；技术创新；节能；污染防治</t>
        </is>
      </c>
      <c r="AT37" s="341" t="inlineStr">
        <is>
          <t>中国银行间市场交易商协会《可持续发展挂钩债券（SLB）十问十答》（2021年4月28日发布）</t>
        </is>
      </c>
      <c r="AU37" s="341" t="inlineStr">
        <is>
          <t>https://www.nafmii.org.cn/xhdt/202104/t20210428_197371.html</t>
        </is>
      </c>
      <c r="AV37" s="341" t="inlineStr">
        <is>
          <t>N/A</t>
        </is>
      </c>
      <c r="AW37" s="341" t="inlineStr"/>
    </row>
    <row r="38">
      <c r="A38" s="341" t="inlineStr">
        <is>
          <t>CHNVIIVLBI10S000</t>
        </is>
      </c>
      <c r="B38" s="341" t="inlineStr">
        <is>
          <t>工具</t>
        </is>
      </c>
      <c r="C38" s="341" t="inlineStr">
        <is>
          <t>自愿性信息工具</t>
        </is>
      </c>
      <c r="D38" s="341" t="inlineStr">
        <is>
          <t>自愿性认证标识</t>
        </is>
      </c>
      <c r="E38" s="341" t="inlineStr">
        <is>
          <t>工业</t>
        </is>
      </c>
      <c r="F38" s="341" t="inlineStr">
        <is>
          <t>N/A</t>
        </is>
      </c>
      <c r="G38" s="341" t="inlineStr">
        <is>
          <t>零碳园区标识</t>
        </is>
      </c>
      <c r="H38" s="341" t="inlineStr">
        <is>
          <t>Zero-Carbon Industrial Park Label</t>
        </is>
      </c>
      <c r="I38" s="341" t="inlineStr">
        <is>
          <t>N/A</t>
        </is>
      </c>
      <c r="J38"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8" s="341" t="inlineStr">
        <is>
          <t>减缓气候变化；产业发展</t>
        </is>
      </c>
      <c r="L38" s="341" t="inlineStr">
        <is>
          <t>直接</t>
        </is>
      </c>
      <c r="M38" s="341" t="inlineStr">
        <is>
          <t>国家</t>
        </is>
      </c>
      <c r="N38" s="341" t="inlineStr">
        <is>
          <t>N/A</t>
        </is>
      </c>
      <c r="O38" s="341" t="inlineStr">
        <is>
          <t>30/06/2025</t>
        </is>
      </c>
      <c r="P38" s="341" t="inlineStr">
        <is>
          <t>08/07/2025</t>
        </is>
      </c>
      <c r="Q38" s="341" t="inlineStr">
        <is>
          <t>N/A</t>
        </is>
      </c>
      <c r="R38" s="341" t="inlineStr">
        <is>
          <t>N/A</t>
        </is>
      </c>
      <c r="S38" s="341" t="inlineStr">
        <is>
          <t>N/A</t>
        </is>
      </c>
      <c r="T38" s="341">
        <f>IF(P38="","生效",IF(P38="N/A","生效",IF(TODAY()&lt;DATE(VALUE(RIGHT(P38,4)),VALUE(MID(P38,4,2)),VALUE(LEFT(P38,2))),"计划实施",IF(Q38="","生效",IF(Q38="N/A","生效",IF(TODAY()&lt;DATE(VALUE(RIGHT(Q38,4)),VALUE(MID(Q38,4,2)),VALUE(LEFT(Q38,2))),"生效","已终止"))))))</f>
        <v/>
      </c>
      <c r="U38" s="341" t="inlineStr">
        <is>
          <t>国家发展和改革委员会（资源节约和环境保护司，牵头）；工业和信息化部（节能与综合利用司）；国家能源局（新能源和可再生能源司）</t>
        </is>
      </c>
      <c r="V38" s="341" t="inlineStr">
        <is>
          <t>工业园区（零碳园区认定评价对象）</t>
        </is>
      </c>
      <c r="W38" s="341" t="inlineStr">
        <is>
          <t>新建；既有</t>
        </is>
      </c>
      <c r="X38"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Y38" s="341" t="inlineStr">
        <is>
          <t>N/A</t>
        </is>
      </c>
      <c r="Z38" s="341" t="inlineStr">
        <is>
          <t>N/A</t>
        </is>
      </c>
      <c r="AA38" s="341" t="inlineStr">
        <is>
          <t>企业</t>
        </is>
      </c>
      <c r="AB38"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C38" s="341" t="inlineStr">
        <is>
          <t>注册、许可及行政管理</t>
        </is>
      </c>
      <c r="AD38"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E38" s="341" t="inlineStr">
        <is>
          <t>N/A</t>
        </is>
      </c>
      <c r="AF38" s="341" t="inlineStr">
        <is>
          <t>N/A</t>
        </is>
      </c>
      <c r="AG38" s="341" t="inlineStr">
        <is>
          <t>N/A</t>
        </is>
      </c>
      <c r="AH38"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I38" s="341" t="inlineStr">
        <is>
          <t>N/A</t>
        </is>
      </c>
      <c r="AJ38" s="341" t="inlineStr">
        <is>
          <t>N/A</t>
        </is>
      </c>
      <c r="AK38"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L38"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M38" s="341" t="inlineStr">
        <is>
          <t>N/A（自愿性评价认定标识，不设违规制裁。建设期满评估验收未通过的园区，可在整改后再次申请验收。存在弄虚作假或不再符合零碳园区条件的，撤销其国家级零碳园区认定。）</t>
        </is>
      </c>
      <c r="AN38" s="341" t="inlineStr">
        <is>
          <t>N/A（本工具为自愿性园区评价认定标识工具，碳排放覆盖量取决于园区自愿申报和通过认定的规模与数量，无直接可量化的固定覆盖量）</t>
        </is>
      </c>
      <c r="AO38" s="341" t="inlineStr">
        <is>
          <t>N/A（本工具为自愿性工具，碳排放覆盖占比取决于自愿采纳情况）</t>
        </is>
      </c>
      <c r="AP38" s="341" t="inlineStr">
        <is>
          <t>C10; C11; C12; C13; C14; C15; C16; C17; C18; C19; C20; C21; C22; C23; C24; C25; C26; C27; C28; C29; C30; C31; C32; C33</t>
        </is>
      </c>
      <c r="AQ38" s="341" t="inlineStr">
        <is>
          <t>CO2</t>
        </is>
      </c>
      <c r="AR38" s="341" t="inlineStr">
        <is>
          <t>正向</t>
        </is>
      </c>
      <c r="AS38" s="341" t="inlineStr">
        <is>
          <t>产业发展；技术创新；节能；污染防治；可再生能源发展</t>
        </is>
      </c>
      <c r="AT38" s="341" t="inlineStr">
        <is>
          <t>国家发展改革委 工业和信息化部 国家能源局《关于开展零碳园区建设的通知》（发改环资〔2025〕910号）</t>
        </is>
      </c>
      <c r="AU38" s="341" t="inlineStr">
        <is>
          <t>https://www.ndrc.gov.cn/xxgk/zcfb/tz/202507/t20250708_1399055_ext.html</t>
        </is>
      </c>
      <c r="AV38" s="341" t="inlineStr">
        <is>
          <t>https://www.gov.cn/zhengce/zhengceku/202507/content_7031090.htm</t>
        </is>
      </c>
      <c r="AW38" s="341" t="inlineStr"/>
    </row>
    <row r="39">
      <c r="A39" s="341" t="inlineStr">
        <is>
          <t>CHNVTGVTGI01S000</t>
        </is>
      </c>
      <c r="B39" s="341" t="inlineStr">
        <is>
          <t>工具</t>
        </is>
      </c>
      <c r="C39" s="341" t="inlineStr">
        <is>
          <t>自愿性目标</t>
        </is>
      </c>
      <c r="D39" s="341" t="inlineStr">
        <is>
          <t>自愿性目标</t>
        </is>
      </c>
      <c r="E39" s="341" t="inlineStr">
        <is>
          <t>工业</t>
        </is>
      </c>
      <c r="F39" s="341" t="inlineStr">
        <is>
          <t>家电</t>
        </is>
      </c>
      <c r="G39" s="341" t="inlineStr">
        <is>
          <t>家电生产企业回收目标责任制</t>
        </is>
      </c>
      <c r="H39" s="341" t="inlineStr">
        <is>
          <t>Home Appliance Manufacturer Recycling Target Responsibility System</t>
        </is>
      </c>
      <c r="I39" s="341" t="inlineStr">
        <is>
          <t>N/A</t>
        </is>
      </c>
      <c r="J39"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9" s="341" t="inlineStr">
        <is>
          <t>循环经济</t>
        </is>
      </c>
      <c r="L39" s="341" t="inlineStr">
        <is>
          <t>间接</t>
        </is>
      </c>
      <c r="M39" s="341" t="inlineStr">
        <is>
          <t>国家</t>
        </is>
      </c>
      <c r="N39" s="341" t="inlineStr">
        <is>
          <t>N/A</t>
        </is>
      </c>
      <c r="O39" s="341" t="inlineStr">
        <is>
          <t>27/07/2021</t>
        </is>
      </c>
      <c r="P39" s="341" t="inlineStr">
        <is>
          <t>04/08/2021</t>
        </is>
      </c>
      <c r="Q39" s="341" t="inlineStr">
        <is>
          <t>N/A</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国家发展和改革委员会（产业发展司，牵头）；工业和信息化部（节能与综合利用司）；生态环境部（固体废物与化学品司）</t>
        </is>
      </c>
      <c r="V39" s="341" t="inlineStr">
        <is>
          <t>废旧家电（电视机、电冰箱、洗衣机、空调器）</t>
        </is>
      </c>
      <c r="W39" s="341" t="inlineStr">
        <is>
          <t>既有</t>
        </is>
      </c>
      <c r="X39"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Y39" s="341" t="inlineStr">
        <is>
          <t>N/A</t>
        </is>
      </c>
      <c r="Z39" s="341" t="inlineStr">
        <is>
          <t>N/A</t>
        </is>
      </c>
      <c r="AA39" s="341" t="inlineStr">
        <is>
          <t>企业</t>
        </is>
      </c>
      <c r="AB39" s="341" t="inlineStr">
        <is>
          <t>家电生产企业（按总公司计算）。企业可自愿申报参与回收目标责任制行动，自主确定年度回收量和回收率目标并向社会公开。参与为自愿性质，不设强制性合规义务和处罚。</t>
        </is>
      </c>
      <c r="AC39" s="341" t="inlineStr">
        <is>
          <t>收集或分类（消费后）</t>
        </is>
      </c>
      <c r="AD39"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E39" s="341" t="inlineStr">
        <is>
          <t>N/A</t>
        </is>
      </c>
      <c r="AF39" s="341" t="inlineStr">
        <is>
          <t>N/A</t>
        </is>
      </c>
      <c r="AG39" s="341" t="inlineStr">
        <is>
          <t>N/A</t>
        </is>
      </c>
      <c r="AH39"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I39" s="341" t="inlineStr">
        <is>
          <t>N/A</t>
        </is>
      </c>
      <c r="AJ39" s="341" t="inlineStr">
        <is>
          <t>N/A</t>
        </is>
      </c>
      <c r="AK39" s="341" t="inlineStr">
        <is>
          <t>完成回收目标的企业纳入「绿色责任名单」，在绿色债券、绿色信贷审批、政府专项基金等方面给予优先支持；示范标杆企业的经验和模式在全国推广。</t>
        </is>
      </c>
      <c r="AL39" s="341" t="inlineStr">
        <is>
          <t>责任企业须进行年度自我评价并将结果向社会公开发布。国家发展改革委、工业和信息化部、生态环境部按年度对责任企业的回收目标完成情况进行跟踪评估，评估结果向社会公布。</t>
        </is>
      </c>
      <c r="AM39" s="341" t="inlineStr">
        <is>
          <t>N/A（自愿性目标责任，不设违规制裁。企业自愿参与，无强制合规义务和处罚。）</t>
        </is>
      </c>
      <c r="AN39" s="341" t="inlineStr">
        <is>
          <t>N/A（本工具为自愿性目标责任框架，碳排放覆盖量取决于企业自愿参与和回收处理的规模和程度，无直接可量化的固定覆盖量）</t>
        </is>
      </c>
      <c r="AO39" s="341" t="inlineStr">
        <is>
          <t>N/A（本工具为自愿性工具，碳排放覆盖占比取决于自愿参与情况）</t>
        </is>
      </c>
      <c r="AP39" s="341" t="inlineStr">
        <is>
          <t>C27</t>
        </is>
      </c>
      <c r="AQ39" s="341" t="inlineStr">
        <is>
          <t>CO2; HFCs</t>
        </is>
      </c>
      <c r="AR39" s="341" t="inlineStr">
        <is>
          <t>正向</t>
        </is>
      </c>
      <c r="AS39" s="341" t="inlineStr">
        <is>
          <t>循环经济；资源节约；污染防治</t>
        </is>
      </c>
      <c r="AT39" s="341" t="inlineStr">
        <is>
          <t>国家发展改革委 工业和信息化部 生态环境部关于鼓励家电生产企业开展回收目标责任制行动的通知（发改产业〔2021〕1102号）</t>
        </is>
      </c>
      <c r="AU39" s="341" t="inlineStr">
        <is>
          <t>https://www.miit.gov.cn/jgsj/jns/wjfb/art/2021/art_5df08ed7493e4a40af80f0124fc2e7b7.html</t>
        </is>
      </c>
      <c r="AV39" s="341" t="inlineStr">
        <is>
          <t>N/A</t>
        </is>
      </c>
      <c r="AW39" s="341" t="inlineStr"/>
    </row>
    <row r="40">
      <c r="A40" s="341" t="inlineStr">
        <is>
          <t>CHNVTGVTGI02S000</t>
        </is>
      </c>
      <c r="B40" s="341" t="inlineStr">
        <is>
          <t>工具</t>
        </is>
      </c>
      <c r="C40" s="341" t="inlineStr">
        <is>
          <t>自愿性目标</t>
        </is>
      </c>
      <c r="D40" s="341" t="inlineStr">
        <is>
          <t>自愿性目标</t>
        </is>
      </c>
      <c r="E40" s="341" t="inlineStr">
        <is>
          <t>能源</t>
        </is>
      </c>
      <c r="F40" s="341" t="inlineStr">
        <is>
          <t>风电；太阳能</t>
        </is>
      </c>
      <c r="G40" s="341" t="inlineStr">
        <is>
          <t>可再生能源发电企业自建或购买调峰能力增加并网规模</t>
        </is>
      </c>
      <c r="H40" s="341" t="inlineStr">
        <is>
          <t>Self-Built or Purchased Peak-Shaving Capacity by Renewable Energy Power Generation Enterprises to Increase Grid-Connected Scale</t>
        </is>
      </c>
      <c r="I40" s="341" t="inlineStr">
        <is>
          <t>N/A</t>
        </is>
      </c>
      <c r="J40"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40" s="341" t="inlineStr">
        <is>
          <t>非化石能源；能源安全</t>
        </is>
      </c>
      <c r="L40" s="341" t="inlineStr">
        <is>
          <t>直接</t>
        </is>
      </c>
      <c r="M40" s="341" t="inlineStr">
        <is>
          <t>国家</t>
        </is>
      </c>
      <c r="N40" s="341" t="inlineStr">
        <is>
          <t>N/A</t>
        </is>
      </c>
      <c r="O40" s="341" t="inlineStr">
        <is>
          <t>29/07/2021</t>
        </is>
      </c>
      <c r="P40" s="341" t="inlineStr">
        <is>
          <t>10/08/2021</t>
        </is>
      </c>
      <c r="Q40" s="341" t="inlineStr">
        <is>
          <t>N/A</t>
        </is>
      </c>
      <c r="R40" s="341" t="inlineStr">
        <is>
          <t>N/A</t>
        </is>
      </c>
      <c r="S40" s="341" t="inlineStr">
        <is>
          <t>N/A</t>
        </is>
      </c>
      <c r="T40" s="341">
        <f>IF(P40="","生效",IF(P40="N/A","生效",IF(TODAY()&lt;DATE(VALUE(RIGHT(P40,4)),VALUE(MID(P40,4,2)),VALUE(LEFT(P40,2))),"计划实施",IF(Q40="","生效",IF(Q40="N/A","生效",IF(TODAY()&lt;DATE(VALUE(RIGHT(Q40,4)),VALUE(MID(Q40,4,2)),VALUE(LEFT(Q40,2))),"生效","已终止"))))))</f>
        <v/>
      </c>
      <c r="U40" s="341" t="inlineStr">
        <is>
          <t>国家发展和改革委员会（经济运行调节局）；国家能源局（新能源和可再生能源司）</t>
        </is>
      </c>
      <c r="V40" s="341" t="inlineStr">
        <is>
          <t>调峰资源（抽水蓄能、电化学储能等新型储能、气电、光热电站、灵活性改造煤电）</t>
        </is>
      </c>
      <c r="W40" s="341" t="inlineStr">
        <is>
          <t>新建</t>
        </is>
      </c>
      <c r="X40"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Y40" s="341" t="inlineStr">
        <is>
          <t>N/A</t>
        </is>
      </c>
      <c r="Z40" s="341" t="inlineStr">
        <is>
          <t>N/A</t>
        </is>
      </c>
      <c r="AA40" s="341" t="inlineStr">
        <is>
          <t>企业</t>
        </is>
      </c>
      <c r="AB40"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C40" s="341" t="inlineStr">
        <is>
          <t>电力生产、输送和分配</t>
        </is>
      </c>
      <c r="AD40"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E40" s="341" t="inlineStr">
        <is>
          <t>N/A</t>
        </is>
      </c>
      <c r="AF40" s="341" t="inlineStr">
        <is>
          <t>N/A</t>
        </is>
      </c>
      <c r="AG40" s="341" t="inlineStr">
        <is>
          <t>N/A</t>
        </is>
      </c>
      <c r="AH40"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I40" s="341" t="inlineStr">
        <is>
          <t>N/A</t>
        </is>
      </c>
      <c r="AJ40" s="341" t="inlineStr">
        <is>
          <t>N/A</t>
        </is>
      </c>
      <c r="AK40" s="341" t="inlineStr">
        <is>
          <t>按20%以上挂钩比例配建调峰能力的企业获得优先并网安排；未用完的调峰资源可在省内市场化交易给其他发电企业，增加额外收益。</t>
        </is>
      </c>
      <c r="AL40"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M40" s="341" t="inlineStr">
        <is>
          <t>虚假承诺或未按承诺履行的企业，按未完成容量的2倍扣除调峰能力，责令限期整改；未按期整改到位的，取消下年度自行承担可再生能源消纳责任资格。</t>
        </is>
      </c>
      <c r="AN40" s="341" t="inlineStr">
        <is>
          <t>N/A（本工具为自愿性目标机制，通过增加可再生能源并网规模间接促进减排，碳排放覆盖量取决于企业自愿参与和新增调峰能力的实际规模，无直接可量化的固定覆盖量）</t>
        </is>
      </c>
      <c r="AO40" s="341" t="inlineStr">
        <is>
          <t>N/A（本工具为自愿性工具，碳排放覆盖占比取决于自愿参与情况）</t>
        </is>
      </c>
      <c r="AP40" s="341" t="inlineStr">
        <is>
          <t>D35</t>
        </is>
      </c>
      <c r="AQ40" s="341" t="inlineStr">
        <is>
          <t>CO2</t>
        </is>
      </c>
      <c r="AR40" s="341" t="inlineStr">
        <is>
          <t>正向</t>
        </is>
      </c>
      <c r="AS40" s="341" t="inlineStr">
        <is>
          <t>可再生能源发展；技术创新</t>
        </is>
      </c>
      <c r="AT40" s="341" t="inlineStr">
        <is>
          <t>国家发展改革委 国家能源局关于鼓励可再生能源发电企业自建或购买调峰能力增加并网规模的通知（发改运行〔2021〕1138号）</t>
        </is>
      </c>
      <c r="AU40" s="341" t="inlineStr">
        <is>
          <t>https://www.ndrc.gov.cn/xwdt/tzgg/202108/t20210810_1293397_ext.html</t>
        </is>
      </c>
      <c r="AV40" s="341" t="inlineStr">
        <is>
          <t>N/A</t>
        </is>
      </c>
      <c r="AW40" s="341" t="inlineStr"/>
    </row>
    <row r="41">
      <c r="A41" s="341" t="inlineStr">
        <is>
          <t>CHNVIIVLBI11S000</t>
        </is>
      </c>
      <c r="B41" s="341" t="inlineStr">
        <is>
          <t>工具</t>
        </is>
      </c>
      <c r="C41" s="341" t="inlineStr">
        <is>
          <t>自愿性信息工具</t>
        </is>
      </c>
      <c r="D41" s="341" t="inlineStr">
        <is>
          <t>自愿性认证标识</t>
        </is>
      </c>
      <c r="E41" s="341" t="inlineStr">
        <is>
          <t>工业</t>
        </is>
      </c>
      <c r="F41" s="341" t="inlineStr">
        <is>
          <t>N/A</t>
        </is>
      </c>
      <c r="G41" s="341" t="inlineStr">
        <is>
          <t>零碳工厂标识</t>
        </is>
      </c>
      <c r="H41" s="341" t="inlineStr">
        <is>
          <t>Zero-Carbon Factory Label</t>
        </is>
      </c>
      <c r="I41" s="341" t="inlineStr">
        <is>
          <t>N/A</t>
        </is>
      </c>
      <c r="J41"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1" s="341" t="inlineStr">
        <is>
          <t>减缓气候变化；产业发展</t>
        </is>
      </c>
      <c r="L41" s="341" t="inlineStr">
        <is>
          <t>直接</t>
        </is>
      </c>
      <c r="M41" s="341" t="inlineStr">
        <is>
          <t>国家</t>
        </is>
      </c>
      <c r="N41" s="341" t="inlineStr">
        <is>
          <t>N/A</t>
        </is>
      </c>
      <c r="O41" s="341" t="inlineStr">
        <is>
          <t>13/07/2026</t>
        </is>
      </c>
      <c r="P41" s="341" t="inlineStr">
        <is>
          <t>22/07/2026</t>
        </is>
      </c>
      <c r="Q41" s="341" t="inlineStr">
        <is>
          <t>N/A</t>
        </is>
      </c>
      <c r="R41" s="341" t="inlineStr">
        <is>
          <t>N/A</t>
        </is>
      </c>
      <c r="S41" s="341" t="inlineStr">
        <is>
          <t>N/A</t>
        </is>
      </c>
      <c r="T41" s="341">
        <f>IF(P41="","生效",IF(P41="N/A","生效",IF(TODAY()&lt;DATE(VALUE(RIGHT(P41,4)),VALUE(MID(P41,4,2)),VALUE(LEFT(P41,2))),"计划实施",IF(Q41="","生效",IF(Q41="N/A","生效",IF(TODAY()&lt;DATE(VALUE(RIGHT(Q41,4)),VALUE(MID(Q41,4,2)),VALUE(LEFT(Q41,2))),"生效","已终止"))))))</f>
        <v/>
      </c>
      <c r="U41" s="341" t="inlineStr">
        <is>
          <t>工业和信息化部（节能与综合利用司，牵头）；各省级工业和信息化主管部门（审核推荐与跟踪管理）</t>
        </is>
      </c>
      <c r="V41" s="341" t="inlineStr">
        <is>
          <t>制造型企业；算力设施（国家级零碳工厂认定评价对象）</t>
        </is>
      </c>
      <c r="W41" s="341" t="inlineStr">
        <is>
          <t>既有</t>
        </is>
      </c>
      <c r="X41"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Y41" s="341" t="inlineStr">
        <is>
          <t>N/A</t>
        </is>
      </c>
      <c r="Z41" s="341" t="inlineStr">
        <is>
          <t>年综合能源消费量≥1000吨标准煤（制造型企业）；规模≥3000个标准机架（算力设施，智算中心除外）</t>
        </is>
      </c>
      <c r="AA41" s="341" t="inlineStr">
        <is>
          <t>企业</t>
        </is>
      </c>
      <c r="AB41"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C41" s="341" t="inlineStr">
        <is>
          <t>注册、许可及行政管理</t>
        </is>
      </c>
      <c r="AD41"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E41" s="341" t="inlineStr">
        <is>
          <t>N/A</t>
        </is>
      </c>
      <c r="AF41" s="341" t="inlineStr">
        <is>
          <t>N/A</t>
        </is>
      </c>
      <c r="AG41" s="341" t="inlineStr">
        <is>
          <t>N/A</t>
        </is>
      </c>
      <c r="AH41"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I41" s="341" t="inlineStr">
        <is>
          <t>N/A</t>
        </is>
      </c>
      <c r="AJ41" s="341" t="inlineStr">
        <is>
          <t>N/A</t>
        </is>
      </c>
      <c r="AK41"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L41"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M41" s="341" t="inlineStr">
        <is>
          <t>N/A（自愿性评价认定标识，不设违规制裁。建设期满仍未通过验收的，按程序调出国家级零碳工厂建设名单。）</t>
        </is>
      </c>
      <c r="AN41" s="341" t="inlineStr">
        <is>
          <t>N/A（自愿性标识工具，覆盖量取决于自愿申报与通过认定的规模与数量，无固定可量化覆盖量）</t>
        </is>
      </c>
      <c r="AO41" s="341" t="inlineStr">
        <is>
          <t>N/A</t>
        </is>
      </c>
      <c r="AP41" s="341" t="inlineStr">
        <is>
          <t>C10; C11; C12; C13; C14; C15; C16; C17; C18; C19; C20; C21; C22; C23; C24; C25; C26; C27; C28; C29; C30; C31; C32; C33; J63</t>
        </is>
      </c>
      <c r="AQ41" s="341" t="inlineStr">
        <is>
          <t>CO2</t>
        </is>
      </c>
      <c r="AR41" s="341" t="inlineStr">
        <is>
          <t>正向</t>
        </is>
      </c>
      <c r="AS41" s="341" t="inlineStr">
        <is>
          <t>技术创新；产业发展；节能；可再生能源发展</t>
        </is>
      </c>
      <c r="AT41" s="341" t="inlineStr">
        <is>
          <t>工业和信息化部办公厅关于组织开展国家级零碳工厂建设工作的通知（工信厅节函〔2026〕334号）；关于开展零碳工厂建设工作的指导意见（工信部联节〔2026〕13号）</t>
        </is>
      </c>
      <c r="AU41" s="341" t="inlineStr">
        <is>
          <t>https://www.miit.gov.cn/jgsj/jns/nyjy/art/2026/art_93fe83f24eb843789a636f6c5f9e79c6.html</t>
        </is>
      </c>
      <c r="AV41" s="341" t="inlineStr">
        <is>
          <t>N/A</t>
        </is>
      </c>
      <c r="AW41" s="341" t="inlineStr"/>
    </row>
    <row r="42">
      <c r="A42" s="430" t="inlineStr">
        <is>
          <t>CHNVIIVLBI11S001</t>
        </is>
      </c>
      <c r="B42" s="430" t="inlineStr">
        <is>
          <t>子方案</t>
        </is>
      </c>
      <c r="C42" s="430" t="inlineStr">
        <is>
          <t>自愿性信息工具</t>
        </is>
      </c>
      <c r="D42" s="430" t="inlineStr">
        <is>
          <t>自愿性认证标识</t>
        </is>
      </c>
      <c r="E42" s="430" t="inlineStr">
        <is>
          <t>工业</t>
        </is>
      </c>
      <c r="F42" s="430" t="inlineStr">
        <is>
          <t>N/A</t>
        </is>
      </c>
      <c r="G42" s="430" t="inlineStr">
        <is>
          <t>零碳工厂（制造型企业）</t>
        </is>
      </c>
      <c r="H42" s="430" t="inlineStr">
        <is>
          <t>Zero-Carbon Factory (Manufacturing Enterprise)</t>
        </is>
      </c>
      <c r="I42" s="430" t="inlineStr">
        <is>
          <t>零碳工厂标识</t>
        </is>
      </c>
      <c r="J42" s="430"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2" s="430" t="inlineStr">
        <is>
          <t>减缓气候变化；产业发展</t>
        </is>
      </c>
      <c r="L42" s="430" t="inlineStr">
        <is>
          <t>直接</t>
        </is>
      </c>
      <c r="M42" s="430" t="inlineStr">
        <is>
          <t>国家</t>
        </is>
      </c>
      <c r="N42" s="430" t="inlineStr">
        <is>
          <t>N/A</t>
        </is>
      </c>
      <c r="O42" s="430" t="inlineStr">
        <is>
          <t>13/07/2026</t>
        </is>
      </c>
      <c r="P42" s="430" t="inlineStr">
        <is>
          <t>22/07/2026</t>
        </is>
      </c>
      <c r="Q42" s="430" t="inlineStr">
        <is>
          <t>N/A</t>
        </is>
      </c>
      <c r="R42" s="430" t="inlineStr">
        <is>
          <t>N/A</t>
        </is>
      </c>
      <c r="S42" s="430" t="inlineStr">
        <is>
          <t>N/A</t>
        </is>
      </c>
      <c r="T42" s="430">
        <f>IF(P42="","生效",IF(P42="N/A","生效",IF(TODAY()&lt;DATE(VALUE(RIGHT(P42,4)),VALUE(MID(P42,4,2)),VALUE(LEFT(P42,2))),"计划实施",IF(Q42="","生效",IF(Q42="N/A","生效",IF(TODAY()&lt;DATE(VALUE(RIGHT(Q42,4)),VALUE(MID(Q42,4,2)),VALUE(LEFT(Q42,2))),"生效","已终止"))))))</f>
        <v/>
      </c>
      <c r="U42" s="430" t="inlineStr">
        <is>
          <t>工业和信息化部（节能与综合利用司）；各省级工业和信息化主管部门</t>
        </is>
      </c>
      <c r="V42" s="430" t="inlineStr">
        <is>
          <t>规模以上工业企业（制造型）</t>
        </is>
      </c>
      <c r="W42" s="430" t="inlineStr">
        <is>
          <t>既有</t>
        </is>
      </c>
      <c r="X42" s="430"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Y42" s="430" t="inlineStr">
        <is>
          <t>N/A</t>
        </is>
      </c>
      <c r="Z42" s="430" t="inlineStr">
        <is>
          <t>年综合能源消费量≥1000吨标准煤（电力折标系数按当量值）</t>
        </is>
      </c>
      <c r="AA42" s="430" t="inlineStr">
        <is>
          <t>企业</t>
        </is>
      </c>
      <c r="AB42" s="430"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C42" s="430" t="inlineStr">
        <is>
          <t>注册、许可及行政管理</t>
        </is>
      </c>
      <c r="AD42" s="430"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E42" s="430" t="inlineStr">
        <is>
          <t>N/A</t>
        </is>
      </c>
      <c r="AF42" s="430" t="inlineStr">
        <is>
          <t>N/A</t>
        </is>
      </c>
      <c r="AG42" s="430" t="inlineStr">
        <is>
          <t>N/A</t>
        </is>
      </c>
      <c r="AH42" s="430"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I42" s="430" t="inlineStr">
        <is>
          <t>N/A</t>
        </is>
      </c>
      <c r="AJ42" s="430" t="inlineStr">
        <is>
          <t>N/A</t>
        </is>
      </c>
      <c r="AK42"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L42"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M42" s="430" t="inlineStr">
        <is>
          <t>N/A（自愿性评价认定标识，不设违规制裁。建设期满仍未通过验收的，按程序调出国家级零碳工厂建设名单。）</t>
        </is>
      </c>
      <c r="AN42" s="430" t="inlineStr">
        <is>
          <t>N/A（自愿性标识工具，覆盖量取决于自愿申报与通过认定的企业规模与数量）</t>
        </is>
      </c>
      <c r="AO42" s="430" t="inlineStr">
        <is>
          <t>N/A</t>
        </is>
      </c>
      <c r="AP42" s="430" t="inlineStr">
        <is>
          <t>C10; C11; C12; C13; C14; C15; C16; C17; C18; C19; C20; C21; C22; C23; C24; C25; C26; C27; C28; C29; C30; C31; C32; C33</t>
        </is>
      </c>
      <c r="AQ42" s="430" t="inlineStr">
        <is>
          <t>CO2</t>
        </is>
      </c>
      <c r="AR42" s="430" t="inlineStr">
        <is>
          <t>正向</t>
        </is>
      </c>
      <c r="AS42" s="430" t="inlineStr">
        <is>
          <t>技术创新；产业发展；节能</t>
        </is>
      </c>
      <c r="AT42" s="430" t="inlineStr">
        <is>
          <t>工业和信息化部办公厅关于组织开展国家级零碳工厂建设工作的通知（工信厅节函〔2026〕334号）；关于开展零碳工厂建设工作的指导意见（工信部联节〔2026〕13号）</t>
        </is>
      </c>
      <c r="AU42" s="430" t="inlineStr">
        <is>
          <t>https://www.miit.gov.cn/jgsj/jns/nyjy/art/2026/art_93fe83f24eb843789a636f6c5f9e79c6.html</t>
        </is>
      </c>
      <c r="AV42" s="430" t="inlineStr">
        <is>
          <t>N/A</t>
        </is>
      </c>
      <c r="AW42" s="430" t="inlineStr"/>
    </row>
    <row r="43">
      <c r="A43" s="430" t="inlineStr">
        <is>
          <t>CHNVIIVLBI11S002</t>
        </is>
      </c>
      <c r="B43" s="430" t="inlineStr">
        <is>
          <t>子方案</t>
        </is>
      </c>
      <c r="C43" s="430" t="inlineStr">
        <is>
          <t>自愿性信息工具</t>
        </is>
      </c>
      <c r="D43" s="430" t="inlineStr">
        <is>
          <t>自愿性认证标识</t>
        </is>
      </c>
      <c r="E43" s="430" t="inlineStr">
        <is>
          <t>工业</t>
        </is>
      </c>
      <c r="F43" s="430" t="inlineStr">
        <is>
          <t>数据中心（算力设施）</t>
        </is>
      </c>
      <c r="G43" s="430" t="inlineStr">
        <is>
          <t>零碳算力设施</t>
        </is>
      </c>
      <c r="H43" s="430" t="inlineStr">
        <is>
          <t>Zero-Carbon Computing Facility</t>
        </is>
      </c>
      <c r="I43" s="430" t="inlineStr">
        <is>
          <t>零碳工厂标识</t>
        </is>
      </c>
      <c r="J43" s="430"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3" s="430" t="inlineStr">
        <is>
          <t>减缓气候变化；产业发展</t>
        </is>
      </c>
      <c r="L43" s="430" t="inlineStr">
        <is>
          <t>直接</t>
        </is>
      </c>
      <c r="M43" s="430" t="inlineStr">
        <is>
          <t>国家</t>
        </is>
      </c>
      <c r="N43" s="430" t="inlineStr">
        <is>
          <t>N/A</t>
        </is>
      </c>
      <c r="O43" s="430" t="inlineStr">
        <is>
          <t>13/07/2026</t>
        </is>
      </c>
      <c r="P43" s="430" t="inlineStr">
        <is>
          <t>22/07/2026</t>
        </is>
      </c>
      <c r="Q43" s="430" t="inlineStr">
        <is>
          <t>N/A</t>
        </is>
      </c>
      <c r="R43" s="430" t="inlineStr">
        <is>
          <t>N/A</t>
        </is>
      </c>
      <c r="S43" s="430" t="inlineStr">
        <is>
          <t>N/A</t>
        </is>
      </c>
      <c r="T43" s="430">
        <f>IF(P43="","生效",IF(P43="N/A","生效",IF(TODAY()&lt;DATE(VALUE(RIGHT(P43,4)),VALUE(MID(P43,4,2)),VALUE(LEFT(P43,2))),"计划实施",IF(Q43="","生效",IF(Q43="N/A","生效",IF(TODAY()&lt;DATE(VALUE(RIGHT(Q43,4)),VALUE(MID(Q43,4,2)),VALUE(LEFT(Q43,2))),"生效","已终止"))))))</f>
        <v/>
      </c>
      <c r="U43" s="430" t="inlineStr">
        <is>
          <t>工业和信息化部（节能与综合利用司）；各省级工业和信息化主管部门</t>
        </is>
      </c>
      <c r="V43" s="430" t="inlineStr">
        <is>
          <t>算力设施</t>
        </is>
      </c>
      <c r="W43" s="430" t="inlineStr">
        <is>
          <t>既有</t>
        </is>
      </c>
      <c r="X43" s="430"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Y43" s="430" t="inlineStr">
        <is>
          <t>N/A</t>
        </is>
      </c>
      <c r="Z43" s="430" t="inlineStr">
        <is>
          <t>规模≥3000个标准机架（智算中心不适用）；PUE达到GB 40879—2021 2级及以上</t>
        </is>
      </c>
      <c r="AA43" s="430" t="inlineStr">
        <is>
          <t>企业</t>
        </is>
      </c>
      <c r="AB43" s="430" t="inlineStr">
        <is>
          <t>算力设施所有者（具有独立法人资格）。申报单位自愿通过工业节能与绿色发展管理平台提交申报材料，申报材料作为后续跟踪管理、评估验收的主要依据；对申报内容真实性、准确性负责。</t>
        </is>
      </c>
      <c r="AC43" s="430" t="inlineStr">
        <is>
          <t>注册、许可及行政管理</t>
        </is>
      </c>
      <c r="AD43" s="430"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E43" s="430" t="inlineStr">
        <is>
          <t>N/A</t>
        </is>
      </c>
      <c r="AF43" s="430" t="inlineStr">
        <is>
          <t>N/A</t>
        </is>
      </c>
      <c r="AG43" s="430" t="inlineStr">
        <is>
          <t>N/A</t>
        </is>
      </c>
      <c r="AH43" s="430"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I43" s="430" t="inlineStr">
        <is>
          <t>N/A</t>
        </is>
      </c>
      <c r="AJ43" s="430" t="inlineStr">
        <is>
          <t>N/A</t>
        </is>
      </c>
      <c r="AK43"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L43"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M43" s="430" t="inlineStr">
        <is>
          <t>N/A（自愿性评价认定标识，不设违规制裁。建设期满仍未通过验收的，按程序调出国家级零碳工厂建设名单。）</t>
        </is>
      </c>
      <c r="AN43" s="430" t="inlineStr">
        <is>
          <t>N/A（自愿性标识工具，覆盖量取决于自愿申报与通过认定的算力设施规模与数量）</t>
        </is>
      </c>
      <c r="AO43" s="430" t="inlineStr">
        <is>
          <t>N/A</t>
        </is>
      </c>
      <c r="AP43" s="430" t="inlineStr">
        <is>
          <t>J63</t>
        </is>
      </c>
      <c r="AQ43" s="430" t="inlineStr">
        <is>
          <t>CO2</t>
        </is>
      </c>
      <c r="AR43" s="430" t="inlineStr">
        <is>
          <t>正向</t>
        </is>
      </c>
      <c r="AS43" s="430" t="inlineStr">
        <is>
          <t>技术创新；节能；可再生能源发展</t>
        </is>
      </c>
      <c r="AT43" s="430" t="inlineStr">
        <is>
          <t>工业和信息化部办公厅关于组织开展国家级零碳工厂建设工作的通知（工信厅节函〔2026〕334号）；关于开展零碳工厂建设工作的指导意见（工信部联节〔2026〕13号）</t>
        </is>
      </c>
      <c r="AU43" s="430" t="inlineStr">
        <is>
          <t>https://www.miit.gov.cn/jgsj/jns/nyjy/art/2026/art_93fe83f24eb843789a636f6c5f9e79c6.html</t>
        </is>
      </c>
      <c r="AV43" s="430" t="inlineStr">
        <is>
          <t>N/A</t>
        </is>
      </c>
      <c r="AW43" s="430"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59" t="inlineStr">
        <is>
          <t>板块</t>
        </is>
      </c>
      <c r="B1" s="459" t="inlineStr">
        <is>
          <t>属性</t>
        </is>
      </c>
      <c r="C1" s="459" t="inlineStr">
        <is>
          <t>属性定义</t>
        </is>
      </c>
      <c r="D1" s="459" t="inlineStr">
        <is>
          <t>录入类型</t>
        </is>
      </c>
      <c r="E1" s="459" t="inlineStr">
        <is>
          <t>详情</t>
        </is>
      </c>
      <c r="F1" s="212" t="n"/>
      <c r="G1" s="212" t="n"/>
      <c r="H1" s="212" t="n"/>
      <c r="I1" s="212" t="n"/>
      <c r="J1" s="212" t="n"/>
      <c r="K1" s="212" t="n"/>
      <c r="L1" s="212" t="n"/>
      <c r="M1" s="212" t="n"/>
      <c r="N1" s="212" t="n"/>
      <c r="O1" s="212" t="n"/>
      <c r="P1" s="212" t="n"/>
      <c r="Q1" s="212" t="n"/>
      <c r="R1" s="212" t="n"/>
      <c r="S1" s="212" t="n"/>
      <c r="T1" s="212" t="n"/>
    </row>
    <row r="2" ht="15" customHeight="1">
      <c r="A2" s="460" t="inlineStr">
        <is>
          <t>通用属性</t>
        </is>
      </c>
      <c r="B2" s="261" t="n"/>
      <c r="C2" s="261" t="n"/>
      <c r="D2" s="261" t="n"/>
      <c r="E2" s="262" t="n"/>
      <c r="F2" s="396" t="n"/>
      <c r="G2" s="212" t="n"/>
      <c r="H2" s="212" t="n"/>
      <c r="I2" s="212" t="n"/>
      <c r="J2" s="212" t="n"/>
      <c r="K2" s="212" t="n"/>
      <c r="L2" s="212" t="n"/>
      <c r="M2" s="212" t="n"/>
      <c r="N2" s="212" t="n"/>
      <c r="O2" s="212" t="n"/>
      <c r="P2" s="212" t="n"/>
      <c r="Q2" s="212" t="n"/>
      <c r="R2" s="212" t="n"/>
      <c r="S2" s="212" t="n"/>
      <c r="T2" s="212" t="n"/>
    </row>
    <row r="3" ht="15" customHeight="1">
      <c r="A3" s="461" t="inlineStr">
        <is>
          <t>识别信息</t>
        </is>
      </c>
      <c r="B3" s="462" t="inlineStr">
        <is>
          <t>工具/子方案</t>
        </is>
      </c>
      <c r="C3" s="288" t="inlineStr">
        <is>
          <t>指明该条目（Excel工作表中的一行）是政策工具本身，还是其子方案（即该政策工具的变体）</t>
        </is>
      </c>
      <c r="D3" s="288" t="inlineStr">
        <is>
          <t>分类</t>
        </is>
      </c>
      <c r="E3" s="288" t="inlineStr">
        <is>
          <t>工具；子方案</t>
        </is>
      </c>
      <c r="F3" s="396" t="n"/>
      <c r="G3" s="212" t="n"/>
      <c r="H3" s="212" t="n"/>
      <c r="I3" s="212" t="n"/>
      <c r="J3" s="212" t="n"/>
      <c r="K3" s="212" t="n"/>
      <c r="L3" s="212" t="n"/>
      <c r="M3" s="212" t="n"/>
      <c r="N3" s="212" t="n"/>
      <c r="O3" s="212" t="n"/>
      <c r="P3" s="212" t="n"/>
      <c r="Q3" s="212" t="n"/>
      <c r="R3" s="212" t="n"/>
      <c r="S3" s="212" t="n"/>
      <c r="T3" s="212" t="n"/>
    </row>
    <row r="4" ht="15" customHeight="1">
      <c r="A4" s="461"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396" t="n"/>
      <c r="G4" s="212" t="n"/>
      <c r="H4" s="212" t="n"/>
      <c r="I4" s="212" t="n"/>
      <c r="J4" s="212" t="n"/>
      <c r="K4" s="212" t="n"/>
      <c r="L4" s="212" t="n"/>
      <c r="M4" s="212" t="n"/>
      <c r="N4" s="212" t="n"/>
      <c r="O4" s="212" t="n"/>
      <c r="P4" s="212" t="n"/>
      <c r="Q4" s="212" t="n"/>
      <c r="R4" s="212" t="n"/>
      <c r="S4" s="212" t="n"/>
      <c r="T4" s="212"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396" t="n"/>
      <c r="G5" s="212" t="n"/>
      <c r="H5" s="212" t="n"/>
      <c r="I5" s="212" t="n"/>
      <c r="J5" s="212" t="n"/>
      <c r="K5" s="212" t="n"/>
      <c r="L5" s="212" t="n"/>
      <c r="M5" s="212" t="n"/>
      <c r="N5" s="212" t="n"/>
      <c r="O5" s="212" t="n"/>
      <c r="P5" s="212" t="n"/>
      <c r="Q5" s="212" t="n"/>
      <c r="R5" s="212" t="n"/>
      <c r="S5" s="212" t="n"/>
      <c r="T5" s="212" t="n"/>
    </row>
    <row r="6" ht="15" customHeight="1">
      <c r="A6" s="293" t="n"/>
      <c r="B6" s="288" t="inlineStr">
        <is>
          <t>排放部门</t>
        </is>
      </c>
      <c r="C6" s="288" t="inlineStr">
        <is>
          <t>基于IPCC排放源部门分类的IFCMA初步分类（简化版）</t>
        </is>
      </c>
      <c r="D6" s="288" t="inlineStr">
        <is>
          <t>分类</t>
        </is>
      </c>
      <c r="E6" s="463" t="inlineStr">
        <is>
          <t>能源、交通、建筑、工业、农业、废弃物、土地利用变化与林业（LULUCF）</t>
        </is>
      </c>
      <c r="F6" s="396" t="n"/>
      <c r="G6" s="212" t="n"/>
      <c r="H6" s="212" t="n"/>
      <c r="I6" s="212" t="n"/>
      <c r="J6" s="212" t="n"/>
      <c r="K6" s="212" t="n"/>
      <c r="L6" s="212" t="n"/>
      <c r="M6" s="212" t="n"/>
      <c r="N6" s="212" t="n"/>
      <c r="O6" s="212" t="n"/>
      <c r="P6" s="212" t="n"/>
      <c r="Q6" s="212" t="n"/>
      <c r="R6" s="212" t="n"/>
      <c r="S6" s="212" t="n"/>
      <c r="T6" s="212" t="n"/>
    </row>
    <row r="7" ht="15" customHeight="1">
      <c r="A7" s="282" t="n"/>
      <c r="B7" s="288" t="inlineStr">
        <is>
          <t>子行业</t>
        </is>
      </c>
      <c r="C7" s="463" t="inlineStr">
        <is>
          <t>指明“排放部门”之下的子行业；若无需细分，则与“排放部门”填写相同内容。</t>
        </is>
      </c>
      <c r="D7" s="288" t="inlineStr">
        <is>
          <t>分类</t>
        </is>
      </c>
      <c r="E7" s="288" t="inlineStr">
        <is>
          <t>煤炭、太阳能发电、风电、氢能、核电、钢铁、水泥、汽车、电池等</t>
        </is>
      </c>
      <c r="F7" s="396" t="n"/>
      <c r="G7" s="212" t="n"/>
      <c r="H7" s="212" t="n"/>
      <c r="I7" s="212" t="n"/>
      <c r="J7" s="212" t="n"/>
      <c r="K7" s="212" t="n"/>
      <c r="L7" s="212" t="n"/>
      <c r="M7" s="212" t="n"/>
      <c r="N7" s="212" t="n"/>
      <c r="O7" s="212" t="n"/>
      <c r="P7" s="212" t="n"/>
      <c r="Q7" s="212" t="n"/>
      <c r="R7" s="212" t="n"/>
      <c r="S7" s="212" t="n"/>
      <c r="T7" s="212" t="n"/>
    </row>
    <row r="8" ht="15" customHeight="1">
      <c r="A8" s="461" t="inlineStr">
        <is>
          <t>基本信息</t>
        </is>
      </c>
      <c r="B8" s="462" t="inlineStr">
        <is>
          <t>本国工具名称</t>
        </is>
      </c>
      <c r="C8" s="462" t="inlineStr">
        <is>
          <t>工具名称的原文表述。优先采用该政策通常为人所知的名称。若工具名称存在歧义，则采用该工具法律文件中所使用的名称。</t>
        </is>
      </c>
      <c r="D8" s="288" t="inlineStr">
        <is>
          <t>自由文本</t>
        </is>
      </c>
      <c r="E8" s="288" t="inlineStr">
        <is>
          <t>N/A</t>
        </is>
      </c>
      <c r="F8" s="396" t="n"/>
      <c r="G8" s="212" t="n"/>
      <c r="H8" s="212" t="n"/>
      <c r="I8" s="212" t="n"/>
      <c r="J8" s="212" t="n"/>
      <c r="K8" s="212" t="n"/>
      <c r="L8" s="212" t="n"/>
      <c r="M8" s="212" t="n"/>
      <c r="N8" s="212" t="n"/>
      <c r="O8" s="212" t="n"/>
      <c r="P8" s="212" t="n"/>
      <c r="Q8" s="212" t="n"/>
      <c r="R8" s="212" t="n"/>
      <c r="S8" s="212" t="n"/>
      <c r="T8" s="212" t="n"/>
    </row>
    <row r="9" ht="15" customHeight="1">
      <c r="A9" s="293" t="n"/>
      <c r="B9" s="462" t="inlineStr">
        <is>
          <t>英文工具名称</t>
        </is>
      </c>
      <c r="C9" s="462" t="inlineStr">
        <is>
          <t>本国工具名称的英文翻译</t>
        </is>
      </c>
      <c r="D9" s="288" t="inlineStr">
        <is>
          <t>自由文本</t>
        </is>
      </c>
      <c r="E9" s="288" t="inlineStr">
        <is>
          <t>N/A</t>
        </is>
      </c>
      <c r="F9" s="396" t="n"/>
      <c r="G9" s="212" t="n"/>
      <c r="H9" s="212" t="n"/>
      <c r="I9" s="212" t="n"/>
      <c r="J9" s="212" t="n"/>
      <c r="K9" s="212" t="n"/>
      <c r="L9" s="212" t="n"/>
      <c r="M9" s="212" t="n"/>
      <c r="N9" s="212" t="n"/>
      <c r="O9" s="212" t="n"/>
      <c r="P9" s="212" t="n"/>
      <c r="Q9" s="212" t="n"/>
      <c r="R9" s="212" t="n"/>
      <c r="S9" s="212" t="n"/>
      <c r="T9" s="212" t="n"/>
    </row>
    <row r="10" ht="15" customHeight="1">
      <c r="A10" s="293" t="n"/>
      <c r="B10" s="462" t="inlineStr">
        <is>
          <t>政策包</t>
        </is>
      </c>
      <c r="C10" s="462"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396" t="n"/>
      <c r="G10" s="212" t="n"/>
      <c r="H10" s="212" t="n"/>
      <c r="I10" s="212" t="n"/>
      <c r="J10" s="212" t="n"/>
      <c r="K10" s="212" t="n"/>
      <c r="L10" s="212" t="n"/>
      <c r="M10" s="212" t="n"/>
      <c r="N10" s="212" t="n"/>
      <c r="O10" s="212" t="n"/>
      <c r="P10" s="212" t="n"/>
      <c r="Q10" s="212" t="n"/>
      <c r="R10" s="212" t="n"/>
      <c r="S10" s="212" t="n"/>
      <c r="T10" s="212" t="n"/>
    </row>
    <row r="11" ht="15" customHeight="1">
      <c r="A11" s="293" t="n"/>
      <c r="B11" s="462" t="inlineStr">
        <is>
          <t>描述</t>
        </is>
      </c>
      <c r="C11" s="462" t="inlineStr">
        <is>
          <t>对政策机制及具体设计特征的简要描述</t>
        </is>
      </c>
      <c r="D11" s="288" t="inlineStr">
        <is>
          <t>自由文本</t>
        </is>
      </c>
      <c r="E11" s="288" t="inlineStr">
        <is>
          <t>N/A</t>
        </is>
      </c>
      <c r="F11" s="396" t="n"/>
      <c r="G11" s="212" t="n"/>
      <c r="H11" s="212" t="n"/>
      <c r="I11" s="212" t="n"/>
      <c r="J11" s="212" t="n"/>
      <c r="K11" s="212" t="n"/>
      <c r="L11" s="212" t="n"/>
      <c r="M11" s="212" t="n"/>
      <c r="N11" s="212" t="n"/>
      <c r="O11" s="212" t="n"/>
      <c r="P11" s="212" t="n"/>
      <c r="Q11" s="212" t="n"/>
      <c r="R11" s="212" t="n"/>
      <c r="S11" s="212" t="n"/>
      <c r="T11" s="212" t="n"/>
    </row>
    <row r="12" ht="15" customHeight="1">
      <c r="A12" s="293" t="n"/>
      <c r="B12" s="462" t="inlineStr">
        <is>
          <t>目标</t>
        </is>
      </c>
      <c r="C12" s="462" t="inlineStr">
        <is>
          <t>法律文件中明确表述的政策目标</t>
        </is>
      </c>
      <c r="D12" s="288" t="inlineStr">
        <is>
          <t>分类（多选）</t>
        </is>
      </c>
      <c r="E12" s="288" t="inlineStr">
        <is>
          <t>减缓气候变化；非化石能源；能源效率；绿色经济；技术创新；能源安全；污染防治；生态保护；循环经济；适应气候变化；绿色金融；电气化；产业发展；绿色消费；信息披露；公众意识；保护臭氧层</t>
        </is>
      </c>
      <c r="F12" s="396" t="n"/>
      <c r="G12" s="212" t="n"/>
      <c r="H12" s="212" t="n"/>
      <c r="I12" s="212" t="n"/>
      <c r="J12" s="212" t="n"/>
      <c r="K12" s="212" t="n"/>
      <c r="L12" s="212" t="n"/>
      <c r="M12" s="212" t="n"/>
      <c r="N12" s="212" t="n"/>
      <c r="O12" s="212" t="n"/>
      <c r="P12" s="212" t="n"/>
      <c r="Q12" s="212" t="n"/>
      <c r="R12" s="212" t="n"/>
      <c r="S12" s="212" t="n"/>
      <c r="T12" s="212" t="n"/>
    </row>
    <row r="13" ht="15" customHeight="1">
      <c r="A13" s="293" t="n"/>
      <c r="B13" s="462" t="inlineStr">
        <is>
          <t>减缓相关性</t>
        </is>
      </c>
      <c r="C13" s="462"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396" t="n"/>
      <c r="G13" s="212" t="n"/>
      <c r="H13" s="212" t="n"/>
      <c r="I13" s="212" t="n"/>
      <c r="J13" s="212" t="n"/>
      <c r="K13" s="212" t="n"/>
      <c r="L13" s="212" t="n"/>
      <c r="M13" s="212" t="n"/>
      <c r="N13" s="212" t="n"/>
      <c r="O13" s="212" t="n"/>
      <c r="P13" s="212" t="n"/>
      <c r="Q13" s="212" t="n"/>
      <c r="R13" s="212" t="n"/>
      <c r="S13" s="212" t="n"/>
      <c r="T13" s="212" t="n"/>
    </row>
    <row r="14" ht="15" customHeight="1">
      <c r="A14" s="293" t="n"/>
      <c r="B14" s="462" t="inlineStr">
        <is>
          <t>管辖层级</t>
        </is>
      </c>
      <c r="C14" s="462" t="inlineStr">
        <is>
          <t>该工具适用的管辖层级</t>
        </is>
      </c>
      <c r="D14" s="288" t="inlineStr">
        <is>
          <t>分类（单选）</t>
        </is>
      </c>
      <c r="E14" s="288" t="inlineStr">
        <is>
          <t>国家级；次国家级；超国家级；经济特区</t>
        </is>
      </c>
      <c r="F14" s="396" t="n"/>
      <c r="G14" s="212" t="n"/>
      <c r="H14" s="212" t="n"/>
      <c r="I14" s="212" t="n"/>
      <c r="J14" s="212" t="n"/>
      <c r="K14" s="212" t="n"/>
      <c r="L14" s="212" t="n"/>
      <c r="M14" s="212" t="n"/>
      <c r="N14" s="212" t="n"/>
      <c r="O14" s="212" t="n"/>
      <c r="P14" s="212" t="n"/>
      <c r="Q14" s="212" t="n"/>
      <c r="R14" s="212" t="n"/>
      <c r="S14" s="212" t="n"/>
      <c r="T14" s="212" t="n"/>
    </row>
    <row r="15" ht="15" customHeight="1">
      <c r="A15" s="293" t="n"/>
      <c r="B15" s="462" t="inlineStr">
        <is>
          <t>管辖地名称</t>
        </is>
      </c>
      <c r="C15" s="462" t="inlineStr">
        <is>
          <t>若工具在超国家/国际层级或次国家级适用，填写管辖地名称（以英文填写）</t>
        </is>
      </c>
      <c r="D15" s="288" t="inlineStr">
        <is>
          <t>自由文本</t>
        </is>
      </c>
      <c r="E15" s="288" t="inlineStr">
        <is>
          <t>N/A</t>
        </is>
      </c>
      <c r="F15" s="396" t="n"/>
      <c r="G15" s="212" t="n"/>
      <c r="H15" s="212" t="n"/>
      <c r="I15" s="212" t="n"/>
      <c r="J15" s="212" t="n"/>
      <c r="K15" s="212" t="n"/>
      <c r="L15" s="212" t="n"/>
      <c r="M15" s="212" t="n"/>
      <c r="N15" s="212" t="n"/>
      <c r="O15" s="212" t="n"/>
      <c r="P15" s="212" t="n"/>
      <c r="Q15" s="212" t="n"/>
      <c r="R15" s="212" t="n"/>
      <c r="S15" s="212" t="n"/>
      <c r="T15" s="212" t="n"/>
    </row>
    <row r="16" ht="15" customHeight="1">
      <c r="A16" s="293" t="n"/>
      <c r="B16" s="462" t="inlineStr">
        <is>
          <t>状态</t>
        </is>
      </c>
      <c r="C16" s="462" t="inlineStr">
        <is>
          <t>界定该工具是现行有效还是已失效，以及是否正在生效</t>
        </is>
      </c>
      <c r="D16" s="288" t="inlineStr">
        <is>
          <t>分类（单选）</t>
        </is>
      </c>
      <c r="E16" s="288" t="inlineStr">
        <is>
          <t>生效；计划实施；已终止；不存在</t>
        </is>
      </c>
      <c r="F16" s="396" t="n"/>
      <c r="G16" s="212" t="n"/>
      <c r="H16" s="212" t="n"/>
      <c r="I16" s="212" t="n"/>
      <c r="J16" s="212" t="n"/>
      <c r="K16" s="212" t="n"/>
      <c r="L16" s="212" t="n"/>
      <c r="M16" s="212" t="n"/>
      <c r="N16" s="212" t="n"/>
      <c r="O16" s="212" t="n"/>
      <c r="P16" s="212" t="n"/>
      <c r="Q16" s="212" t="n"/>
      <c r="R16" s="212" t="n"/>
      <c r="S16" s="212" t="n"/>
      <c r="T16" s="212" t="n"/>
    </row>
    <row r="17" ht="15" customHeight="1">
      <c r="A17" s="293" t="n"/>
      <c r="B17" s="462" t="inlineStr">
        <is>
          <t>通过日期</t>
        </is>
      </c>
      <c r="C17" s="462" t="inlineStr">
        <is>
          <t>该工具获批的日期</t>
        </is>
      </c>
      <c r="D17" s="288" t="inlineStr">
        <is>
          <t>日月年格式</t>
        </is>
      </c>
      <c r="E17" s="288" t="inlineStr">
        <is>
          <t>固定格式 [mm/yyyy] 或 [yyyy]</t>
        </is>
      </c>
      <c r="F17" s="396" t="n"/>
      <c r="G17" s="212" t="n"/>
      <c r="H17" s="212" t="n"/>
      <c r="I17" s="212" t="n"/>
      <c r="J17" s="212" t="n"/>
      <c r="K17" s="212" t="n"/>
      <c r="L17" s="212" t="n"/>
      <c r="M17" s="212" t="n"/>
      <c r="N17" s="212" t="n"/>
      <c r="O17" s="212" t="n"/>
      <c r="P17" s="212" t="n"/>
      <c r="Q17" s="212" t="n"/>
      <c r="R17" s="212" t="n"/>
      <c r="S17" s="212" t="n"/>
      <c r="T17" s="212" t="n"/>
    </row>
    <row r="18" ht="15" customHeight="1">
      <c r="A18" s="293" t="n"/>
      <c r="B18" s="462" t="inlineStr">
        <is>
          <t>生效日期</t>
        </is>
      </c>
      <c r="C18" s="462" t="inlineStr">
        <is>
          <t>该工具生效或即将生效、具有法律约束力的日期</t>
        </is>
      </c>
      <c r="D18" s="288" t="inlineStr">
        <is>
          <t>日月年格式</t>
        </is>
      </c>
      <c r="E18" s="288" t="inlineStr">
        <is>
          <t>固定格式 [mm/yyyy] 或 [yyyy]</t>
        </is>
      </c>
      <c r="F18" s="396" t="n"/>
      <c r="G18" s="212" t="n"/>
      <c r="H18" s="212" t="n"/>
      <c r="I18" s="212" t="n"/>
      <c r="J18" s="212" t="n"/>
      <c r="K18" s="212" t="n"/>
      <c r="L18" s="212" t="n"/>
      <c r="M18" s="212" t="n"/>
      <c r="N18" s="212" t="n"/>
      <c r="O18" s="212" t="n"/>
      <c r="P18" s="212" t="n"/>
      <c r="Q18" s="212" t="n"/>
      <c r="R18" s="212" t="n"/>
      <c r="S18" s="212" t="n"/>
      <c r="T18" s="212" t="n"/>
    </row>
    <row r="19" ht="15" customHeight="1">
      <c r="A19" s="293" t="n"/>
      <c r="B19" s="462" t="inlineStr">
        <is>
          <t>终止日期</t>
        </is>
      </c>
      <c r="C19" s="462" t="inlineStr">
        <is>
          <t>法律授权的最终要求生效的日期（如相关）</t>
        </is>
      </c>
      <c r="D19" s="288" t="inlineStr">
        <is>
          <t>日月年格式</t>
        </is>
      </c>
      <c r="E19" s="288" t="inlineStr">
        <is>
          <t>固定格式 [mm/yyyy] 或 [yyyy]</t>
        </is>
      </c>
      <c r="F19" s="396" t="n"/>
      <c r="G19" s="212" t="n"/>
      <c r="H19" s="212" t="n"/>
      <c r="I19" s="212" t="n"/>
      <c r="J19" s="212" t="n"/>
      <c r="K19" s="212" t="n"/>
      <c r="L19" s="212" t="n"/>
      <c r="M19" s="212" t="n"/>
      <c r="N19" s="212" t="n"/>
      <c r="O19" s="212" t="n"/>
      <c r="P19" s="212" t="n"/>
      <c r="Q19" s="212" t="n"/>
      <c r="R19" s="212" t="n"/>
      <c r="S19" s="212" t="n"/>
      <c r="T19" s="212" t="n"/>
    </row>
    <row r="20" ht="15" customHeight="1">
      <c r="A20" s="293" t="n"/>
      <c r="B20" s="462" t="inlineStr">
        <is>
          <t>最近修订</t>
        </is>
      </c>
      <c r="C20" s="462" t="inlineStr">
        <is>
          <t>该政策工具最近一次更新/修订的日期</t>
        </is>
      </c>
      <c r="D20" s="288" t="inlineStr">
        <is>
          <t>日月年格式</t>
        </is>
      </c>
      <c r="E20" s="288" t="inlineStr">
        <is>
          <t>固定格式 [mm/yyyy] 或 [yyyy]</t>
        </is>
      </c>
      <c r="F20" s="396" t="n"/>
      <c r="G20" s="212" t="n"/>
      <c r="H20" s="212" t="n"/>
      <c r="I20" s="212" t="n"/>
      <c r="J20" s="212" t="n"/>
      <c r="K20" s="212" t="n"/>
      <c r="L20" s="212" t="n"/>
      <c r="M20" s="212" t="n"/>
      <c r="N20" s="212" t="n"/>
      <c r="O20" s="212" t="n"/>
      <c r="P20" s="212" t="n"/>
      <c r="Q20" s="212" t="n"/>
      <c r="R20" s="212" t="n"/>
      <c r="S20" s="212" t="n"/>
      <c r="T20" s="212" t="n"/>
    </row>
    <row r="21" ht="15" customHeight="1">
      <c r="A21" s="293" t="n"/>
      <c r="B21" s="462" t="inlineStr">
        <is>
          <t>最近修订（详情）</t>
        </is>
      </c>
      <c r="C21" s="462" t="inlineStr">
        <is>
          <t>说明最近一次修订的性质（如适用）、修改内容[扩大范围、调整强度、新增专项资金安排等]以及/或此前相关修订</t>
        </is>
      </c>
      <c r="D21" s="288" t="inlineStr">
        <is>
          <t>自由文本</t>
        </is>
      </c>
      <c r="E21" s="288" t="n"/>
      <c r="F21" s="396" t="n"/>
      <c r="G21" s="212" t="n"/>
      <c r="H21" s="212" t="n"/>
      <c r="I21" s="212" t="n"/>
      <c r="J21" s="212" t="n"/>
      <c r="K21" s="212" t="n"/>
      <c r="L21" s="212" t="n"/>
      <c r="M21" s="212" t="n"/>
      <c r="N21" s="212" t="n"/>
      <c r="O21" s="212" t="n"/>
      <c r="P21" s="212" t="n"/>
      <c r="Q21" s="212" t="n"/>
      <c r="R21" s="212" t="n"/>
      <c r="S21" s="212" t="n"/>
      <c r="T21" s="212" t="n"/>
    </row>
    <row r="22" ht="15" customHeight="1">
      <c r="A22" s="282" t="n"/>
      <c r="B22" s="462" t="inlineStr">
        <is>
          <t>管理机构</t>
        </is>
      </c>
      <c r="C22" s="462" t="inlineStr">
        <is>
          <t>实施和管理该工具的机构。包括设定费率及/或界定政策基础</t>
        </is>
      </c>
      <c r="D22" s="288" t="inlineStr">
        <is>
          <t>自由文本</t>
        </is>
      </c>
      <c r="E22" s="288" t="inlineStr">
        <is>
          <t>N/A</t>
        </is>
      </c>
      <c r="F22" s="396" t="n"/>
      <c r="G22" s="212" t="n"/>
      <c r="H22" s="212" t="n"/>
      <c r="I22" s="212" t="n"/>
      <c r="J22" s="212" t="n"/>
      <c r="K22" s="212" t="n"/>
      <c r="L22" s="212" t="n"/>
      <c r="M22" s="212" t="n"/>
      <c r="N22" s="212" t="n"/>
      <c r="O22" s="212" t="n"/>
      <c r="P22" s="212" t="n"/>
      <c r="Q22" s="212" t="n"/>
      <c r="R22" s="212" t="n"/>
      <c r="S22" s="212" t="n"/>
      <c r="T22" s="212" t="n"/>
    </row>
    <row r="23" ht="15" customHeight="1">
      <c r="A23" s="464" t="inlineStr">
        <is>
          <t>政策规制基础与强度</t>
        </is>
      </c>
      <c r="B23" s="462" t="inlineStr">
        <is>
          <t>受规制资产</t>
        </is>
      </c>
      <c r="C23" s="462" t="inlineStr">
        <is>
          <t>受规制的对象；可以是构筑物（如锅炉和汽轮机）、燃料（如煤炭或天然气）、排放物，也可以是产品、投入品等更一般的对象，以及无形资产</t>
        </is>
      </c>
      <c r="D23" s="288" t="inlineStr">
        <is>
          <t>分类（多选），可补充详情</t>
        </is>
      </c>
      <c r="E23" s="288" t="inlineStr">
        <is>
          <t>非穷尽清单</t>
        </is>
      </c>
      <c r="F23" s="396" t="n"/>
      <c r="G23" s="212" t="n"/>
      <c r="H23" s="212" t="n"/>
      <c r="I23" s="212" t="n"/>
      <c r="J23" s="212" t="n"/>
      <c r="K23" s="212" t="n"/>
      <c r="L23" s="212" t="n"/>
      <c r="M23" s="212" t="n"/>
      <c r="N23" s="212" t="n"/>
      <c r="O23" s="212" t="n"/>
      <c r="P23" s="212" t="n"/>
      <c r="Q23" s="212" t="n"/>
      <c r="R23" s="212" t="n"/>
      <c r="S23" s="212" t="n"/>
      <c r="T23" s="212" t="n"/>
    </row>
    <row r="24" ht="15" customHeight="1">
      <c r="A24" s="293" t="n"/>
      <c r="B24" s="462" t="inlineStr">
        <is>
          <t>受规制资产（状态）</t>
        </is>
      </c>
      <c r="C24" s="462" t="inlineStr">
        <is>
          <t>资产状态，即资产是新建/新售的、已存在的（既有建筑存量或车辆存量），还是二手售出的</t>
        </is>
      </c>
      <c r="D24" s="288" t="inlineStr">
        <is>
          <t>分类</t>
        </is>
      </c>
      <c r="E24" s="288" t="inlineStr">
        <is>
          <t>新建；既有</t>
        </is>
      </c>
      <c r="F24" s="396" t="n"/>
      <c r="G24" s="212" t="n"/>
      <c r="H24" s="212" t="n"/>
      <c r="I24" s="212" t="n"/>
      <c r="J24" s="212" t="n"/>
      <c r="K24" s="212" t="n"/>
      <c r="L24" s="212" t="n"/>
      <c r="M24" s="212" t="n"/>
      <c r="N24" s="212" t="n"/>
      <c r="O24" s="212" t="n"/>
      <c r="P24" s="212" t="n"/>
      <c r="Q24" s="212" t="n"/>
      <c r="R24" s="212" t="n"/>
      <c r="S24" s="212" t="n"/>
      <c r="T24" s="212" t="n"/>
    </row>
    <row r="25" ht="15" customHeight="1">
      <c r="A25" s="293" t="n"/>
      <c r="B25" s="462" t="inlineStr">
        <is>
          <t>受规制资产（详情）</t>
        </is>
      </c>
      <c r="C25" s="462" t="inlineStr">
        <is>
          <t>资产类型，视资产种类可有多种形式，可包括发动机类型或其他技术规格</t>
        </is>
      </c>
      <c r="D25" s="288" t="inlineStr">
        <is>
          <t>分类</t>
        </is>
      </c>
      <c r="E25" s="288" t="inlineStr">
        <is>
          <t>非穷尽清单</t>
        </is>
      </c>
      <c r="F25" s="396" t="n"/>
      <c r="G25" s="212" t="n"/>
      <c r="H25" s="212" t="n"/>
      <c r="I25" s="212" t="n"/>
      <c r="J25" s="212" t="n"/>
      <c r="K25" s="212" t="n"/>
      <c r="L25" s="212" t="n"/>
      <c r="M25" s="212" t="n"/>
      <c r="N25" s="212" t="n"/>
      <c r="O25" s="212" t="n"/>
      <c r="P25" s="212" t="n"/>
      <c r="Q25" s="212" t="n"/>
      <c r="R25" s="212" t="n"/>
      <c r="S25" s="212" t="n"/>
      <c r="T25" s="212" t="n"/>
    </row>
    <row r="26" ht="15" customHeight="1">
      <c r="A26" s="293" t="n"/>
      <c r="B26" s="462" t="inlineStr">
        <is>
          <t>受规制资产（其他）</t>
        </is>
      </c>
      <c r="C26" s="462" t="inlineStr">
        <is>
          <t>界定受规制资产所需的其他详情</t>
        </is>
      </c>
      <c r="D26" s="288" t="inlineStr">
        <is>
          <t>自由文本</t>
        </is>
      </c>
      <c r="E26" s="288" t="inlineStr">
        <is>
          <t>N/A</t>
        </is>
      </c>
      <c r="F26" s="396" t="n"/>
      <c r="G26" s="212" t="n"/>
      <c r="H26" s="212" t="n"/>
      <c r="I26" s="212" t="n"/>
      <c r="J26" s="212" t="n"/>
      <c r="K26" s="212" t="n"/>
      <c r="L26" s="212" t="n"/>
      <c r="M26" s="212" t="n"/>
      <c r="N26" s="212" t="n"/>
      <c r="O26" s="212" t="n"/>
      <c r="P26" s="212" t="n"/>
      <c r="Q26" s="212" t="n"/>
      <c r="R26" s="212" t="n"/>
      <c r="S26" s="212" t="n"/>
      <c r="T26" s="212" t="n"/>
    </row>
    <row r="27" ht="15" customHeight="1">
      <c r="A27" s="293" t="n"/>
      <c r="B27" s="462" t="inlineStr">
        <is>
          <t>受规制资产（阈值范围）</t>
        </is>
      </c>
      <c r="C27" s="462" t="inlineStr">
        <is>
          <t>指界定该工具所规制的政策基础范围或类别的具体详情。括号划定该工具规制条款适用的边界，例如收入区间、资产类别（如按规模划分）。</t>
        </is>
      </c>
      <c r="D27" s="288" t="inlineStr">
        <is>
          <t>开放结构</t>
        </is>
      </c>
      <c r="E27" s="288" t="inlineStr">
        <is>
          <t>[XXXX ; YYYY] + 单位</t>
        </is>
      </c>
      <c r="F27" s="396" t="n"/>
      <c r="G27" s="212" t="n"/>
      <c r="H27" s="212" t="n"/>
      <c r="I27" s="212" t="n"/>
      <c r="J27" s="212" t="n"/>
      <c r="K27" s="212" t="n"/>
      <c r="L27" s="212" t="n"/>
      <c r="M27" s="212" t="n"/>
      <c r="N27" s="212" t="n"/>
      <c r="O27" s="212" t="n"/>
      <c r="P27" s="212" t="n"/>
      <c r="Q27" s="212" t="n"/>
      <c r="R27" s="212" t="n"/>
      <c r="S27" s="212" t="n"/>
      <c r="T27" s="212" t="n"/>
    </row>
    <row r="28" ht="15" customHeight="1">
      <c r="A28" s="293" t="n"/>
      <c r="B28" s="462" t="inlineStr">
        <is>
          <t>受规制主体</t>
        </is>
      </c>
      <c r="C28" s="462" t="inlineStr">
        <is>
          <t>依法须遵守该政策工具，或获得既定利益或信息的主体</t>
        </is>
      </c>
      <c r="D28" s="288" t="inlineStr">
        <is>
          <t>分类（多选），可补充详情</t>
        </is>
      </c>
      <c r="E28" s="288" t="inlineStr">
        <is>
          <t>家庭；企业；政府；非政府组织</t>
        </is>
      </c>
      <c r="F28" s="396" t="n"/>
      <c r="G28" s="212" t="n"/>
      <c r="H28" s="212" t="n"/>
      <c r="I28" s="212" t="n"/>
      <c r="J28" s="212" t="n"/>
      <c r="K28" s="212" t="n"/>
      <c r="L28" s="212" t="n"/>
      <c r="M28" s="212" t="n"/>
      <c r="N28" s="212" t="n"/>
      <c r="O28" s="212" t="n"/>
      <c r="P28" s="212" t="n"/>
      <c r="Q28" s="212" t="n"/>
      <c r="R28" s="212" t="n"/>
      <c r="S28" s="212" t="n"/>
      <c r="T28" s="212" t="n"/>
    </row>
    <row r="29" ht="15" customHeight="1">
      <c r="A29" s="293" t="n"/>
      <c r="B29" s="462" t="inlineStr">
        <is>
          <t>受规制主体（详情）</t>
        </is>
      </c>
      <c r="C29" s="462" t="inlineStr">
        <is>
          <t>界定受规制主体所需的相关详情（例如：车龄超过10年的车辆、收入超过一定门槛的家庭/企业等）</t>
        </is>
      </c>
      <c r="D29" s="288" t="inlineStr">
        <is>
          <t>自由文本</t>
        </is>
      </c>
      <c r="E29" s="288" t="inlineStr">
        <is>
          <t>N/A</t>
        </is>
      </c>
      <c r="F29" s="396" t="n"/>
      <c r="G29" s="212" t="n"/>
      <c r="H29" s="212" t="n"/>
      <c r="I29" s="212" t="n"/>
      <c r="J29" s="212" t="n"/>
      <c r="K29" s="212" t="n"/>
      <c r="L29" s="212" t="n"/>
      <c r="M29" s="212" t="n"/>
      <c r="N29" s="212" t="n"/>
      <c r="O29" s="212" t="n"/>
      <c r="P29" s="212" t="n"/>
      <c r="Q29" s="212" t="n"/>
      <c r="R29" s="212" t="n"/>
      <c r="S29" s="212" t="n"/>
      <c r="T29" s="212" t="n"/>
    </row>
    <row r="30" ht="15" customHeight="1">
      <c r="A30" s="293" t="n"/>
      <c r="B30" s="462" t="inlineStr">
        <is>
          <t>受规制活动</t>
        </is>
      </c>
      <c r="C30" s="462" t="inlineStr">
        <is>
          <t>该政策工具干预的作用点</t>
        </is>
      </c>
      <c r="D30" s="288" t="inlineStr">
        <is>
          <t>分类（多选），可补充详情</t>
        </is>
      </c>
      <c r="E30" s="288" t="inlineStr">
        <is>
          <t>非穷尽清单</t>
        </is>
      </c>
      <c r="F30" s="396" t="n"/>
      <c r="G30" s="212" t="n"/>
      <c r="H30" s="212" t="n"/>
      <c r="I30" s="212" t="n"/>
      <c r="J30" s="212" t="n"/>
      <c r="K30" s="212" t="n"/>
      <c r="L30" s="212" t="n"/>
      <c r="M30" s="212" t="n"/>
      <c r="N30" s="212" t="n"/>
      <c r="O30" s="212" t="n"/>
      <c r="P30" s="212" t="n"/>
      <c r="Q30" s="212" t="n"/>
      <c r="R30" s="212" t="n"/>
      <c r="S30" s="212" t="n"/>
      <c r="T30" s="212" t="n"/>
    </row>
    <row r="31" ht="15" customHeight="1">
      <c r="A31" s="293" t="n"/>
      <c r="B31" s="462" t="inlineStr">
        <is>
          <t>受规制活动（详情）</t>
        </is>
      </c>
      <c r="C31" s="462" t="inlineStr">
        <is>
          <t>界定受规制活动所需的其他详情</t>
        </is>
      </c>
      <c r="D31" s="288" t="inlineStr">
        <is>
          <t>自由文本</t>
        </is>
      </c>
      <c r="E31" s="288" t="inlineStr">
        <is>
          <t>N/A</t>
        </is>
      </c>
      <c r="F31" s="396" t="n"/>
      <c r="G31" s="212" t="n"/>
      <c r="H31" s="212" t="n"/>
      <c r="I31" s="212" t="n"/>
      <c r="J31" s="212" t="n"/>
      <c r="K31" s="212" t="n"/>
      <c r="L31" s="212" t="n"/>
      <c r="M31" s="212" t="n"/>
      <c r="N31" s="212" t="n"/>
      <c r="O31" s="212" t="n"/>
      <c r="P31" s="212" t="n"/>
      <c r="Q31" s="212" t="n"/>
      <c r="R31" s="212" t="n"/>
      <c r="S31" s="212" t="n"/>
      <c r="T31" s="212" t="n"/>
    </row>
    <row r="32" ht="15" customHeight="1">
      <c r="A32" s="293" t="n"/>
      <c r="B32" s="462" t="inlineStr">
        <is>
          <t>强度（数值）</t>
        </is>
      </c>
      <c r="C32" s="462" t="inlineStr">
        <is>
          <t>法律文件中使用的数值（水平、费率、目标等）</t>
        </is>
      </c>
      <c r="D32" s="288" t="inlineStr">
        <is>
          <t>自由文本</t>
        </is>
      </c>
      <c r="E32" s="288" t="inlineStr">
        <is>
          <t>N/A</t>
        </is>
      </c>
      <c r="F32" s="396" t="n"/>
      <c r="G32" s="212" t="n"/>
      <c r="H32" s="212" t="n"/>
      <c r="I32" s="212" t="n"/>
      <c r="J32" s="212" t="n"/>
      <c r="K32" s="212" t="n"/>
      <c r="L32" s="212" t="n"/>
      <c r="M32" s="212" t="n"/>
      <c r="N32" s="212" t="n"/>
      <c r="O32" s="212" t="n"/>
      <c r="P32" s="212" t="n"/>
      <c r="Q32" s="212" t="n"/>
      <c r="R32" s="212" t="n"/>
      <c r="S32" s="212" t="n"/>
      <c r="T32" s="212" t="n"/>
    </row>
    <row r="33" ht="15" customHeight="1">
      <c r="A33" s="293" t="n"/>
      <c r="B33" s="462" t="inlineStr">
        <is>
          <t>强度（单位）</t>
        </is>
      </c>
      <c r="C33" s="462" t="inlineStr">
        <is>
          <t>强度数值的单位，例如：欧元、公里、%、等级等</t>
        </is>
      </c>
      <c r="D33" s="288" t="inlineStr">
        <is>
          <t>自由文本</t>
        </is>
      </c>
      <c r="E33" s="288" t="inlineStr">
        <is>
          <t>[按法规中所述的单位填写]</t>
        </is>
      </c>
      <c r="F33" s="396" t="n"/>
      <c r="G33" s="212" t="n"/>
      <c r="H33" s="212" t="n"/>
      <c r="I33" s="212" t="n"/>
      <c r="J33" s="212" t="n"/>
      <c r="K33" s="212" t="n"/>
      <c r="L33" s="212" t="n"/>
      <c r="M33" s="212" t="n"/>
      <c r="N33" s="212" t="n"/>
      <c r="O33" s="212" t="n"/>
      <c r="P33" s="212" t="n"/>
      <c r="Q33" s="212" t="n"/>
      <c r="R33" s="212" t="n"/>
      <c r="S33" s="212" t="n"/>
      <c r="T33" s="212" t="n"/>
    </row>
    <row r="34" ht="15" customHeight="1">
      <c r="A34" s="293" t="n"/>
      <c r="B34" s="462" t="inlineStr">
        <is>
          <t>强度（详情）</t>
        </is>
      </c>
      <c r="C34" s="462" t="inlineStr">
        <is>
          <t>关于强度的进一步详情（如需要）。例如：若强度按公式计算，可提供公式及平均强度值</t>
        </is>
      </c>
      <c r="D34" s="288" t="inlineStr">
        <is>
          <t>自由文本</t>
        </is>
      </c>
      <c r="E34" s="288" t="inlineStr">
        <is>
          <t>N/A</t>
        </is>
      </c>
      <c r="F34" s="396" t="n"/>
      <c r="G34" s="212" t="n"/>
      <c r="H34" s="212" t="n"/>
      <c r="I34" s="212" t="n"/>
      <c r="J34" s="212" t="n"/>
      <c r="K34" s="212" t="n"/>
      <c r="L34" s="212" t="n"/>
      <c r="M34" s="212" t="n"/>
      <c r="N34" s="212" t="n"/>
      <c r="O34" s="212" t="n"/>
      <c r="P34" s="212" t="n"/>
      <c r="Q34" s="212" t="n"/>
      <c r="R34" s="212" t="n"/>
      <c r="S34" s="212" t="n"/>
      <c r="T34" s="212" t="n"/>
    </row>
    <row r="35" ht="15" customHeight="1">
      <c r="A35" s="293" t="n"/>
      <c r="B35" s="462" t="inlineStr">
        <is>
          <t>要求说明</t>
        </is>
      </c>
      <c r="C35" s="462" t="inlineStr">
        <is>
          <t>若强度因某项尚未在资产、活动或主体属性中体现的要求而变化，且该要求对理解和描述该政策工具有意义，则在此填写该项要求。</t>
        </is>
      </c>
      <c r="D35" s="288" t="inlineStr">
        <is>
          <t>自由文本</t>
        </is>
      </c>
      <c r="E35" s="288" t="inlineStr">
        <is>
          <t>N/A</t>
        </is>
      </c>
      <c r="F35" s="396" t="n"/>
      <c r="G35" s="212" t="n"/>
      <c r="H35" s="212" t="n"/>
      <c r="I35" s="212" t="n"/>
      <c r="J35" s="212" t="n"/>
      <c r="K35" s="212" t="n"/>
      <c r="L35" s="212" t="n"/>
      <c r="M35" s="212" t="n"/>
      <c r="N35" s="212" t="n"/>
      <c r="O35" s="212" t="n"/>
      <c r="P35" s="212" t="n"/>
      <c r="Q35" s="212" t="n"/>
      <c r="R35" s="212" t="n"/>
      <c r="S35" s="212" t="n"/>
      <c r="T35" s="212" t="n"/>
    </row>
    <row r="36" ht="15" customHeight="1">
      <c r="A36" s="293" t="n"/>
      <c r="B36" s="462" t="inlineStr">
        <is>
          <t>合规计算方法I</t>
        </is>
      </c>
      <c r="C36" s="462" t="inlineStr">
        <is>
          <t>指明该工具适用于单个受规制资产，还是资产的加总（例如其总产量、总运营量或总销量）。</t>
        </is>
      </c>
      <c r="D36" s="288" t="inlineStr">
        <is>
          <t>自由文本</t>
        </is>
      </c>
      <c r="E36" s="288" t="inlineStr">
        <is>
          <t>N/A</t>
        </is>
      </c>
      <c r="F36" s="396" t="n"/>
      <c r="G36" s="212" t="n"/>
      <c r="H36" s="212" t="n"/>
      <c r="I36" s="212" t="n"/>
      <c r="J36" s="212" t="n"/>
      <c r="K36" s="212" t="n"/>
      <c r="L36" s="212" t="n"/>
      <c r="M36" s="212" t="n"/>
      <c r="N36" s="212" t="n"/>
      <c r="O36" s="212" t="n"/>
      <c r="P36" s="212" t="n"/>
      <c r="Q36" s="212" t="n"/>
      <c r="R36" s="212" t="n"/>
      <c r="S36" s="212" t="n"/>
      <c r="T36" s="212" t="n"/>
    </row>
    <row r="37" ht="15" customHeight="1">
      <c r="A37" s="282" t="n"/>
      <c r="B37" s="462" t="inlineStr">
        <is>
          <t>合规计算方法II</t>
        </is>
      </c>
      <c r="C37" s="462" t="inlineStr">
        <is>
          <t>描述用于评估是否满足该工具要求的方法或规则。</t>
        </is>
      </c>
      <c r="D37" s="288" t="inlineStr">
        <is>
          <t>自由文本</t>
        </is>
      </c>
      <c r="E37" s="288" t="inlineStr">
        <is>
          <t>N/A</t>
        </is>
      </c>
      <c r="F37" s="396" t="n"/>
      <c r="G37" s="212" t="n"/>
      <c r="H37" s="212" t="n"/>
      <c r="I37" s="212" t="n"/>
      <c r="J37" s="212" t="n"/>
      <c r="K37" s="212" t="n"/>
      <c r="L37" s="212" t="n"/>
      <c r="M37" s="212" t="n"/>
      <c r="N37" s="212" t="n"/>
      <c r="O37" s="212" t="n"/>
      <c r="P37" s="212" t="n"/>
      <c r="Q37" s="212" t="n"/>
      <c r="R37" s="212" t="n"/>
      <c r="S37" s="212" t="n"/>
      <c r="T37" s="212" t="n"/>
    </row>
    <row r="38" ht="15" customHeight="1">
      <c r="A38" s="464" t="inlineStr">
        <is>
          <t>立法参考</t>
        </is>
      </c>
      <c r="B38" s="462" t="inlineStr">
        <is>
          <t>法律文件名称</t>
        </is>
      </c>
      <c r="C38" s="462" t="inlineStr">
        <is>
          <t>设立或（修订后）修改该工具的相关法律文件名称及章和/或条款</t>
        </is>
      </c>
      <c r="D38" s="288" t="inlineStr">
        <is>
          <t>自由文本</t>
        </is>
      </c>
      <c r="E38" s="288" t="inlineStr">
        <is>
          <t>N/A</t>
        </is>
      </c>
      <c r="F38" s="396" t="n"/>
      <c r="G38" s="212" t="n"/>
      <c r="H38" s="212" t="n"/>
      <c r="I38" s="212" t="n"/>
      <c r="J38" s="212" t="n"/>
      <c r="K38" s="212" t="n"/>
      <c r="L38" s="212" t="n"/>
      <c r="M38" s="212" t="n"/>
      <c r="N38" s="212" t="n"/>
      <c r="O38" s="212" t="n"/>
      <c r="P38" s="212" t="n"/>
      <c r="Q38" s="212" t="n"/>
      <c r="R38" s="212" t="n"/>
      <c r="S38" s="212" t="n"/>
      <c r="T38" s="212" t="n"/>
    </row>
    <row r="39" ht="15" customHeight="1">
      <c r="A39" s="293" t="n"/>
      <c r="B39" s="462" t="inlineStr">
        <is>
          <t>法律文件链接</t>
        </is>
      </c>
      <c r="C39" s="462" t="inlineStr">
        <is>
          <t>设立或（修订后）修改该工具的相关法律文件网页链接</t>
        </is>
      </c>
      <c r="D39" s="288" t="inlineStr">
        <is>
          <t>自由文本</t>
        </is>
      </c>
      <c r="E39" s="288" t="inlineStr">
        <is>
          <t>N/A</t>
        </is>
      </c>
      <c r="F39" s="396" t="n"/>
      <c r="G39" s="212" t="n"/>
      <c r="H39" s="212" t="n"/>
      <c r="I39" s="212" t="n"/>
      <c r="J39" s="212" t="n"/>
      <c r="K39" s="212" t="n"/>
      <c r="L39" s="212" t="n"/>
      <c r="M39" s="212" t="n"/>
      <c r="N39" s="212" t="n"/>
      <c r="O39" s="212" t="n"/>
      <c r="P39" s="212" t="n"/>
      <c r="Q39" s="212" t="n"/>
      <c r="R39" s="212" t="n"/>
      <c r="S39" s="212" t="n"/>
      <c r="T39" s="212" t="n"/>
    </row>
    <row r="40" ht="15" customHeight="1">
      <c r="A40" s="282" t="n"/>
      <c r="B40" s="462" t="inlineStr">
        <is>
          <t>其他网页链接</t>
        </is>
      </c>
      <c r="C40" s="462" t="inlineStr">
        <is>
          <t>其他相关网站的网页链接</t>
        </is>
      </c>
      <c r="D40" s="288" t="inlineStr">
        <is>
          <t>自由文本</t>
        </is>
      </c>
      <c r="E40" s="288" t="inlineStr">
        <is>
          <t>N/A</t>
        </is>
      </c>
      <c r="F40" s="396" t="n"/>
      <c r="G40" s="212" t="n"/>
      <c r="H40" s="212" t="n"/>
      <c r="I40" s="212" t="n"/>
      <c r="J40" s="212" t="n"/>
      <c r="K40" s="212" t="n"/>
      <c r="L40" s="212" t="n"/>
      <c r="M40" s="212" t="n"/>
      <c r="N40" s="212" t="n"/>
      <c r="O40" s="212" t="n"/>
      <c r="P40" s="212" t="n"/>
      <c r="Q40" s="212" t="n"/>
      <c r="R40" s="212" t="n"/>
      <c r="S40" s="212" t="n"/>
      <c r="T40" s="212" t="n"/>
    </row>
    <row r="41" ht="15" customHeight="1">
      <c r="A41" s="464" t="inlineStr">
        <is>
          <t>温室气体排放基础</t>
        </is>
      </c>
      <c r="B41" s="462" t="inlineStr">
        <is>
          <t>温室气体排放覆盖（绝对量）</t>
        </is>
      </c>
      <c r="C41" s="462" t="inlineStr">
        <is>
          <t>该工具排放基数（覆盖的排放量）的绝对值量化</t>
        </is>
      </c>
      <c r="D41" s="288" t="inlineStr">
        <is>
          <t>数值</t>
        </is>
      </c>
      <c r="E41" s="288" t="inlineStr">
        <is>
          <t>单位：千吨CO2当量</t>
        </is>
      </c>
      <c r="F41" s="465" t="n"/>
      <c r="G41" s="466" t="n"/>
      <c r="H41" s="466" t="n"/>
      <c r="I41" s="467" t="n"/>
      <c r="J41" s="212" t="n"/>
      <c r="K41" s="212" t="n"/>
      <c r="L41" s="212" t="n"/>
      <c r="M41" s="212" t="n"/>
      <c r="N41" s="212" t="n"/>
      <c r="O41" s="212" t="n"/>
      <c r="P41" s="212" t="n"/>
      <c r="Q41" s="212" t="n"/>
      <c r="R41" s="212" t="n"/>
      <c r="S41" s="212" t="n"/>
      <c r="T41" s="212" t="n"/>
    </row>
    <row r="42" ht="15" customHeight="1">
      <c r="A42" s="282" t="n"/>
      <c r="B42" s="462" t="inlineStr">
        <is>
          <t>温室气体排放覆盖（占国内排放百分比）</t>
        </is>
      </c>
      <c r="C42" s="462" t="inlineStr">
        <is>
          <t>该工具排放基数相对于国内总排放量的量化</t>
        </is>
      </c>
      <c r="D42" s="288" t="inlineStr">
        <is>
          <t>数值</t>
        </is>
      </c>
      <c r="E42" s="288" t="inlineStr">
        <is>
          <t>占国内排放量的百分比</t>
        </is>
      </c>
      <c r="F42" s="465" t="n"/>
      <c r="G42" s="466" t="n"/>
      <c r="H42" s="466" t="n"/>
      <c r="I42" s="467" t="n"/>
      <c r="J42" s="212" t="n"/>
      <c r="K42" s="212" t="n"/>
      <c r="L42" s="212" t="n"/>
      <c r="M42" s="212" t="n"/>
      <c r="N42" s="212" t="n"/>
      <c r="O42" s="212" t="n"/>
      <c r="P42" s="212" t="n"/>
      <c r="Q42" s="212" t="n"/>
      <c r="R42" s="212" t="n"/>
      <c r="S42" s="212" t="n"/>
      <c r="T42" s="212" t="n"/>
    </row>
    <row r="43" ht="15" customHeight="1">
      <c r="A43" s="464" t="inlineStr">
        <is>
          <t>分类与指标</t>
        </is>
      </c>
      <c r="B43" s="462" t="inlineStr">
        <is>
          <t>经济行业</t>
        </is>
      </c>
      <c r="C43" s="462" t="inlineStr">
        <is>
          <t>基于受规制主体的分类。若受规制主体为企业，则按《所有经济活动的国际标准行业分类》（ISIC）划分行业</t>
        </is>
      </c>
      <c r="D43" s="288" t="inlineStr">
        <is>
          <t>分类</t>
        </is>
      </c>
      <c r="E43" s="288" t="inlineStr">
        <is>
          <t>ISIC两位数分类</t>
        </is>
      </c>
      <c r="F43" s="396" t="n"/>
      <c r="G43" s="212" t="n"/>
      <c r="H43" s="212" t="n"/>
      <c r="I43" s="212" t="n"/>
      <c r="J43" s="212" t="n"/>
      <c r="K43" s="212" t="n"/>
      <c r="L43" s="212" t="n"/>
      <c r="M43" s="212" t="n"/>
      <c r="N43" s="212" t="n"/>
      <c r="O43" s="212" t="n"/>
      <c r="P43" s="212" t="n"/>
      <c r="Q43" s="212" t="n"/>
      <c r="R43" s="212" t="n"/>
      <c r="S43" s="212" t="n"/>
      <c r="T43" s="212" t="n"/>
    </row>
    <row r="44" ht="15" customHeight="1">
      <c r="A44" s="293" t="n"/>
      <c r="B44" s="462" t="inlineStr">
        <is>
          <t>受影响的温室气体</t>
        </is>
      </c>
      <c r="C44" s="462" t="inlineStr">
        <is>
          <t>受规制的温室气体（若直接规制）；否则填写可能受该工具影响的温室气体。</t>
        </is>
      </c>
      <c r="D44" s="288" t="inlineStr">
        <is>
          <t>分类</t>
        </is>
      </c>
      <c r="E44" s="288" t="inlineStr">
        <is>
          <t>CO2; CH4; N2O; SF6; HFCs; PFCs; NF3</t>
        </is>
      </c>
      <c r="F44" s="396" t="n"/>
      <c r="G44" s="212" t="n"/>
      <c r="H44" s="212" t="n"/>
      <c r="I44" s="212" t="n"/>
      <c r="J44" s="212" t="n"/>
      <c r="K44" s="212" t="n"/>
      <c r="L44" s="212" t="n"/>
      <c r="M44" s="212" t="n"/>
      <c r="N44" s="212" t="n"/>
      <c r="O44" s="212" t="n"/>
      <c r="P44" s="212" t="n"/>
      <c r="Q44" s="212" t="n"/>
      <c r="R44" s="212" t="n"/>
      <c r="S44" s="212" t="n"/>
      <c r="T44" s="212" t="n"/>
    </row>
    <row r="45" ht="15" customHeight="1">
      <c r="A45" s="293" t="n"/>
      <c r="B45" s="462" t="inlineStr">
        <is>
          <t>减缓效果</t>
        </is>
      </c>
      <c r="C45" s="462" t="inlineStr">
        <is>
          <t>描述该工具对温室气体排放/碳汇的影响可能为正、为负还是未知</t>
        </is>
      </c>
      <c r="D45" s="288" t="inlineStr">
        <is>
          <t>分类</t>
        </is>
      </c>
      <c r="E45" s="288" t="inlineStr">
        <is>
          <t>正向；负向；中性；未知</t>
        </is>
      </c>
      <c r="F45" s="396" t="n"/>
      <c r="G45" s="212" t="n"/>
      <c r="H45" s="212" t="n"/>
      <c r="I45" s="212" t="n"/>
      <c r="J45" s="212" t="n"/>
      <c r="K45" s="212" t="n"/>
      <c r="L45" s="212" t="n"/>
      <c r="M45" s="212" t="n"/>
      <c r="N45" s="212" t="n"/>
      <c r="O45" s="212" t="n"/>
      <c r="P45" s="212" t="n"/>
      <c r="Q45" s="212" t="n"/>
      <c r="R45" s="212" t="n"/>
      <c r="S45" s="212" t="n"/>
      <c r="T45" s="212" t="n"/>
    </row>
    <row r="46" ht="15" customHeight="1">
      <c r="A46" s="282" t="n"/>
      <c r="B46" s="462" t="inlineStr">
        <is>
          <t>减缓协同效益</t>
        </is>
      </c>
      <c r="C46" s="462" t="inlineStr">
        <is>
          <t>实施气候变化减缓措施所产生、经IFCMA秘书处识别的减缓之外的其他积极成果或效益。</t>
        </is>
      </c>
      <c r="D46" s="288" t="inlineStr">
        <is>
          <t>分类</t>
        </is>
      </c>
      <c r="E46" s="288" t="inlineStr">
        <is>
          <t>适应；空气污染；能源供应安全；技术创新；减贫；就业；产业发展；其他（非穷尽清单，当前选项基于IPCC）</t>
        </is>
      </c>
      <c r="F46" s="396" t="n"/>
      <c r="G46" s="212" t="n"/>
      <c r="H46" s="212" t="n"/>
      <c r="I46" s="212" t="n"/>
      <c r="J46" s="212" t="n"/>
      <c r="K46" s="212" t="n"/>
      <c r="L46" s="212" t="n"/>
      <c r="M46" s="212" t="n"/>
      <c r="N46" s="212" t="n"/>
      <c r="O46" s="212" t="n"/>
      <c r="P46" s="212" t="n"/>
      <c r="Q46" s="212" t="n"/>
      <c r="R46" s="212" t="n"/>
      <c r="S46" s="212" t="n"/>
      <c r="T46" s="212" t="n"/>
    </row>
    <row r="47" ht="15" customHeight="1">
      <c r="A47" s="460" t="inlineStr">
        <is>
          <t>工具类型专属属性</t>
        </is>
      </c>
      <c r="B47" s="261" t="n"/>
      <c r="C47" s="261" t="n"/>
      <c r="D47" s="261" t="n"/>
      <c r="E47" s="262" t="n"/>
      <c r="F47" s="396" t="n"/>
      <c r="G47" s="212" t="n"/>
      <c r="H47" s="212" t="n"/>
      <c r="I47" s="212" t="n"/>
      <c r="J47" s="212" t="n"/>
      <c r="K47" s="212" t="n"/>
      <c r="L47" s="212" t="n"/>
      <c r="M47" s="212" t="n"/>
      <c r="N47" s="212" t="n"/>
      <c r="O47" s="212" t="n"/>
      <c r="P47" s="212" t="n"/>
      <c r="Q47" s="212" t="n"/>
      <c r="R47" s="212" t="n"/>
      <c r="S47" s="212" t="n"/>
      <c r="T47" s="212" t="n"/>
    </row>
    <row r="48" ht="15" customHeight="1">
      <c r="A48" s="464" t="inlineStr">
        <is>
          <t>税收</t>
        </is>
      </c>
      <c r="B48" s="468" t="inlineStr">
        <is>
          <t>税收及激励：年度收入</t>
        </is>
      </c>
      <c r="C48" s="468" t="inlineStr">
        <is>
          <t>所记录税收的税收收入</t>
        </is>
      </c>
      <c r="D48" s="468" t="inlineStr">
        <is>
          <t>数值</t>
        </is>
      </c>
      <c r="E48" s="468" t="inlineStr">
        <is>
          <t>单位：百万本币、美元或其他适用货币</t>
        </is>
      </c>
      <c r="F48" s="469" t="n"/>
      <c r="G48" s="470" t="n"/>
      <c r="H48" s="470" t="n"/>
      <c r="I48" s="470" t="n"/>
      <c r="J48" s="470" t="n"/>
      <c r="K48" s="470" t="n"/>
      <c r="L48" s="470" t="n"/>
      <c r="M48" s="470" t="n"/>
      <c r="N48" s="470" t="n"/>
      <c r="O48" s="470" t="n"/>
      <c r="P48" s="470" t="n"/>
      <c r="Q48" s="470" t="n"/>
      <c r="R48" s="470" t="n"/>
      <c r="S48" s="470" t="n"/>
      <c r="T48" s="470" t="n"/>
    </row>
    <row r="49" ht="15" customHeight="1">
      <c r="A49" s="293" t="n"/>
      <c r="B49" s="288" t="inlineStr">
        <is>
          <t>税收及激励：专项资金</t>
        </is>
      </c>
      <c r="C49" s="288" t="inlineStr">
        <is>
          <t>由该税收收入资助的政策（即使该政策未收录于本数据库，也在此记录）</t>
        </is>
      </c>
      <c r="D49" s="288" t="inlineStr">
        <is>
          <t>自由文本或二元</t>
        </is>
      </c>
      <c r="E49" s="288" t="inlineStr">
        <is>
          <t>受资助政策工具的工具ID；若受资助政策未收录于本数据库，则填“专项资金”</t>
        </is>
      </c>
      <c r="F49" s="396" t="n"/>
      <c r="G49" s="212" t="n"/>
      <c r="H49" s="212" t="n"/>
      <c r="I49" s="212" t="n"/>
      <c r="J49" s="212" t="n"/>
      <c r="K49" s="212" t="n"/>
      <c r="L49" s="212" t="n"/>
      <c r="M49" s="212" t="n"/>
      <c r="N49" s="212" t="n"/>
      <c r="O49" s="212" t="n"/>
      <c r="P49" s="212" t="n"/>
      <c r="Q49" s="212" t="n"/>
      <c r="R49" s="212" t="n"/>
      <c r="S49" s="212" t="n"/>
      <c r="T49" s="212" t="n"/>
    </row>
    <row r="50" ht="15" customHeight="1">
      <c r="A50" s="282" t="n"/>
      <c r="B50" s="288" t="inlineStr">
        <is>
          <t>税收及激励：年度收入减免</t>
        </is>
      </c>
      <c r="C50" s="288" t="inlineStr">
        <is>
          <t>若为税收优惠，填写因该税收优惠而造成的税收收入估计损失（按该工具的记录年份填写）</t>
        </is>
      </c>
      <c r="D50" s="288" t="inlineStr">
        <is>
          <t>数值</t>
        </is>
      </c>
      <c r="E50" s="288" t="inlineStr">
        <is>
          <t>单位：百万本币、美元或其他适用货币</t>
        </is>
      </c>
      <c r="F50" s="396" t="n"/>
      <c r="G50" s="212" t="n"/>
      <c r="H50" s="212" t="n"/>
      <c r="I50" s="212" t="n"/>
      <c r="J50" s="212" t="n"/>
      <c r="K50" s="212" t="n"/>
      <c r="L50" s="212" t="n"/>
      <c r="M50" s="212" t="n"/>
      <c r="N50" s="212" t="n"/>
      <c r="O50" s="212" t="n"/>
      <c r="P50" s="212" t="n"/>
      <c r="Q50" s="212" t="n"/>
      <c r="R50" s="212" t="n"/>
      <c r="S50" s="212" t="n"/>
      <c r="T50" s="212" t="n"/>
    </row>
    <row r="51" ht="15" customHeight="1">
      <c r="A51" s="464" t="inlineStr">
        <is>
          <t>补贴</t>
        </is>
      </c>
      <c r="B51" s="288" t="inlineStr">
        <is>
          <t>补贴：年度预算/支出</t>
        </is>
      </c>
      <c r="C51" s="288" t="inlineStr">
        <is>
          <t>数据收集年份之前一年安排的财政拨款或预算</t>
        </is>
      </c>
      <c r="D51" s="288" t="inlineStr">
        <is>
          <t>数值</t>
        </is>
      </c>
      <c r="E51" s="288" t="inlineStr">
        <is>
          <t>单位：百万本币、美元或其他适用货币</t>
        </is>
      </c>
      <c r="F51" s="396" t="n"/>
      <c r="G51" s="212" t="n"/>
      <c r="H51" s="212" t="n"/>
      <c r="I51" s="212" t="n"/>
      <c r="J51" s="212" t="n"/>
      <c r="K51" s="212" t="n"/>
      <c r="L51" s="212" t="n"/>
      <c r="M51" s="212" t="n"/>
      <c r="N51" s="212" t="n"/>
      <c r="O51" s="212" t="n"/>
      <c r="P51" s="212" t="n"/>
      <c r="Q51" s="212" t="n"/>
      <c r="R51" s="212" t="n"/>
      <c r="S51" s="212" t="n"/>
      <c r="T51" s="212" t="n"/>
    </row>
    <row r="52" ht="15" customHeight="1">
      <c r="A52" s="293" t="n"/>
      <c r="B52" s="288" t="inlineStr">
        <is>
          <t>补贴：限额</t>
        </is>
      </c>
      <c r="C52" s="288" t="inlineStr">
        <is>
          <t>该工具整个存续期内的财政拨款总额或预算总额、受补贴资产数量（容量上限）、补贴时间范围或补贴总额的其他限制</t>
        </is>
      </c>
      <c r="D52" s="288" t="inlineStr">
        <is>
          <t>数值</t>
        </is>
      </c>
      <c r="E52" s="288" t="inlineStr">
        <is>
          <t>单位：本币、美元或其他适用货币</t>
        </is>
      </c>
      <c r="F52" s="396" t="n"/>
      <c r="G52" s="212" t="n"/>
      <c r="H52" s="212" t="n"/>
      <c r="I52" s="212" t="n"/>
      <c r="J52" s="212" t="n"/>
      <c r="K52" s="212" t="n"/>
      <c r="L52" s="212" t="n"/>
      <c r="M52" s="212" t="n"/>
      <c r="N52" s="212" t="n"/>
      <c r="O52" s="212" t="n"/>
      <c r="P52" s="212" t="n"/>
      <c r="Q52" s="212" t="n"/>
      <c r="R52" s="212" t="n"/>
      <c r="S52" s="212" t="n"/>
      <c r="T52" s="212" t="n"/>
    </row>
    <row r="53" ht="15" customHeight="1">
      <c r="A53" s="293" t="n"/>
      <c r="B53" s="288" t="inlineStr">
        <is>
          <t>补贴：分配机制</t>
        </is>
      </c>
      <c r="C53" s="288" t="inlineStr">
        <is>
          <t>补贴发放的机制</t>
        </is>
      </c>
      <c r="D53" s="288" t="inlineStr">
        <is>
          <t>分类</t>
        </is>
      </c>
      <c r="E53" s="288" t="inlineStr">
        <is>
          <t>从清单中选择，例如：拍卖方式、默认分配、抽签等</t>
        </is>
      </c>
      <c r="F53" s="396" t="n"/>
      <c r="G53" s="212" t="n"/>
      <c r="H53" s="212" t="n"/>
      <c r="I53" s="212" t="n"/>
      <c r="J53" s="212" t="n"/>
      <c r="K53" s="212" t="n"/>
      <c r="L53" s="212" t="n"/>
      <c r="M53" s="212" t="n"/>
      <c r="N53" s="212" t="n"/>
      <c r="O53" s="212" t="n"/>
      <c r="P53" s="212" t="n"/>
      <c r="Q53" s="212" t="n"/>
      <c r="R53" s="212" t="n"/>
      <c r="S53" s="212" t="n"/>
      <c r="T53" s="212" t="n"/>
    </row>
    <row r="54" ht="15" customHeight="1">
      <c r="A54" s="293" t="n"/>
      <c r="B54" s="288" t="inlineStr">
        <is>
          <t>补贴：执行机制</t>
        </is>
      </c>
      <c r="C54" s="288" t="inlineStr">
        <is>
          <t>若设定了绩效要求，未达标时如何处罚</t>
        </is>
      </c>
      <c r="D54" s="288" t="inlineStr">
        <is>
          <t>分类，可补充详情</t>
        </is>
      </c>
      <c r="E54" s="288" t="inlineStr">
        <is>
          <t>行政处罚（如警告、撤销许可）；法律行动（如起诉）；罚款</t>
        </is>
      </c>
      <c r="F54" s="396" t="n"/>
      <c r="G54" s="212" t="n"/>
      <c r="H54" s="212" t="n"/>
      <c r="I54" s="212" t="n"/>
      <c r="J54" s="212" t="n"/>
      <c r="K54" s="212" t="n"/>
      <c r="L54" s="212" t="n"/>
      <c r="M54" s="212" t="n"/>
      <c r="N54" s="212" t="n"/>
      <c r="O54" s="212" t="n"/>
      <c r="P54" s="212" t="n"/>
      <c r="Q54" s="212" t="n"/>
      <c r="R54" s="212" t="n"/>
      <c r="S54" s="212" t="n"/>
      <c r="T54" s="212" t="n"/>
    </row>
    <row r="55" ht="15" customHeight="1">
      <c r="A55" s="293" t="n"/>
      <c r="B55" s="288" t="inlineStr">
        <is>
          <t>补贴：下限或上限</t>
        </is>
      </c>
      <c r="C55" s="288" t="inlineStr">
        <is>
          <t>每年（按该工具的记录年份）补贴设定的下限或上限，指明补贴金额必须落在的区间。</t>
        </is>
      </c>
      <c r="D55" s="288" t="inlineStr">
        <is>
          <t>数值</t>
        </is>
      </c>
      <c r="E55" s="288" t="inlineStr">
        <is>
          <t>以本币计</t>
        </is>
      </c>
      <c r="F55" s="396" t="n"/>
      <c r="G55" s="212" t="n"/>
      <c r="H55" s="212" t="n"/>
      <c r="I55" s="212" t="n"/>
      <c r="J55" s="212" t="n"/>
      <c r="K55" s="212" t="n"/>
      <c r="L55" s="212" t="n"/>
      <c r="M55" s="212" t="n"/>
      <c r="N55" s="212" t="n"/>
      <c r="O55" s="212" t="n"/>
      <c r="P55" s="212" t="n"/>
      <c r="Q55" s="212" t="n"/>
      <c r="R55" s="212" t="n"/>
      <c r="S55" s="212" t="n"/>
      <c r="T55" s="212" t="n"/>
    </row>
    <row r="56" ht="15" customHeight="1">
      <c r="A56" s="293" t="n"/>
      <c r="B56" s="288" t="inlineStr">
        <is>
          <t>补贴：支持期限</t>
        </is>
      </c>
      <c r="C56" s="288" t="inlineStr">
        <is>
          <t>提供支持的时长（合同期限、年度付款等）</t>
        </is>
      </c>
      <c r="D56" s="288" t="inlineStr">
        <is>
          <t>自由文本</t>
        </is>
      </c>
      <c r="E56" s="288" t="inlineStr">
        <is>
          <t>以年或月表示</t>
        </is>
      </c>
      <c r="F56" s="396" t="n"/>
      <c r="G56" s="212" t="n"/>
      <c r="H56" s="212" t="n"/>
      <c r="I56" s="212" t="n"/>
      <c r="J56" s="212" t="n"/>
      <c r="K56" s="212" t="n"/>
      <c r="L56" s="212" t="n"/>
      <c r="M56" s="212" t="n"/>
      <c r="N56" s="212" t="n"/>
      <c r="O56" s="212" t="n"/>
      <c r="P56" s="212" t="n"/>
      <c r="Q56" s="212" t="n"/>
      <c r="R56" s="212" t="n"/>
      <c r="S56" s="212" t="n"/>
      <c r="T56" s="212" t="n"/>
    </row>
    <row r="57" ht="15" customHeight="1">
      <c r="A57" s="282" t="n"/>
      <c r="B57" s="288" t="inlineStr">
        <is>
          <t>补贴：监测机制</t>
        </is>
      </c>
      <c r="C57" s="288" t="inlineStr">
        <is>
          <t>任何监测方案</t>
        </is>
      </c>
      <c r="D57" s="288" t="inlineStr">
        <is>
          <t>分类，可补充详情</t>
        </is>
      </c>
      <c r="E57" s="288" t="n"/>
      <c r="F57" s="396" t="n"/>
      <c r="G57" s="212" t="n"/>
      <c r="H57" s="212" t="n"/>
      <c r="I57" s="212" t="n"/>
      <c r="J57" s="212" t="n"/>
      <c r="K57" s="212" t="n"/>
      <c r="L57" s="212" t="n"/>
      <c r="M57" s="212" t="n"/>
      <c r="N57" s="212" t="n"/>
      <c r="O57" s="212" t="n"/>
      <c r="P57" s="212" t="n"/>
      <c r="Q57" s="212" t="n"/>
      <c r="R57" s="212" t="n"/>
      <c r="S57" s="212" t="n"/>
      <c r="T57" s="212" t="n"/>
    </row>
    <row r="58" ht="15" customHeight="1">
      <c r="A58" s="464" t="inlineStr">
        <is>
          <t>交易系统</t>
        </is>
      </c>
      <c r="B58" s="288" t="inlineStr">
        <is>
          <t>交易系统：类型</t>
        </is>
      </c>
      <c r="C58" s="288" t="inlineStr">
        <is>
          <t>现行交易系统，即交易配额还是信用</t>
        </is>
      </c>
      <c r="D58" s="288" t="inlineStr">
        <is>
          <t>分类</t>
        </is>
      </c>
      <c r="E58" s="288" t="inlineStr">
        <is>
          <t>从清单中选择，例如：配额、信用等</t>
        </is>
      </c>
      <c r="F58" s="396" t="n"/>
      <c r="G58" s="212" t="n"/>
      <c r="H58" s="212" t="n"/>
      <c r="I58" s="212" t="n"/>
      <c r="J58" s="212" t="n"/>
      <c r="K58" s="212" t="n"/>
      <c r="L58" s="212" t="n"/>
      <c r="M58" s="212" t="n"/>
      <c r="N58" s="212" t="n"/>
      <c r="O58" s="212" t="n"/>
      <c r="P58" s="212" t="n"/>
      <c r="Q58" s="212" t="n"/>
      <c r="R58" s="212" t="n"/>
      <c r="S58" s="212" t="n"/>
      <c r="T58" s="212" t="n"/>
    </row>
    <row r="59" ht="15" customHeight="1">
      <c r="A59" s="293" t="n"/>
      <c r="B59" s="288" t="inlineStr">
        <is>
          <t>交易系统：总量上限</t>
        </is>
      </c>
      <c r="C59" s="288" t="inlineStr">
        <is>
          <t>温室气体总量控制与交易或排放交易体系下，特定时期内允许的温室气体排放总量上限；若填写此格，则该工具属于配额类，否则属于信用类（与UNFCCC报告相关）</t>
        </is>
      </c>
      <c r="D59" s="288" t="inlineStr">
        <is>
          <t>自由文本</t>
        </is>
      </c>
      <c r="E59" s="288" t="inlineStr">
        <is>
          <t>排放交易体系填写CO2当量；若今后覆盖其他交易系统（如农业氮交易），可填写其他单位</t>
        </is>
      </c>
      <c r="F59" s="396" t="n"/>
      <c r="G59" s="212" t="n"/>
      <c r="H59" s="212" t="n"/>
      <c r="I59" s="212" t="n"/>
      <c r="J59" s="212" t="n"/>
      <c r="K59" s="212" t="n"/>
      <c r="L59" s="212" t="n"/>
      <c r="M59" s="212" t="n"/>
      <c r="N59" s="212" t="n"/>
      <c r="O59" s="212" t="n"/>
      <c r="P59" s="212" t="n"/>
      <c r="Q59" s="212" t="n"/>
      <c r="R59" s="212" t="n"/>
      <c r="S59" s="212" t="n"/>
      <c r="T59" s="212" t="n"/>
    </row>
    <row r="60" ht="15" customHeight="1">
      <c r="A60" s="293" t="n"/>
      <c r="B60" s="288" t="inlineStr">
        <is>
          <t>交易系统：配额分配机制</t>
        </is>
      </c>
      <c r="C60" s="288" t="inlineStr">
        <is>
          <t>交易系统内分配排放配额所采用的制度或方法，说明主体如何获得配额、配额规模以及可能的其他方面</t>
        </is>
      </c>
      <c r="D60" s="288" t="inlineStr">
        <is>
          <t>自由文本</t>
        </is>
      </c>
      <c r="E60" s="288" t="inlineStr">
        <is>
          <t>免费配额；拍卖；两者混合</t>
        </is>
      </c>
      <c r="F60" s="396" t="n"/>
      <c r="G60" s="212" t="n"/>
      <c r="H60" s="212" t="n"/>
      <c r="I60" s="212" t="n"/>
      <c r="J60" s="212" t="n"/>
      <c r="K60" s="212" t="n"/>
      <c r="L60" s="212" t="n"/>
      <c r="M60" s="212" t="n"/>
      <c r="N60" s="212" t="n"/>
      <c r="O60" s="212" t="n"/>
      <c r="P60" s="212" t="n"/>
      <c r="Q60" s="212" t="n"/>
      <c r="R60" s="212" t="n"/>
      <c r="S60" s="212" t="n"/>
      <c r="T60" s="212" t="n"/>
    </row>
    <row r="61" ht="15" customHeight="1">
      <c r="A61" s="293" t="n"/>
      <c r="B61" s="288" t="inlineStr">
        <is>
          <t>交易系统：免费配额</t>
        </is>
      </c>
      <c r="C61" s="288" t="inlineStr">
        <is>
          <t>免费配额占比</t>
        </is>
      </c>
      <c r="D61" s="288" t="inlineStr">
        <is>
          <t>数值</t>
        </is>
      </c>
      <c r="E61" s="288" t="inlineStr">
        <is>
          <t>以百分比表示</t>
        </is>
      </c>
      <c r="F61" s="396" t="n"/>
      <c r="G61" s="212" t="n"/>
      <c r="H61" s="212" t="n"/>
      <c r="I61" s="212" t="n"/>
      <c r="J61" s="212" t="n"/>
      <c r="K61" s="212" t="n"/>
      <c r="L61" s="212" t="n"/>
      <c r="M61" s="212" t="n"/>
      <c r="N61" s="212" t="n"/>
      <c r="O61" s="212" t="n"/>
      <c r="P61" s="212" t="n"/>
      <c r="Q61" s="212" t="n"/>
      <c r="R61" s="212" t="n"/>
      <c r="S61" s="212" t="n"/>
      <c r="T61" s="212" t="n"/>
    </row>
    <row r="62" ht="15" customHeight="1">
      <c r="A62" s="293" t="n"/>
      <c r="B62" s="288" t="inlineStr">
        <is>
          <t>交易系统：交易量</t>
        </is>
      </c>
      <c r="C62" s="288" t="inlineStr">
        <is>
          <t>收集年份前一年的交易量</t>
        </is>
      </c>
      <c r="D62" s="288" t="inlineStr">
        <is>
          <t>数值</t>
        </is>
      </c>
      <c r="E62" s="288" t="inlineStr">
        <is>
          <t>N/A</t>
        </is>
      </c>
      <c r="F62" s="396" t="n"/>
      <c r="G62" s="212" t="n"/>
      <c r="H62" s="212" t="n"/>
      <c r="I62" s="212" t="n"/>
      <c r="J62" s="212" t="n"/>
      <c r="K62" s="212" t="n"/>
      <c r="L62" s="212" t="n"/>
      <c r="M62" s="212" t="n"/>
      <c r="N62" s="212" t="n"/>
      <c r="O62" s="212" t="n"/>
      <c r="P62" s="212" t="n"/>
      <c r="Q62" s="212" t="n"/>
      <c r="R62" s="212" t="n"/>
      <c r="S62" s="212" t="n"/>
      <c r="T62" s="212" t="n"/>
    </row>
    <row r="63" ht="15" customHeight="1">
      <c r="A63" s="293" t="n"/>
      <c r="B63" s="288" t="inlineStr">
        <is>
          <t>交易系统：链接</t>
        </is>
      </c>
      <c r="C63" s="288" t="inlineStr">
        <is>
          <t>与其他排放交易体系的链接</t>
        </is>
      </c>
      <c r="D63" s="288" t="inlineStr">
        <is>
          <t>自由文本</t>
        </is>
      </c>
      <c r="E63" s="288" t="inlineStr">
        <is>
          <t>填写相关工具的工具ID（无链接填N/A）</t>
        </is>
      </c>
      <c r="F63" s="396" t="n"/>
      <c r="G63" s="212" t="n"/>
      <c r="H63" s="212" t="n"/>
      <c r="I63" s="212" t="n"/>
      <c r="J63" s="212" t="n"/>
      <c r="K63" s="212" t="n"/>
      <c r="L63" s="212" t="n"/>
      <c r="M63" s="212" t="n"/>
      <c r="N63" s="212" t="n"/>
      <c r="O63" s="212" t="n"/>
      <c r="P63" s="212" t="n"/>
      <c r="Q63" s="212" t="n"/>
      <c r="R63" s="212" t="n"/>
      <c r="S63" s="212" t="n"/>
      <c r="T63" s="212" t="n"/>
    </row>
    <row r="64" ht="15" customHeight="1">
      <c r="A64" s="293" t="n"/>
      <c r="B64" s="288" t="inlineStr">
        <is>
          <t>交易系统：市场稳定机制</t>
        </is>
      </c>
      <c r="C64" s="288" t="inlineStr">
        <is>
          <t>交易系统内是否存在任何旨在稳定市场、防止价格剧烈波动或应对供需失衡的机制或安排。例如：二级市场/抵消与信用</t>
        </is>
      </c>
      <c r="D64" s="288" t="inlineStr">
        <is>
          <t>二元，可补充详情</t>
        </is>
      </c>
      <c r="E64" s="288" t="inlineStr">
        <is>
          <t>是/否</t>
        </is>
      </c>
      <c r="F64" s="396" t="n"/>
      <c r="G64" s="212" t="n"/>
      <c r="H64" s="212" t="n"/>
      <c r="I64" s="212" t="n"/>
      <c r="J64" s="212" t="n"/>
      <c r="K64" s="212" t="n"/>
      <c r="L64" s="212" t="n"/>
      <c r="M64" s="212" t="n"/>
      <c r="N64" s="212" t="n"/>
      <c r="O64" s="212" t="n"/>
      <c r="P64" s="212" t="n"/>
      <c r="Q64" s="212" t="n"/>
      <c r="R64" s="212" t="n"/>
      <c r="S64" s="212" t="n"/>
      <c r="T64" s="212" t="n"/>
    </row>
    <row r="65" ht="15" customHeight="1">
      <c r="A65" s="293" t="n"/>
      <c r="B65" s="288" t="inlineStr">
        <is>
          <t>交易系统：年收入</t>
        </is>
      </c>
      <c r="C65" s="288" t="inlineStr">
        <is>
          <t>交易系统每年产生的收入，包括与排放交易相关的各类费用、罚款或其他资金流（指系统收入，而非政府收入）</t>
        </is>
      </c>
      <c r="D65" s="288" t="inlineStr">
        <is>
          <t>自由文本</t>
        </is>
      </c>
      <c r="E65" s="288" t="inlineStr">
        <is>
          <t>以本币计（收集年份前一年）</t>
        </is>
      </c>
      <c r="F65" s="396" t="n"/>
      <c r="G65" s="212" t="n"/>
      <c r="H65" s="212" t="n"/>
      <c r="I65" s="212" t="n"/>
      <c r="J65" s="212" t="n"/>
      <c r="K65" s="212" t="n"/>
      <c r="L65" s="212" t="n"/>
      <c r="M65" s="212" t="n"/>
      <c r="N65" s="212" t="n"/>
      <c r="O65" s="212" t="n"/>
      <c r="P65" s="212" t="n"/>
      <c r="Q65" s="212" t="n"/>
      <c r="R65" s="212" t="n"/>
      <c r="S65" s="212" t="n"/>
      <c r="T65" s="212" t="n"/>
    </row>
    <row r="66" ht="15" customHeight="1">
      <c r="A66" s="293" t="n"/>
      <c r="B66" s="288" t="inlineStr">
        <is>
          <t>交易系统：允许使用抵消</t>
        </is>
      </c>
      <c r="C66" s="288" t="inlineStr">
        <is>
          <t>允许使用何种抵消的规则或对相关规则的引用；若不允许使用抵消，则填“否”</t>
        </is>
      </c>
      <c r="D66" s="288" t="inlineStr">
        <is>
          <t>自由文本</t>
        </is>
      </c>
      <c r="E66" s="288" t="inlineStr">
        <is>
          <t>无则填“否”；否则描述适用规则</t>
        </is>
      </c>
      <c r="F66" s="396" t="n"/>
      <c r="G66" s="212" t="n"/>
      <c r="H66" s="212" t="n"/>
      <c r="I66" s="212" t="n"/>
      <c r="J66" s="212" t="n"/>
      <c r="K66" s="212" t="n"/>
      <c r="L66" s="212" t="n"/>
      <c r="M66" s="212" t="n"/>
      <c r="N66" s="212" t="n"/>
      <c r="O66" s="212" t="n"/>
      <c r="P66" s="212" t="n"/>
      <c r="Q66" s="212" t="n"/>
      <c r="R66" s="212" t="n"/>
      <c r="S66" s="212" t="n"/>
      <c r="T66" s="212" t="n"/>
    </row>
    <row r="67" ht="15" customHeight="1">
      <c r="A67" s="282" t="n"/>
      <c r="B67" s="288" t="inlineStr">
        <is>
          <t>交易系统：违规处罚</t>
        </is>
      </c>
      <c r="C67" s="288" t="inlineStr">
        <is>
          <t>对未遵守排放交易体系规定和要求的主体施加的后果或罚款</t>
        </is>
      </c>
      <c r="D67" s="288" t="inlineStr">
        <is>
          <t>分类，可补充详情</t>
        </is>
      </c>
      <c r="E67" s="288" t="inlineStr">
        <is>
          <t>行政处罚（如警告、撤销许可）；法律行动（如起诉）；罚款</t>
        </is>
      </c>
      <c r="F67" s="396" t="n"/>
      <c r="G67" s="212" t="n"/>
      <c r="H67" s="212" t="n"/>
      <c r="I67" s="212" t="n"/>
      <c r="J67" s="212" t="n"/>
      <c r="K67" s="212" t="n"/>
      <c r="L67" s="212" t="n"/>
      <c r="M67" s="212" t="n"/>
      <c r="N67" s="212" t="n"/>
      <c r="O67" s="212" t="n"/>
      <c r="P67" s="212" t="n"/>
      <c r="Q67" s="212" t="n"/>
      <c r="R67" s="212" t="n"/>
      <c r="S67" s="212" t="n"/>
      <c r="T67" s="212" t="n"/>
    </row>
    <row r="68" ht="15" customHeight="1">
      <c r="A68" s="464" t="inlineStr">
        <is>
          <t>规制工具</t>
        </is>
      </c>
      <c r="B68" s="462" t="inlineStr">
        <is>
          <t>合规监测</t>
        </is>
      </c>
      <c r="C68" s="462" t="inlineStr">
        <is>
          <t>记录是否设有监测和确保气候变化减缓政策合规性的方法、流程或制度</t>
        </is>
      </c>
      <c r="D68" s="462" t="inlineStr">
        <is>
          <t>分类（单选），可补充详情</t>
        </is>
      </c>
      <c r="E68" s="462" t="inlineStr">
        <is>
          <t>无合规监测；自我监测与报告；政府主管部门或第三方开展的检查或审计；其他</t>
        </is>
      </c>
      <c r="F68" s="396" t="n"/>
      <c r="G68" s="212" t="n"/>
      <c r="H68" s="212" t="n"/>
      <c r="I68" s="212" t="n"/>
      <c r="J68" s="212" t="n"/>
      <c r="K68" s="212" t="n"/>
      <c r="L68" s="212" t="n"/>
      <c r="M68" s="212" t="n"/>
      <c r="N68" s="212" t="n"/>
      <c r="O68" s="212" t="n"/>
      <c r="P68" s="212" t="n"/>
      <c r="Q68" s="212" t="n"/>
      <c r="R68" s="212" t="n"/>
      <c r="S68" s="212" t="n"/>
      <c r="T68" s="212" t="n"/>
    </row>
    <row r="69" ht="15" customHeight="1">
      <c r="A69" s="293" t="n"/>
      <c r="B69" s="462" t="inlineStr">
        <is>
          <t>合规监测详情</t>
        </is>
      </c>
      <c r="C69" s="462" t="inlineStr">
        <is>
          <t>记录合规监测方式的具体情况（即自我监测与报告；政府主管部门或第三方开展的检查或审计；其他）</t>
        </is>
      </c>
      <c r="D69" s="462" t="inlineStr">
        <is>
          <t>自由文本</t>
        </is>
      </c>
      <c r="E69" s="462" t="inlineStr">
        <is>
          <t>N/A</t>
        </is>
      </c>
      <c r="F69" s="396" t="n"/>
      <c r="G69" s="212" t="n"/>
      <c r="H69" s="212" t="n"/>
      <c r="I69" s="212" t="n"/>
      <c r="J69" s="212" t="n"/>
      <c r="K69" s="212" t="n"/>
      <c r="L69" s="212" t="n"/>
      <c r="M69" s="212" t="n"/>
      <c r="N69" s="212" t="n"/>
      <c r="O69" s="212" t="n"/>
      <c r="P69" s="212" t="n"/>
      <c r="Q69" s="212" t="n"/>
      <c r="R69" s="212" t="n"/>
      <c r="S69" s="212" t="n"/>
      <c r="T69" s="212" t="n"/>
    </row>
    <row r="70" ht="15" customHeight="1">
      <c r="A70" s="293" t="n"/>
      <c r="B70" s="462" t="inlineStr">
        <is>
          <t>合规执行</t>
        </is>
      </c>
      <c r="C70" s="462" t="inlineStr">
        <is>
          <t>对未遵守气候变化减缓政策规制要求的主体施加的后果</t>
        </is>
      </c>
      <c r="D70" s="462" t="inlineStr">
        <is>
          <t>分类（多选），可补充详情</t>
        </is>
      </c>
      <c r="E70" s="462" t="inlineStr">
        <is>
          <t>无合规执行；罚款；禁止；合规命令；其他</t>
        </is>
      </c>
      <c r="F70" s="396" t="n"/>
      <c r="G70" s="212" t="n"/>
      <c r="H70" s="212" t="n"/>
      <c r="I70" s="212" t="n"/>
      <c r="J70" s="212" t="n"/>
      <c r="K70" s="212" t="n"/>
      <c r="L70" s="212" t="n"/>
      <c r="M70" s="212" t="n"/>
      <c r="N70" s="212" t="n"/>
      <c r="O70" s="212" t="n"/>
      <c r="P70" s="212" t="n"/>
      <c r="Q70" s="212" t="n"/>
      <c r="R70" s="212" t="n"/>
      <c r="S70" s="212" t="n"/>
      <c r="T70" s="212" t="n"/>
    </row>
    <row r="71" ht="15" customHeight="1">
      <c r="A71" s="293" t="n"/>
      <c r="B71" s="462" t="inlineStr">
        <is>
          <t>合规执行详情</t>
        </is>
      </c>
      <c r="C71" s="462" t="inlineStr">
        <is>
          <t>记录执行方式和流程的具体情况（即罚款；禁止；合规命令；其他）</t>
        </is>
      </c>
      <c r="D71" s="462" t="inlineStr">
        <is>
          <t>自由文本</t>
        </is>
      </c>
      <c r="E71" s="462" t="inlineStr">
        <is>
          <t>N/A</t>
        </is>
      </c>
      <c r="F71" s="396" t="n"/>
      <c r="G71" s="212" t="n"/>
      <c r="H71" s="212" t="n"/>
      <c r="I71" s="212" t="n"/>
      <c r="J71" s="212" t="n"/>
      <c r="K71" s="212" t="n"/>
      <c r="L71" s="212" t="n"/>
      <c r="M71" s="212" t="n"/>
      <c r="N71" s="212" t="n"/>
      <c r="O71" s="212" t="n"/>
      <c r="P71" s="212" t="n"/>
      <c r="Q71" s="212" t="n"/>
      <c r="R71" s="212" t="n"/>
      <c r="S71" s="212" t="n"/>
      <c r="T71" s="212" t="n"/>
    </row>
    <row r="72" ht="15" customHeight="1">
      <c r="A72" s="293" t="n"/>
      <c r="B72" s="462" t="inlineStr">
        <is>
          <t>合规促进</t>
        </is>
      </c>
      <c r="C72" s="462" t="inlineStr">
        <is>
          <t>旨在鼓励和促进遵守气候变化减缓政策规制措施的举措或活动</t>
        </is>
      </c>
      <c r="D72" s="462" t="inlineStr">
        <is>
          <t>分类（多选），可补充详情</t>
        </is>
      </c>
      <c r="E72" s="462" t="inlineStr">
        <is>
          <t>无合规促进；规制激励（如加权、储存、汇集、交易）；信息与直接协助；资金支持；其他激励或支持</t>
        </is>
      </c>
      <c r="F72" s="396" t="n"/>
      <c r="G72" s="212" t="n"/>
      <c r="H72" s="212" t="n"/>
      <c r="I72" s="212" t="n"/>
      <c r="J72" s="212" t="n"/>
      <c r="K72" s="212" t="n"/>
      <c r="L72" s="212" t="n"/>
      <c r="M72" s="212" t="n"/>
      <c r="N72" s="212" t="n"/>
      <c r="O72" s="212" t="n"/>
      <c r="P72" s="212" t="n"/>
      <c r="Q72" s="212" t="n"/>
      <c r="R72" s="212" t="n"/>
      <c r="S72" s="212" t="n"/>
      <c r="T72" s="212" t="n"/>
    </row>
    <row r="73" ht="15" customHeight="1">
      <c r="A73" s="282" t="n"/>
      <c r="B73" s="462" t="inlineStr">
        <is>
          <t>合规促进详情</t>
        </is>
      </c>
      <c r="C73" s="462" t="inlineStr">
        <is>
          <t>记录合规促进方式和流程的具体情况（例如规制激励如加权、储存、汇集、交易等的详情；信息/直接协助；资金支持；其他合规促进流程）</t>
        </is>
      </c>
      <c r="D73" s="462" t="inlineStr">
        <is>
          <t>自由文本</t>
        </is>
      </c>
      <c r="E73" s="462" t="inlineStr">
        <is>
          <t>N/A</t>
        </is>
      </c>
      <c r="F73" s="396" t="n"/>
      <c r="G73" s="212" t="n"/>
      <c r="H73" s="212" t="n"/>
      <c r="I73" s="212" t="n"/>
      <c r="J73" s="212" t="n"/>
      <c r="K73" s="212" t="n"/>
      <c r="L73" s="212" t="n"/>
      <c r="M73" s="212" t="n"/>
      <c r="N73" s="212" t="n"/>
      <c r="O73" s="212" t="n"/>
      <c r="P73" s="212" t="n"/>
      <c r="Q73" s="212" t="n"/>
      <c r="R73" s="212" t="n"/>
      <c r="S73" s="212" t="n"/>
      <c r="T73" s="212" t="n"/>
    </row>
    <row r="74" ht="15" customHeight="1">
      <c r="A74" s="464" t="inlineStr">
        <is>
          <t>政府投资与消费</t>
        </is>
      </c>
      <c r="B74" s="462" t="inlineStr">
        <is>
          <t>公共投资：共同融资</t>
        </is>
      </c>
      <c r="C74" s="462" t="inlineStr">
        <is>
          <t>指明政府是全额资助该项目/技术，还是与其他方共同出资</t>
        </is>
      </c>
      <c r="D74" s="462" t="inlineStr">
        <is>
          <t>分类（单选）</t>
        </is>
      </c>
      <c r="E74" s="462" t="inlineStr">
        <is>
          <t>是；否</t>
        </is>
      </c>
      <c r="F74" s="396" t="n"/>
      <c r="G74" s="212" t="n"/>
      <c r="H74" s="212" t="n"/>
      <c r="I74" s="212" t="n"/>
      <c r="J74" s="212" t="n"/>
      <c r="K74" s="212" t="n"/>
      <c r="L74" s="212" t="n"/>
      <c r="M74" s="212" t="n"/>
      <c r="N74" s="212" t="n"/>
      <c r="O74" s="212" t="n"/>
      <c r="P74" s="212" t="n"/>
      <c r="Q74" s="212" t="n"/>
      <c r="R74" s="212" t="n"/>
      <c r="S74" s="212" t="n"/>
      <c r="T74" s="212" t="n"/>
    </row>
    <row r="75" ht="15" customHeight="1">
      <c r="A75" s="293" t="n"/>
      <c r="B75" s="462" t="inlineStr">
        <is>
          <t>公共投资：选择流程</t>
        </is>
      </c>
      <c r="C75" s="462" t="inlineStr">
        <is>
          <t>项目或投资如何被选定为投资对象的相关详情。若存在规范的遴选流程，填写遴选标准</t>
        </is>
      </c>
      <c r="D75" s="462" t="inlineStr">
        <is>
          <t>分类（单选），可补充详情</t>
        </is>
      </c>
      <c r="E75" s="462" t="inlineStr">
        <is>
          <t>是；否</t>
        </is>
      </c>
      <c r="F75" s="396" t="n"/>
      <c r="G75" s="212" t="n"/>
      <c r="H75" s="212" t="n"/>
      <c r="I75" s="212" t="n"/>
      <c r="J75" s="212" t="n"/>
      <c r="K75" s="212" t="n"/>
      <c r="L75" s="212" t="n"/>
      <c r="M75" s="212" t="n"/>
      <c r="N75" s="212" t="n"/>
      <c r="O75" s="212" t="n"/>
      <c r="P75" s="212" t="n"/>
      <c r="Q75" s="212" t="n"/>
      <c r="R75" s="212" t="n"/>
      <c r="S75" s="212" t="n"/>
      <c r="T75" s="212" t="n"/>
    </row>
    <row r="76" ht="15" customHeight="1">
      <c r="A76" s="293" t="n"/>
      <c r="B76" s="462" t="inlineStr">
        <is>
          <t>公共采购：招标流程</t>
        </is>
      </c>
      <c r="C76" s="462" t="inlineStr">
        <is>
          <t>指明招标/采购流程的类型</t>
        </is>
      </c>
      <c r="D76" s="462" t="inlineStr">
        <is>
          <t>分类（单选），可补充详情</t>
        </is>
      </c>
      <c r="E76" s="462" t="inlineStr">
        <is>
          <t>公开招标；直接采购；议价采购；加速公开招标</t>
        </is>
      </c>
      <c r="F76" s="396" t="n"/>
      <c r="G76" s="212" t="n"/>
      <c r="H76" s="212" t="n"/>
      <c r="I76" s="212" t="n"/>
      <c r="J76" s="212" t="n"/>
      <c r="K76" s="212" t="n"/>
      <c r="L76" s="212" t="n"/>
      <c r="M76" s="212" t="n"/>
      <c r="N76" s="212" t="n"/>
      <c r="O76" s="212" t="n"/>
      <c r="P76" s="212" t="n"/>
      <c r="Q76" s="212" t="n"/>
      <c r="R76" s="212" t="n"/>
      <c r="S76" s="212" t="n"/>
      <c r="T76" s="212" t="n"/>
    </row>
    <row r="77" ht="15" customHeight="1">
      <c r="A77" s="293" t="n"/>
      <c r="B77" s="462" t="inlineStr">
        <is>
          <t>公共采购：招标评标标准</t>
        </is>
      </c>
      <c r="C77" s="462" t="inlineStr">
        <is>
          <t>指明招标过程中是否对满足特定要求的投标人给予加分或优待</t>
        </is>
      </c>
      <c r="D77" s="462" t="inlineStr">
        <is>
          <t>自由文本</t>
        </is>
      </c>
      <c r="E77" s="462" t="inlineStr">
        <is>
          <t>N/A</t>
        </is>
      </c>
      <c r="F77" s="396" t="n"/>
      <c r="G77" s="212" t="n"/>
      <c r="H77" s="212" t="n"/>
      <c r="I77" s="212" t="n"/>
      <c r="J77" s="212" t="n"/>
      <c r="K77" s="212" t="n"/>
      <c r="L77" s="212" t="n"/>
      <c r="M77" s="212" t="n"/>
      <c r="N77" s="212" t="n"/>
      <c r="O77" s="212" t="n"/>
      <c r="P77" s="212" t="n"/>
      <c r="Q77" s="212" t="n"/>
      <c r="R77" s="212" t="n"/>
      <c r="S77" s="212" t="n"/>
      <c r="T77" s="212" t="n"/>
    </row>
    <row r="78" ht="15" customHeight="1">
      <c r="A78" s="293" t="n"/>
      <c r="B78" s="462" t="inlineStr">
        <is>
          <t>公共采购：合规监测</t>
        </is>
      </c>
      <c r="C78" s="462" t="inlineStr">
        <is>
          <t>监测和确保气候变化减缓政策合规性的现行方法、流程或制度</t>
        </is>
      </c>
      <c r="D78" s="462" t="inlineStr">
        <is>
          <t>分类（单选），可补充详情</t>
        </is>
      </c>
      <c r="E78" s="462" t="inlineStr">
        <is>
          <t>无合规监测；自我监测与报告；政府主管部门或第三方开展的检查或审计；其他</t>
        </is>
      </c>
      <c r="F78" s="396" t="n"/>
      <c r="G78" s="212" t="n"/>
      <c r="H78" s="212" t="n"/>
      <c r="I78" s="212" t="n"/>
      <c r="J78" s="212" t="n"/>
      <c r="K78" s="212" t="n"/>
      <c r="L78" s="212" t="n"/>
      <c r="M78" s="212" t="n"/>
      <c r="N78" s="212" t="n"/>
      <c r="O78" s="212" t="n"/>
      <c r="P78" s="212" t="n"/>
      <c r="Q78" s="212" t="n"/>
      <c r="R78" s="212" t="n"/>
      <c r="S78" s="212" t="n"/>
      <c r="T78" s="212" t="n"/>
    </row>
    <row r="79" ht="15" customHeight="1">
      <c r="A79" s="293" t="n"/>
      <c r="B79" s="462" t="inlineStr">
        <is>
          <t>公共采购：合规执行</t>
        </is>
      </c>
      <c r="C79" s="462" t="inlineStr">
        <is>
          <t>对未遵守气候变化减缓政策规制要求的主体施加的后果</t>
        </is>
      </c>
      <c r="D79" s="462" t="inlineStr">
        <is>
          <t>分类（多选），可补充详情</t>
        </is>
      </c>
      <c r="E79" s="462" t="inlineStr">
        <is>
          <t>无合规执行；罚款；禁止；合规命令；其他</t>
        </is>
      </c>
      <c r="F79" s="396" t="n"/>
      <c r="G79" s="212" t="n"/>
      <c r="H79" s="212" t="n"/>
      <c r="I79" s="212" t="n"/>
      <c r="J79" s="212" t="n"/>
      <c r="K79" s="212" t="n"/>
      <c r="L79" s="212" t="n"/>
      <c r="M79" s="212" t="n"/>
      <c r="N79" s="212" t="n"/>
      <c r="O79" s="212" t="n"/>
      <c r="P79" s="212" t="n"/>
      <c r="Q79" s="212" t="n"/>
      <c r="R79" s="212" t="n"/>
      <c r="S79" s="212" t="n"/>
      <c r="T79" s="212" t="n"/>
    </row>
    <row r="80" ht="15" customHeight="1">
      <c r="A80" s="293" t="n"/>
      <c r="B80" s="462" t="inlineStr">
        <is>
          <t>公共采购：全生命周期成本</t>
        </is>
      </c>
      <c r="C80" s="462"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0" s="462" t="inlineStr">
        <is>
          <t>分类（单选）</t>
        </is>
      </c>
      <c r="E80" s="462" t="inlineStr">
        <is>
          <t>是；否</t>
        </is>
      </c>
      <c r="F80" s="396" t="n"/>
      <c r="G80" s="212" t="n"/>
      <c r="H80" s="212" t="n"/>
      <c r="I80" s="212" t="n"/>
      <c r="J80" s="212" t="n"/>
      <c r="K80" s="212" t="n"/>
      <c r="L80" s="212" t="n"/>
      <c r="M80" s="212" t="n"/>
      <c r="N80" s="212" t="n"/>
      <c r="O80" s="212" t="n"/>
      <c r="P80" s="212" t="n"/>
      <c r="Q80" s="212" t="n"/>
      <c r="R80" s="212" t="n"/>
      <c r="S80" s="212" t="n"/>
      <c r="T80" s="212" t="n"/>
    </row>
    <row r="81" ht="15" customHeight="1">
      <c r="A81" s="282" t="n"/>
      <c r="B81" s="288" t="inlineStr">
        <is>
          <t>公共投资/采购：年度支出</t>
        </is>
      </c>
      <c r="C81" s="288" t="inlineStr">
        <is>
          <t>数据收集年份之前一年安排的财政拨款或预算</t>
        </is>
      </c>
      <c r="D81" s="288" t="inlineStr">
        <is>
          <t>数值</t>
        </is>
      </c>
      <c r="E81" s="288" t="inlineStr">
        <is>
          <t>单位：百万本币、美元或其他适用货币</t>
        </is>
      </c>
      <c r="F81" s="396" t="n"/>
      <c r="G81" s="212" t="n"/>
      <c r="H81" s="212" t="n"/>
      <c r="I81" s="212" t="n"/>
      <c r="J81" s="212" t="n"/>
      <c r="K81" s="212" t="n"/>
      <c r="L81" s="212" t="n"/>
      <c r="M81" s="212" t="n"/>
      <c r="N81" s="212" t="n"/>
      <c r="O81" s="212" t="n"/>
      <c r="P81" s="212" t="n"/>
      <c r="Q81" s="212" t="n"/>
      <c r="R81" s="212" t="n"/>
      <c r="S81" s="212" t="n"/>
      <c r="T81" s="212" t="n"/>
    </row>
    <row r="82" ht="15" customHeight="1">
      <c r="A82" s="464" t="inlineStr">
        <is>
          <t>信息工具</t>
        </is>
      </c>
      <c r="B82" s="462" t="inlineStr">
        <is>
          <t>工具联动</t>
        </is>
      </c>
      <c r="C82" s="462" t="inlineStr">
        <is>
          <t>记录该信息工具是否与其他工具直接联动</t>
        </is>
      </c>
      <c r="D82" s="462" t="inlineStr">
        <is>
          <t>自由文本</t>
        </is>
      </c>
      <c r="E82" s="462" t="inlineStr">
        <is>
          <t>N/A</t>
        </is>
      </c>
      <c r="F82" s="396" t="n"/>
      <c r="G82" s="212" t="n"/>
      <c r="H82" s="212" t="n"/>
      <c r="I82" s="212" t="n"/>
      <c r="J82" s="212" t="n"/>
      <c r="K82" s="212" t="n"/>
      <c r="L82" s="212" t="n"/>
      <c r="M82" s="212" t="n"/>
      <c r="N82" s="212" t="n"/>
      <c r="O82" s="212" t="n"/>
      <c r="P82" s="212" t="n"/>
      <c r="Q82" s="212" t="n"/>
      <c r="R82" s="212" t="n"/>
      <c r="S82" s="212" t="n"/>
      <c r="T82" s="212" t="n"/>
    </row>
    <row r="83" ht="15" customHeight="1">
      <c r="A83" s="293" t="n"/>
      <c r="B83" s="462" t="inlineStr">
        <is>
          <t>信息采集责任方</t>
        </is>
      </c>
      <c r="C83" s="462" t="inlineStr">
        <is>
          <t>负责采集所需信息的主体详情</t>
        </is>
      </c>
      <c r="D83" s="462" t="inlineStr">
        <is>
          <t>分类（单选）</t>
        </is>
      </c>
      <c r="E83" s="462" t="inlineStr">
        <is>
          <t>政府主管部门（检查或审计）；第三方（检查或审计）；受规制主体（自行报告）</t>
        </is>
      </c>
      <c r="F83" s="396" t="n"/>
      <c r="G83" s="212" t="n"/>
      <c r="H83" s="212" t="n"/>
      <c r="I83" s="212" t="n"/>
      <c r="J83" s="212" t="n"/>
      <c r="K83" s="212" t="n"/>
      <c r="L83" s="212" t="n"/>
      <c r="M83" s="212" t="n"/>
      <c r="N83" s="212" t="n"/>
      <c r="O83" s="212" t="n"/>
      <c r="P83" s="212" t="n"/>
      <c r="Q83" s="212" t="n"/>
      <c r="R83" s="212" t="n"/>
      <c r="S83" s="212" t="n"/>
      <c r="T83" s="212" t="n"/>
    </row>
    <row r="84" ht="15" customHeight="1">
      <c r="A84" s="293" t="n"/>
      <c r="B84" s="462" t="inlineStr">
        <is>
          <t>信息传输方式</t>
        </is>
      </c>
      <c r="C84" s="462" t="inlineStr">
        <is>
          <t>指明信息以何种方式传递给政府</t>
        </is>
      </c>
      <c r="D84" s="462" t="inlineStr">
        <is>
          <t>自由文本</t>
        </is>
      </c>
      <c r="E84" s="462" t="inlineStr">
        <is>
          <t>N/A</t>
        </is>
      </c>
      <c r="F84" s="396" t="n"/>
      <c r="G84" s="212" t="n"/>
      <c r="H84" s="212" t="n"/>
      <c r="I84" s="212" t="n"/>
      <c r="J84" s="212" t="n"/>
      <c r="K84" s="212" t="n"/>
      <c r="L84" s="212" t="n"/>
      <c r="M84" s="212" t="n"/>
      <c r="N84" s="212" t="n"/>
      <c r="O84" s="212" t="n"/>
      <c r="P84" s="212" t="n"/>
      <c r="Q84" s="212" t="n"/>
      <c r="R84" s="212" t="n"/>
      <c r="S84" s="212" t="n"/>
      <c r="T84" s="212" t="n"/>
    </row>
    <row r="85" ht="15" customHeight="1">
      <c r="A85" s="293" t="n"/>
      <c r="B85" s="462" t="inlineStr">
        <is>
          <t>信息提供频率</t>
        </is>
      </c>
      <c r="C85" s="462" t="inlineStr">
        <is>
          <t>指明信息须以何种频率提供</t>
        </is>
      </c>
      <c r="D85" s="462" t="inlineStr">
        <is>
          <t>分类（单选），可补充详情</t>
        </is>
      </c>
      <c r="E85" s="462" t="inlineStr">
        <is>
          <t>实时；每季度；每年；其他，详情：__</t>
        </is>
      </c>
      <c r="F85" s="396" t="n"/>
      <c r="G85" s="212" t="n"/>
      <c r="H85" s="212" t="n"/>
      <c r="I85" s="212" t="n"/>
      <c r="J85" s="212" t="n"/>
      <c r="K85" s="212" t="n"/>
      <c r="L85" s="212" t="n"/>
      <c r="M85" s="212" t="n"/>
      <c r="N85" s="212" t="n"/>
      <c r="O85" s="212" t="n"/>
      <c r="P85" s="212" t="n"/>
      <c r="Q85" s="212" t="n"/>
      <c r="R85" s="212" t="n"/>
      <c r="S85" s="212" t="n"/>
      <c r="T85" s="212" t="n"/>
    </row>
    <row r="86" ht="15" customHeight="1">
      <c r="A86" s="293" t="n"/>
      <c r="B86" s="462" t="inlineStr">
        <is>
          <t>信息公开可用性</t>
        </is>
      </c>
      <c r="C86" s="462" t="inlineStr">
        <is>
          <t>信息是否公开可得，以及若公开，可通过何种渠道获取</t>
        </is>
      </c>
      <c r="D86" s="462" t="inlineStr">
        <is>
          <t>自由文本</t>
        </is>
      </c>
      <c r="E86" s="462" t="inlineStr">
        <is>
          <t>N/A</t>
        </is>
      </c>
      <c r="F86" s="396" t="n"/>
      <c r="G86" s="212" t="n"/>
      <c r="H86" s="212" t="n"/>
      <c r="I86" s="212" t="n"/>
      <c r="J86" s="212" t="n"/>
      <c r="K86" s="212" t="n"/>
      <c r="L86" s="212" t="n"/>
      <c r="M86" s="212" t="n"/>
      <c r="N86" s="212" t="n"/>
      <c r="O86" s="212" t="n"/>
      <c r="P86" s="212" t="n"/>
      <c r="Q86" s="212" t="n"/>
      <c r="R86" s="212" t="n"/>
      <c r="S86" s="212" t="n"/>
      <c r="T86" s="212" t="n"/>
    </row>
    <row r="87" ht="15" customHeight="1">
      <c r="A87" s="293" t="n"/>
      <c r="B87" s="462" t="inlineStr">
        <is>
          <t>标签类型</t>
        </is>
      </c>
      <c r="C87" s="462" t="inlineStr">
        <is>
          <t>指明标签的授予和设计方式</t>
        </is>
      </c>
      <c r="D87" s="462" t="inlineStr">
        <is>
          <t>分类</t>
        </is>
      </c>
      <c r="E87" s="462" t="inlineStr">
        <is>
          <t>二元（基于单一阈值）；分类；连续</t>
        </is>
      </c>
      <c r="F87" s="396" t="n"/>
      <c r="G87" s="212" t="n"/>
      <c r="H87" s="212" t="n"/>
      <c r="I87" s="212" t="n"/>
      <c r="J87" s="212" t="n"/>
      <c r="K87" s="212" t="n"/>
      <c r="L87" s="212" t="n"/>
      <c r="M87" s="212" t="n"/>
      <c r="N87" s="212" t="n"/>
      <c r="O87" s="212" t="n"/>
      <c r="P87" s="212" t="n"/>
      <c r="Q87" s="212" t="n"/>
      <c r="R87" s="212" t="n"/>
      <c r="S87" s="212" t="n"/>
      <c r="T87" s="212" t="n"/>
    </row>
    <row r="88" ht="15" customHeight="1">
      <c r="A88" s="293" t="n"/>
      <c r="B88" s="462" t="inlineStr">
        <is>
          <t>合规监测</t>
        </is>
      </c>
      <c r="C88" s="462" t="inlineStr">
        <is>
          <t>监测和确保气候变化减缓政策合规性的现行方法、流程或制度</t>
        </is>
      </c>
      <c r="D88" s="462" t="inlineStr">
        <is>
          <t>分类（单选），可补充详情</t>
        </is>
      </c>
      <c r="E88" s="462" t="inlineStr">
        <is>
          <t>无合规监测；随机；按标准定向：__；固定时间间隔：__；不定期；事先通知的检查/审计；不事先通知的检查/审计</t>
        </is>
      </c>
      <c r="F88" s="396" t="n"/>
      <c r="G88" s="212" t="n"/>
      <c r="H88" s="212" t="n"/>
      <c r="I88" s="212" t="n"/>
      <c r="J88" s="212" t="n"/>
      <c r="K88" s="212" t="n"/>
      <c r="L88" s="212" t="n"/>
      <c r="M88" s="212" t="n"/>
      <c r="N88" s="212" t="n"/>
      <c r="O88" s="212" t="n"/>
      <c r="P88" s="212" t="n"/>
      <c r="Q88" s="212" t="n"/>
      <c r="R88" s="212" t="n"/>
      <c r="S88" s="212" t="n"/>
      <c r="T88" s="212" t="n"/>
    </row>
    <row r="89" ht="15" customHeight="1">
      <c r="A89" s="293" t="n"/>
      <c r="B89" s="462" t="inlineStr">
        <is>
          <t>合规执行</t>
        </is>
      </c>
      <c r="C89" s="462" t="inlineStr">
        <is>
          <t>对未遵守气候变化减缓政策规制要求的主体施加的后果</t>
        </is>
      </c>
      <c r="D89" s="462" t="inlineStr">
        <is>
          <t>分类（多选），可补充详情</t>
        </is>
      </c>
      <c r="E89" s="462" t="inlineStr">
        <is>
          <t>无合规执行；罚款；禁止；合规命令；其他</t>
        </is>
      </c>
      <c r="F89" s="396" t="n"/>
      <c r="G89" s="212" t="n"/>
      <c r="H89" s="212" t="n"/>
      <c r="I89" s="212" t="n"/>
      <c r="J89" s="212" t="n"/>
      <c r="K89" s="212" t="n"/>
      <c r="L89" s="212" t="n"/>
      <c r="M89" s="212" t="n"/>
      <c r="N89" s="212" t="n"/>
      <c r="O89" s="212" t="n"/>
      <c r="P89" s="212" t="n"/>
      <c r="Q89" s="212" t="n"/>
      <c r="R89" s="212" t="n"/>
      <c r="S89" s="212" t="n"/>
      <c r="T89" s="212" t="n"/>
    </row>
    <row r="90" ht="15" customHeight="1">
      <c r="A90" s="293" t="n"/>
      <c r="B90" s="462" t="inlineStr">
        <is>
          <t>合规促进</t>
        </is>
      </c>
      <c r="C90" s="462" t="inlineStr">
        <is>
          <t>旨在鼓励和促进遵守气候变化减缓政策规制措施的举措或活动</t>
        </is>
      </c>
      <c r="D90" s="462" t="inlineStr">
        <is>
          <t>分类（多选），可补充详情</t>
        </is>
      </c>
      <c r="E90" s="462" t="inlineStr">
        <is>
          <t>无合规促进；信息与直接协助；资金支持；其他激励或支持</t>
        </is>
      </c>
      <c r="F90" s="396" t="n"/>
      <c r="G90" s="212" t="n"/>
      <c r="H90" s="212" t="n"/>
      <c r="I90" s="212" t="n"/>
      <c r="J90" s="212" t="n"/>
      <c r="K90" s="212" t="n"/>
      <c r="L90" s="212" t="n"/>
      <c r="M90" s="212" t="n"/>
      <c r="N90" s="212" t="n"/>
      <c r="O90" s="212" t="n"/>
      <c r="P90" s="212" t="n"/>
      <c r="Q90" s="212" t="n"/>
      <c r="R90" s="212" t="n"/>
      <c r="S90" s="212" t="n"/>
      <c r="T90" s="212" t="n"/>
    </row>
    <row r="91" ht="15" customHeight="1">
      <c r="A91" s="282" t="n"/>
      <c r="B91" s="462" t="inlineStr">
        <is>
          <t>能力建设、培训/教育、宣传和奖励计划详情</t>
        </is>
      </c>
      <c r="C91" s="462" t="inlineStr">
        <is>
          <t>填写频率、目标群体和年度预算安排的详情</t>
        </is>
      </c>
      <c r="D91" s="462" t="inlineStr">
        <is>
          <t>自由文本</t>
        </is>
      </c>
      <c r="E91" s="462" t="inlineStr">
        <is>
          <t>N/A</t>
        </is>
      </c>
      <c r="F91" s="396" t="n"/>
      <c r="G91" s="212" t="n"/>
      <c r="H91" s="212" t="n"/>
      <c r="I91" s="212" t="n"/>
      <c r="J91" s="212" t="n"/>
      <c r="K91" s="212" t="n"/>
      <c r="L91" s="212" t="n"/>
      <c r="M91" s="212" t="n"/>
      <c r="N91" s="212" t="n"/>
      <c r="O91" s="212" t="n"/>
      <c r="P91" s="212" t="n"/>
      <c r="Q91" s="212" t="n"/>
      <c r="R91" s="212" t="n"/>
      <c r="S91" s="212" t="n"/>
      <c r="T91" s="212" t="n"/>
    </row>
    <row r="92" ht="15" customHeight="1">
      <c r="A92" s="464" t="inlineStr">
        <is>
          <t>自愿措施</t>
        </is>
      </c>
      <c r="B92" s="288" t="inlineStr">
        <is>
          <t>参与激励</t>
        </is>
      </c>
      <c r="C92" s="288" t="inlineStr">
        <is>
          <t>为鼓励自愿参与气候变化减缓活动或项目而提供的奖励、利益或正向激励</t>
        </is>
      </c>
      <c r="D92" s="288" t="inlineStr">
        <is>
          <t>分类（单选）</t>
        </is>
      </c>
      <c r="E92" s="288" t="inlineStr">
        <is>
          <t>资金性；规制性；声誉性；无</t>
        </is>
      </c>
      <c r="F92" s="396" t="n"/>
      <c r="G92" s="212" t="n"/>
      <c r="H92" s="212" t="n"/>
      <c r="I92" s="212" t="n"/>
      <c r="J92" s="212" t="n"/>
      <c r="K92" s="212" t="n"/>
      <c r="L92" s="212" t="n"/>
      <c r="M92" s="212" t="n"/>
      <c r="N92" s="212" t="n"/>
      <c r="O92" s="212" t="n"/>
      <c r="P92" s="212" t="n"/>
      <c r="Q92" s="212" t="n"/>
      <c r="R92" s="212" t="n"/>
      <c r="S92" s="212" t="n"/>
      <c r="T92" s="212" t="n"/>
    </row>
    <row r="93" ht="15" customHeight="1">
      <c r="A93" s="293" t="n"/>
      <c r="B93" s="288" t="inlineStr">
        <is>
          <t>监测</t>
        </is>
      </c>
      <c r="C93" s="288" t="inlineStr">
        <is>
          <t>跟踪和评估气候变化减缓相关自愿行动或倡议的现行流程和制度</t>
        </is>
      </c>
      <c r="D93" s="288" t="inlineStr">
        <is>
          <t>二元，可补充详情</t>
        </is>
      </c>
      <c r="E93" s="288" t="inlineStr">
        <is>
          <t>是/否，可补充详情</t>
        </is>
      </c>
      <c r="F93" s="396" t="n"/>
      <c r="G93" s="212" t="n"/>
      <c r="H93" s="212" t="n"/>
      <c r="I93" s="212" t="n"/>
      <c r="J93" s="212" t="n"/>
      <c r="K93" s="212" t="n"/>
      <c r="L93" s="212" t="n"/>
      <c r="M93" s="212" t="n"/>
      <c r="N93" s="212" t="n"/>
      <c r="O93" s="212" t="n"/>
      <c r="P93" s="212" t="n"/>
      <c r="Q93" s="212" t="n"/>
      <c r="R93" s="212" t="n"/>
      <c r="S93" s="212" t="n"/>
      <c r="T93" s="212" t="n"/>
    </row>
    <row r="94">
      <c r="A94" s="282" t="n"/>
      <c r="B94" s="288" t="inlineStr">
        <is>
          <t>违规制裁</t>
        </is>
      </c>
      <c r="C94" s="288" t="inlineStr">
        <is>
          <t>对未能履行气候变化减缓相关自愿承诺或义务的主体或个人施加的后果或处罚</t>
        </is>
      </c>
      <c r="D94" s="288" t="inlineStr">
        <is>
          <t>二元，可补充详情</t>
        </is>
      </c>
      <c r="E94" s="288" t="inlineStr">
        <is>
          <t>是/否，可补充详情</t>
        </is>
      </c>
      <c r="F94" s="396" t="n"/>
      <c r="G94" s="212" t="n"/>
      <c r="H94" s="212" t="n"/>
      <c r="I94" s="212" t="n"/>
      <c r="J94" s="212" t="n"/>
      <c r="K94" s="212" t="n"/>
      <c r="L94" s="212" t="n"/>
      <c r="M94" s="212" t="n"/>
      <c r="N94" s="212" t="n"/>
      <c r="O94" s="212" t="n"/>
      <c r="P94" s="212" t="n"/>
      <c r="Q94" s="212" t="n"/>
      <c r="R94" s="212" t="n"/>
      <c r="S94" s="212" t="n"/>
      <c r="T94" s="212"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471" t="inlineStr">
        <is>
          <t>英文名</t>
        </is>
      </c>
      <c r="B1" s="471" t="inlineStr">
        <is>
          <t>本国工具名称</t>
        </is>
      </c>
      <c r="C1" s="471" t="inlineStr">
        <is>
          <t>状态</t>
        </is>
      </c>
      <c r="D1" s="471" t="inlineStr">
        <is>
          <t>开始年份</t>
        </is>
      </c>
      <c r="E1" s="471" t="inlineStr">
        <is>
          <t>结束年份</t>
        </is>
      </c>
      <c r="F1" s="471" t="inlineStr">
        <is>
          <t>工具类别</t>
        </is>
      </c>
      <c r="G1" s="471" t="inlineStr">
        <is>
          <t>工具组别</t>
        </is>
      </c>
      <c r="H1" s="471" t="inlineStr">
        <is>
          <t>排放部门</t>
        </is>
      </c>
      <c r="I1" s="471" t="inlineStr">
        <is>
          <t>子行业</t>
        </is>
      </c>
      <c r="J1" s="471" t="inlineStr">
        <is>
          <t>法律文件名称</t>
        </is>
      </c>
      <c r="K1" s="47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430" t="inlineStr">
        <is>
          <t>VAT incentive for energy performance contracting projects</t>
        </is>
      </c>
      <c r="B9" s="430" t="inlineStr">
        <is>
          <t>合同能源管理项目增值税优惠</t>
        </is>
      </c>
      <c r="C9" s="430" t="inlineStr">
        <is>
          <t>已终止</t>
        </is>
      </c>
      <c r="D9" s="430" t="inlineStr">
        <is>
          <t>2011</t>
        </is>
      </c>
      <c r="E9" s="430" t="inlineStr">
        <is>
          <t>2025</t>
        </is>
      </c>
      <c r="F9" s="430" t="inlineStr">
        <is>
          <t>经济工具</t>
        </is>
      </c>
      <c r="G9" s="430" t="inlineStr">
        <is>
          <t>税收</t>
        </is>
      </c>
      <c r="H9" s="430" t="inlineStr">
        <is>
          <t>能源；建筑；工业</t>
        </is>
      </c>
      <c r="I9" s="430" t="inlineStr">
        <is>
          <t>工业能效；建筑能效</t>
        </is>
      </c>
      <c r="J9" s="430" t="inlineStr">
        <is>
          <t>财税〔2010〕110号关于促进节能服务产业发展增值税、营业税和企业所得税政策问题的通知；财税〔2016〕36号附件三；财政部 税务总局公告2026年第10号</t>
        </is>
      </c>
      <c r="K9" s="430"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2026-09-17T06:26:26Z</dcterms:modified>
  <cp:lastModifiedBy>Danqing</cp:lastModifiedBy>
</cp:coreProperties>
</file>