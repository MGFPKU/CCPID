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概览" sheetId="1" state="visible" r:id="rId1"/>
    <sheet xmlns:r="http://schemas.openxmlformats.org/officeDocument/2006/relationships" name="经济工具" sheetId="2" state="visible" r:id="rId2"/>
    <sheet xmlns:r="http://schemas.openxmlformats.org/officeDocument/2006/relationships" name="工具总览" sheetId="3" state="visible" r:id="rId3"/>
    <sheet xmlns:r="http://schemas.openxmlformats.org/officeDocument/2006/relationships" name="规制工具" sheetId="4" state="visible" r:id="rId4"/>
    <sheet xmlns:r="http://schemas.openxmlformats.org/officeDocument/2006/relationships" name="政府投资与消费" sheetId="5" state="visible" r:id="rId5"/>
    <sheet xmlns:r="http://schemas.openxmlformats.org/officeDocument/2006/relationships" name="信息工具" sheetId="6" state="visible" r:id="rId6"/>
    <sheet xmlns:r="http://schemas.openxmlformats.org/officeDocument/2006/relationships" name="自愿措施" sheetId="7" state="visible" r:id="rId7"/>
    <sheet xmlns:r="http://schemas.openxmlformats.org/officeDocument/2006/relationships" name="封面" sheetId="8" state="visible" r:id="rId8"/>
    <sheet xmlns:r="http://schemas.openxmlformats.org/officeDocument/2006/relationships" name="分类框架" sheetId="9" state="visible" r:id="rId9"/>
    <sheet xmlns:r="http://schemas.openxmlformats.org/officeDocument/2006/relationships" name="类别与组别" sheetId="10" state="visible" r:id="rId10"/>
    <sheet xmlns:r="http://schemas.openxmlformats.org/officeDocument/2006/relationships" name="属性定义" sheetId="11" state="visible" r:id="rId11"/>
    <sheet xmlns:r="http://schemas.openxmlformats.org/officeDocument/2006/relationships" name="已终止" sheetId="12" state="visible" r:id="rId12"/>
  </sheets>
  <definedNames/>
  <calcPr calcId="0" fullCalcOnLoad="1"/>
</workbook>
</file>

<file path=xl/styles.xml><?xml version="1.0" encoding="utf-8"?>
<styleSheet xmlns="http://schemas.openxmlformats.org/spreadsheetml/2006/main">
  <numFmts count="0"/>
  <fonts count="113">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
      <name val="等线"/>
      <charset val="134"/>
      <b val="1"/>
      <color theme="1"/>
      <sz val="18"/>
    </font>
    <font>
      <name val="等线"/>
      <charset val="134"/>
      <color theme="1"/>
      <sz val="10"/>
    </font>
    <font>
      <name val="等线"/>
      <charset val="134"/>
      <color theme="1"/>
      <sz val="11"/>
    </font>
    <font>
      <name val="等线"/>
      <charset val="134"/>
      <b val="1"/>
      <color theme="1"/>
      <sz val="13"/>
    </font>
    <font>
      <name val="等线"/>
      <charset val="134"/>
      <color theme="1"/>
      <sz val="12"/>
    </font>
    <font>
      <name val="等线"/>
      <charset val="134"/>
      <b val="1"/>
      <color rgb="FF0E5C46"/>
      <sz val="13"/>
    </font>
    <font>
      <name val="等线"/>
      <charset val="134"/>
      <b val="1"/>
      <color rgb="FF000000"/>
      <sz val="12"/>
    </font>
    <font>
      <name val="等线"/>
      <charset val="134"/>
      <family val="3"/>
      <b val="1"/>
      <color theme="1"/>
      <sz val="12"/>
    </font>
    <font>
      <name val="等线"/>
      <charset val="134"/>
      <b val="1"/>
      <color theme="1"/>
      <sz val="10"/>
    </font>
    <font>
      <name val="等线"/>
      <charset val="134"/>
      <b val="1"/>
      <color theme="1"/>
      <sz val="12"/>
    </font>
    <font>
      <name val="等线"/>
      <charset val="134"/>
      <b val="1"/>
      <color rgb="FF0E5C46"/>
      <sz val="12"/>
    </font>
    <font>
      <name val="等线"/>
      <charset val="134"/>
      <sz val="10"/>
    </font>
    <font>
      <name val="等线"/>
      <charset val="134"/>
      <family val="3"/>
      <b val="1"/>
      <sz val="12"/>
    </font>
    <font>
      <name val="等线"/>
      <color rgb="FFFFFFFF"/>
      <sz val="12"/>
    </font>
    <font>
      <name val="Calibri"/>
      <b val="1"/>
      <color rgb="FFFFFFFF"/>
      <sz val="12"/>
    </font>
    <font>
      <name val="Calibri"/>
      <b val="1"/>
      <color theme="1"/>
      <sz val="12"/>
    </font>
    <font>
      <name val="Calibri"/>
      <b val="1"/>
      <sz val="12"/>
    </font>
    <font>
      <b val="1"/>
      <color rgb="FFFFFFFF"/>
      <sz val="12"/>
    </font>
    <font>
      <name val="等线"/>
      <charset val="134"/>
      <b val="1"/>
      <color rgb="FFFFFFFF"/>
      <sz val="12"/>
    </font>
    <font>
      <name val="等线"/>
      <charset val="134"/>
      <b val="1"/>
      <i val="1"/>
      <color theme="1"/>
      <sz val="12"/>
    </font>
    <font>
      <name val="等线"/>
      <charset val="134"/>
      <color rgb="FF000000"/>
      <sz val="12"/>
    </font>
    <font>
      <name val="等线"/>
      <charset val="134"/>
      <sz val="12"/>
    </font>
    <font>
      <name val="等线"/>
      <charset val="134"/>
      <family val="3"/>
      <sz val="12"/>
    </font>
    <font>
      <name val="等线"/>
      <charset val="134"/>
      <family val="3"/>
      <sz val="10"/>
    </font>
    <font>
      <name val="等线"/>
      <color rgb="FF0E5C46"/>
      <sz val="12"/>
    </font>
    <font>
      <name val="等线"/>
      <b val="1"/>
      <color rgb="FFFFFFFF"/>
      <sz val="12"/>
    </font>
    <font>
      <name val="等线"/>
      <color theme="10"/>
      <sz val="12"/>
      <u val="single"/>
    </font>
    <font>
      <name val="等线"/>
      <color rgb="FF0E5C46"/>
      <sz val="16"/>
    </font>
    <font>
      <name val="等线"/>
      <color rgb="FF000000"/>
      <sz val="16"/>
    </font>
    <font>
      <name val="等线"/>
      <color theme="1"/>
      <sz val="16"/>
    </font>
    <font>
      <name val="等线"/>
      <sz val="16"/>
    </font>
    <font>
      <name val="等线"/>
      <b val="1"/>
      <color rgb="FF0E5C46"/>
      <sz val="16"/>
    </font>
    <font>
      <name val="等线"/>
      <b val="1"/>
      <sz val="16"/>
    </font>
    <font>
      <name val="等线"/>
      <b val="1"/>
      <color rgb="FF000000"/>
      <sz val="16"/>
    </font>
    <font>
      <name val="等线"/>
      <b val="1"/>
      <color theme="1"/>
      <sz val="16"/>
    </font>
  </fonts>
  <fills count="51">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rgb="FFF4B183"/>
      </patternFill>
    </fill>
    <fill>
      <patternFill patternType="solid">
        <fgColor rgb="FF8FAADC"/>
      </patternFill>
    </fill>
    <fill>
      <patternFill patternType="solid">
        <fgColor rgb="FFFFD966"/>
      </patternFill>
    </fill>
    <fill>
      <patternFill patternType="solid">
        <fgColor rgb="00FFF2CC"/>
      </patternFill>
    </fill>
    <fill>
      <patternFill patternType="solid">
        <fgColor rgb="00FBE5D6"/>
      </patternFill>
    </fill>
  </fills>
  <borders count="54">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style="thin">
        <color rgb="FFDEE0E3"/>
      </top>
      <bottom style="thin">
        <color rgb="FF7F7F7F"/>
      </bottom>
      <diagonal/>
    </border>
    <border>
      <left/>
      <right/>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E2E8E5"/>
      </left>
      <right/>
      <top style="thin">
        <color rgb="FFE2E8E5"/>
      </top>
      <bottom style="thin">
        <color rgb="FFE2E8E5"/>
      </bottom>
      <diagonal/>
    </border>
    <border>
      <left/>
      <right/>
      <top style="thin">
        <color rgb="FFE2E8E5"/>
      </top>
      <bottom/>
      <diagonal/>
    </border>
    <border>
      <left/>
      <right style="thin">
        <color rgb="FFE2E8E5"/>
      </right>
      <top style="thin">
        <color rgb="FFE2E8E5"/>
      </top>
      <bottom/>
      <diagonal/>
    </border>
    <border>
      <left/>
      <right style="thin">
        <color rgb="FFDEE0E3"/>
      </right>
      <top style="thin">
        <color rgb="FF7F7F7F"/>
      </top>
      <bottom style="thin">
        <color rgb="FF7F7F7F"/>
      </bottom>
      <diagonal/>
    </border>
    <border>
      <left/>
      <right style="thin">
        <color rgb="FFDEE0E3"/>
      </right>
      <top style="thin">
        <color rgb="FF7F7F7F"/>
      </top>
      <bottom/>
      <diagonal/>
    </border>
    <border>
      <left style="thin">
        <color rgb="FF000000"/>
      </left>
      <right style="thin">
        <color rgb="FF000000"/>
      </right>
      <top style="thin">
        <color rgb="FF000000"/>
      </top>
      <bottom/>
      <diagonal/>
    </border>
  </borders>
  <cellStyleXfs count="1">
    <xf numFmtId="0" fontId="63" fillId="0" borderId="0"/>
  </cellStyleXfs>
  <cellXfs count="430">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78" fillId="0" borderId="0" applyAlignment="1" pivotButton="0" quotePrefix="0" xfId="0">
      <alignment vertical="center"/>
    </xf>
    <xf numFmtId="0" fontId="79" fillId="0" borderId="0" applyAlignment="1" pivotButton="0" quotePrefix="0" xfId="0">
      <alignment vertical="center"/>
    </xf>
    <xf numFmtId="0" fontId="80" fillId="0" borderId="0" pivotButton="0" quotePrefix="0" xfId="0"/>
    <xf numFmtId="0" fontId="81" fillId="0" borderId="0" applyAlignment="1" pivotButton="0" quotePrefix="0" xfId="0">
      <alignment vertical="center"/>
    </xf>
    <xf numFmtId="0" fontId="82" fillId="0" borderId="0" applyAlignment="1" pivotButton="0" quotePrefix="0" xfId="0">
      <alignment horizontal="left" vertical="center"/>
    </xf>
    <xf numFmtId="0" fontId="82" fillId="0" borderId="0" applyAlignment="1" pivotButton="0" quotePrefix="0" xfId="0">
      <alignment vertical="center"/>
    </xf>
    <xf numFmtId="0" fontId="83" fillId="0" borderId="0" applyAlignment="1" pivotButton="0" quotePrefix="0" xfId="0">
      <alignment horizontal="center" vertical="center"/>
    </xf>
    <xf numFmtId="0" fontId="84" fillId="0" borderId="0" applyAlignment="1" pivotButton="0" quotePrefix="0" xfId="0">
      <alignment horizontal="center" vertical="center"/>
    </xf>
    <xf numFmtId="0" fontId="85" fillId="0" borderId="0" applyAlignment="1" pivotButton="0" quotePrefix="0" xfId="0">
      <alignment vertical="center"/>
    </xf>
    <xf numFmtId="0" fontId="86" fillId="0" borderId="0" applyAlignment="1" pivotButton="0" quotePrefix="0" xfId="0">
      <alignment vertical="center"/>
    </xf>
    <xf numFmtId="0" fontId="87" fillId="0" borderId="0" applyAlignment="1" pivotButton="0" quotePrefix="0" xfId="0">
      <alignment horizontal="center" vertical="center"/>
    </xf>
    <xf numFmtId="0" fontId="88" fillId="0" borderId="0" applyAlignment="1" pivotButton="0" quotePrefix="0" xfId="0">
      <alignment horizontal="center" vertical="center"/>
    </xf>
    <xf numFmtId="0" fontId="82" fillId="0" borderId="0" pivotButton="0" quotePrefix="0" xfId="0"/>
    <xf numFmtId="0" fontId="89" fillId="0" borderId="0" pivotButton="0" quotePrefix="0" xfId="0"/>
    <xf numFmtId="0" fontId="90" fillId="0" borderId="0" applyAlignment="1" pivotButton="0" quotePrefix="0" xfId="0">
      <alignment horizontal="center" vertical="center"/>
    </xf>
    <xf numFmtId="0" fontId="64" fillId="44" borderId="29" applyAlignment="1" pivotButton="0" quotePrefix="0" xfId="0">
      <alignment horizontal="left"/>
    </xf>
    <xf numFmtId="0" fontId="76" fillId="36" borderId="0" applyAlignment="1" pivotButton="0" quotePrefix="0" xfId="0">
      <alignment horizontal="center" vertical="center"/>
    </xf>
    <xf numFmtId="0" fontId="91" fillId="36" borderId="0" applyAlignment="1" pivotButton="0" quotePrefix="0" xfId="0">
      <alignment horizontal="center" vertical="center"/>
    </xf>
    <xf numFmtId="0" fontId="64" fillId="45" borderId="29" applyAlignment="1" pivotButton="0" quotePrefix="0" xfId="0">
      <alignment horizontal="left"/>
    </xf>
    <xf numFmtId="0" fontId="92" fillId="20" borderId="0" applyAlignment="1" pivotButton="0" quotePrefix="0" xfId="0">
      <alignment horizontal="center" vertical="center"/>
    </xf>
    <xf numFmtId="0" fontId="93" fillId="17" borderId="0" applyAlignment="1" pivotButton="0" quotePrefix="0" xfId="0">
      <alignment horizontal="center" vertical="center"/>
    </xf>
    <xf numFmtId="0" fontId="93" fillId="22" borderId="0" applyAlignment="1" pivotButton="0" quotePrefix="0" xfId="0">
      <alignment horizontal="center" vertical="center"/>
    </xf>
    <xf numFmtId="0" fontId="94" fillId="13" borderId="39" applyAlignment="1" pivotButton="0" quotePrefix="0" xfId="0">
      <alignment horizontal="center"/>
    </xf>
    <xf numFmtId="0" fontId="0" fillId="0" borderId="39" pivotButton="0" quotePrefix="0" xfId="0"/>
    <xf numFmtId="0" fontId="94" fillId="46" borderId="40" applyAlignment="1" pivotButton="0" quotePrefix="0" xfId="0">
      <alignment horizontal="center"/>
    </xf>
    <xf numFmtId="0" fontId="0" fillId="0" borderId="40" pivotButton="0" quotePrefix="0" xfId="0"/>
    <xf numFmtId="0" fontId="94" fillId="47" borderId="41" applyAlignment="1" pivotButton="0" quotePrefix="0" xfId="0">
      <alignment horizontal="center"/>
    </xf>
    <xf numFmtId="0" fontId="0" fillId="0" borderId="41" pivotButton="0" quotePrefix="0" xfId="0"/>
    <xf numFmtId="0" fontId="94" fillId="48" borderId="42" applyAlignment="1" pivotButton="0" quotePrefix="0" xfId="0">
      <alignment horizontal="center"/>
    </xf>
    <xf numFmtId="0" fontId="0" fillId="0" borderId="42" pivotButton="0" quotePrefix="0" xfId="0"/>
    <xf numFmtId="0" fontId="94" fillId="46" borderId="43" applyAlignment="1" pivotButton="0" quotePrefix="0" xfId="0">
      <alignment horizontal="center"/>
    </xf>
    <xf numFmtId="0" fontId="94" fillId="13" borderId="40" applyAlignment="1" pivotButton="0" quotePrefix="0" xfId="0">
      <alignment horizontal="center"/>
    </xf>
    <xf numFmtId="0" fontId="45" fillId="2" borderId="0" pivotButton="0" quotePrefix="0" xfId="0"/>
    <xf numFmtId="0" fontId="46" fillId="3" borderId="0" pivotButton="0" quotePrefix="0" xfId="0"/>
    <xf numFmtId="0" fontId="46" fillId="4" borderId="0" pivotButton="0" quotePrefix="0" xfId="0"/>
    <xf numFmtId="0" fontId="46" fillId="5" borderId="0" pivotButton="0" quotePrefix="0" xfId="0"/>
    <xf numFmtId="0" fontId="46" fillId="6" borderId="0" pivotButton="0" quotePrefix="0" xfId="0"/>
    <xf numFmtId="0" fontId="46" fillId="7" borderId="0" pivotButton="0" quotePrefix="0" xfId="0"/>
    <xf numFmtId="0" fontId="46" fillId="8" borderId="0" pivotButton="0" quotePrefix="0" xfId="0"/>
    <xf numFmtId="0" fontId="62" fillId="0" borderId="0" pivotButton="0" quotePrefix="0" xfId="0"/>
    <xf numFmtId="0" fontId="91" fillId="0" borderId="0" applyAlignment="1" pivotButton="0" quotePrefix="0" xfId="0">
      <alignment horizontal="center" vertical="center"/>
    </xf>
    <xf numFmtId="0" fontId="94" fillId="48" borderId="46" applyAlignment="1" pivotButton="0" quotePrefix="0" xfId="0">
      <alignment horizontal="center"/>
    </xf>
    <xf numFmtId="0" fontId="0" fillId="0" borderId="46" pivotButton="0" quotePrefix="0" xfId="0"/>
    <xf numFmtId="0" fontId="94" fillId="46" borderId="46" applyAlignment="1" pivotButton="0" quotePrefix="0" xfId="0">
      <alignment horizontal="center"/>
    </xf>
    <xf numFmtId="0" fontId="94" fillId="47" borderId="46" applyAlignment="1" pivotButton="0" quotePrefix="0" xfId="0">
      <alignment horizontal="center"/>
    </xf>
    <xf numFmtId="0" fontId="94" fillId="13" borderId="47" applyAlignment="1" pivotButton="0" quotePrefix="0" xfId="0">
      <alignment horizontal="center"/>
    </xf>
    <xf numFmtId="0" fontId="0" fillId="0" borderId="47" pivotButton="0" quotePrefix="0" xfId="0"/>
    <xf numFmtId="0" fontId="94" fillId="46" borderId="48" applyAlignment="1" pivotButton="0" quotePrefix="0" xfId="0">
      <alignment horizontal="center"/>
    </xf>
    <xf numFmtId="0" fontId="94" fillId="13" borderId="46" applyAlignment="1" pivotButton="0" quotePrefix="0" xfId="0">
      <alignment horizontal="center"/>
    </xf>
    <xf numFmtId="0" fontId="46" fillId="49" borderId="0" pivotButton="0" quotePrefix="0" xfId="0"/>
    <xf numFmtId="0" fontId="46" fillId="50" borderId="0" pivotButton="0" quotePrefix="0" xfId="0"/>
    <xf numFmtId="0" fontId="94" fillId="13" borderId="41" applyAlignment="1" pivotButton="0" quotePrefix="0" xfId="0">
      <alignment horizontal="center"/>
    </xf>
    <xf numFmtId="0" fontId="94" fillId="46" borderId="41" applyAlignment="1" pivotButton="0" quotePrefix="0" xfId="0">
      <alignment horizontal="center"/>
    </xf>
    <xf numFmtId="0" fontId="94" fillId="13" borderId="42" applyAlignment="1" pivotButton="0" quotePrefix="0" xfId="0">
      <alignment horizontal="center"/>
    </xf>
    <xf numFmtId="0" fontId="93" fillId="13" borderId="41" applyAlignment="1" pivotButton="0" quotePrefix="0" xfId="0">
      <alignment horizontal="center" vertical="center"/>
    </xf>
    <xf numFmtId="0" fontId="93" fillId="46" borderId="41" applyAlignment="1" pivotButton="0" quotePrefix="0" xfId="0">
      <alignment horizontal="center"/>
    </xf>
    <xf numFmtId="0" fontId="93" fillId="47" borderId="40" applyAlignment="1" pivotButton="0" quotePrefix="0" xfId="0">
      <alignment horizontal="center"/>
    </xf>
    <xf numFmtId="0" fontId="93" fillId="13" borderId="40" applyAlignment="1" pivotButton="0" quotePrefix="0" xfId="0">
      <alignment horizontal="center"/>
    </xf>
    <xf numFmtId="0" fontId="93" fillId="13" borderId="51" applyAlignment="1" pivotButton="0" quotePrefix="0" xfId="0">
      <alignment horizontal="center"/>
    </xf>
    <xf numFmtId="0" fontId="0" fillId="0" borderId="51" pivotButton="0" quotePrefix="0" xfId="0"/>
    <xf numFmtId="0" fontId="46" fillId="9" borderId="0" pivotButton="0" quotePrefix="0" xfId="0"/>
    <xf numFmtId="0" fontId="46" fillId="0" borderId="0" pivotButton="0" quotePrefix="0" xfId="0"/>
    <xf numFmtId="0" fontId="95" fillId="36" borderId="29" applyAlignment="1" pivotButton="0" quotePrefix="0" xfId="0">
      <alignment horizontal="center" vertical="center" wrapText="1"/>
    </xf>
    <xf numFmtId="0" fontId="95" fillId="36" borderId="4" applyAlignment="1" pivotButton="0" quotePrefix="0" xfId="0">
      <alignment horizontal="center" vertical="center"/>
    </xf>
    <xf numFmtId="0" fontId="96" fillId="36" borderId="53" applyAlignment="1" pivotButton="0" quotePrefix="0" xfId="0">
      <alignment horizontal="center" vertical="center"/>
    </xf>
    <xf numFmtId="0" fontId="79" fillId="0" borderId="1" applyAlignment="1" pivotButton="0" quotePrefix="0" xfId="0">
      <alignment vertical="center"/>
    </xf>
    <xf numFmtId="0" fontId="97" fillId="43" borderId="29" applyAlignment="1" pivotButton="0" quotePrefix="0" xfId="0">
      <alignment horizontal="left" vertical="center"/>
    </xf>
    <xf numFmtId="0" fontId="79" fillId="0" borderId="3" applyAlignment="1" pivotButton="0" quotePrefix="0" xfId="0">
      <alignment vertical="center"/>
    </xf>
    <xf numFmtId="0" fontId="85" fillId="0" borderId="29" applyAlignment="1" pivotButton="0" quotePrefix="0" xfId="0">
      <alignment horizontal="center" vertical="center"/>
    </xf>
    <xf numFmtId="0" fontId="82" fillId="0" borderId="29" applyAlignment="1" pivotButton="0" quotePrefix="0" xfId="0">
      <alignment horizontal="left" vertical="center"/>
    </xf>
    <xf numFmtId="0" fontId="82" fillId="0" borderId="29" applyAlignment="1" pivotButton="0" quotePrefix="0" xfId="0">
      <alignment vertical="center"/>
    </xf>
    <xf numFmtId="0" fontId="87" fillId="0" borderId="29" applyAlignment="1" pivotButton="0" quotePrefix="0" xfId="0">
      <alignment horizontal="center" vertical="center"/>
    </xf>
    <xf numFmtId="0" fontId="98" fillId="0" borderId="29" applyAlignment="1" pivotButton="0" quotePrefix="0" xfId="0">
      <alignment vertical="center"/>
    </xf>
    <xf numFmtId="0" fontId="90" fillId="0" borderId="29" applyAlignment="1" pivotButton="0" quotePrefix="0" xfId="0">
      <alignment horizontal="center" vertical="center"/>
    </xf>
    <xf numFmtId="0" fontId="79" fillId="0" borderId="3" applyAlignment="1" pivotButton="0" quotePrefix="0" xfId="0">
      <alignment horizontal="center" vertical="center"/>
    </xf>
    <xf numFmtId="0" fontId="79" fillId="0" borderId="1" applyAlignment="1" pivotButton="0" quotePrefix="0" xfId="0">
      <alignment horizontal="center" vertical="center"/>
    </xf>
    <xf numFmtId="0" fontId="79" fillId="0" borderId="1" applyAlignment="1" pivotButton="0" quotePrefix="0" xfId="0">
      <alignment horizontal="left" vertical="center"/>
    </xf>
    <xf numFmtId="0" fontId="99" fillId="0" borderId="29" pivotButton="0" quotePrefix="0" xfId="0"/>
    <xf numFmtId="0" fontId="100" fillId="0" borderId="29" applyAlignment="1" pivotButton="0" quotePrefix="0" xfId="0">
      <alignment vertical="center"/>
    </xf>
    <xf numFmtId="0" fontId="101" fillId="0" borderId="3" applyAlignment="1" pivotButton="0" quotePrefix="0" xfId="0">
      <alignment vertical="center"/>
    </xf>
    <xf numFmtId="0" fontId="101" fillId="0" borderId="1" applyAlignment="1" pivotButton="0" quotePrefix="0" xfId="0">
      <alignment vertical="center"/>
    </xf>
    <xf numFmtId="0" fontId="82" fillId="0" borderId="3" applyAlignment="1" pivotButton="0" quotePrefix="0" xfId="0">
      <alignment vertical="center"/>
    </xf>
    <xf numFmtId="0" fontId="87" fillId="0" borderId="0" applyAlignment="1" pivotButton="0" quotePrefix="0" xfId="0">
      <alignment vertical="center"/>
    </xf>
    <xf numFmtId="0" fontId="99" fillId="0" borderId="0" pivotButton="0" quotePrefix="0" xfId="0"/>
    <xf numFmtId="0" fontId="102" fillId="27" borderId="1" pivotButton="0" quotePrefix="0" xfId="0"/>
    <xf numFmtId="0" fontId="71" fillId="0" borderId="1" applyAlignment="1" pivotButton="0" quotePrefix="0" xfId="0">
      <alignment vertical="center"/>
    </xf>
    <xf numFmtId="0" fontId="102" fillId="0" borderId="1" applyAlignment="1" pivotButton="0" quotePrefix="0" xfId="0">
      <alignment vertical="center"/>
    </xf>
    <xf numFmtId="0" fontId="71" fillId="0" borderId="1" pivotButton="0" quotePrefix="0" xfId="0"/>
    <xf numFmtId="0" fontId="45" fillId="0" borderId="25" pivotButton="0" quotePrefix="0" xfId="0"/>
    <xf numFmtId="0" fontId="71" fillId="0" borderId="25" applyAlignment="1" pivotButton="0" quotePrefix="0" xfId="0">
      <alignment vertical="center"/>
    </xf>
    <xf numFmtId="0" fontId="71" fillId="0" borderId="26" applyAlignment="1" pivotButton="0" quotePrefix="0" xfId="0">
      <alignment horizontal="left" vertical="center" wrapText="1"/>
    </xf>
    <xf numFmtId="0" fontId="71" fillId="0" borderId="3" applyAlignment="1" pivotButton="0" quotePrefix="0" xfId="0">
      <alignment vertical="center"/>
    </xf>
    <xf numFmtId="0" fontId="71" fillId="0" borderId="16" applyAlignment="1" pivotButton="0" quotePrefix="0" xfId="0">
      <alignment vertical="center"/>
    </xf>
    <xf numFmtId="0" fontId="45" fillId="0" borderId="29" applyAlignment="1" pivotButton="0" quotePrefix="0" xfId="0">
      <alignment horizontal="center"/>
    </xf>
    <xf numFmtId="0" fontId="43" fillId="0" borderId="3" applyAlignment="1" pivotButton="0" quotePrefix="0" xfId="0">
      <alignment vertical="center"/>
    </xf>
    <xf numFmtId="0" fontId="45" fillId="35" borderId="29" applyAlignment="1" pivotButton="0" quotePrefix="0" xfId="0">
      <alignment horizontal="left"/>
    </xf>
    <xf numFmtId="0" fontId="71" fillId="0" borderId="29" pivotButton="0" quotePrefix="0" xfId="0"/>
    <xf numFmtId="0" fontId="103" fillId="36" borderId="29" applyAlignment="1" pivotButton="0" quotePrefix="0" xfId="0">
      <alignment horizontal="left"/>
    </xf>
    <xf numFmtId="0" fontId="45" fillId="37" borderId="29" applyAlignment="1" pivotButton="0" quotePrefix="0" xfId="0">
      <alignment horizontal="left"/>
    </xf>
    <xf numFmtId="0" fontId="45" fillId="38" borderId="29" applyAlignment="1" pivotButton="0" quotePrefix="0" xfId="0">
      <alignment horizontal="left"/>
    </xf>
    <xf numFmtId="0" fontId="45" fillId="39" borderId="29" applyAlignment="1" pivotButton="0" quotePrefix="0" xfId="0">
      <alignment horizontal="left"/>
    </xf>
    <xf numFmtId="0" fontId="45" fillId="40" borderId="29" applyAlignment="1" pivotButton="0" quotePrefix="0" xfId="0">
      <alignment horizontal="left"/>
    </xf>
    <xf numFmtId="0" fontId="45" fillId="41" borderId="29" applyAlignment="1" pivotButton="0" quotePrefix="0" xfId="0">
      <alignment horizontal="left"/>
    </xf>
    <xf numFmtId="0" fontId="45" fillId="45" borderId="29" applyAlignment="1" pivotButton="0" quotePrefix="0" xfId="0">
      <alignment horizontal="left"/>
    </xf>
    <xf numFmtId="0" fontId="45" fillId="0" borderId="29" applyAlignment="1" pivotButton="0" quotePrefix="0" xfId="0">
      <alignment horizontal="left"/>
    </xf>
    <xf numFmtId="0" fontId="45" fillId="0" borderId="29" pivotButton="0" quotePrefix="0" xfId="0"/>
    <xf numFmtId="0" fontId="71" fillId="0" borderId="29" applyAlignment="1" pivotButton="0" quotePrefix="0" xfId="0">
      <alignment horizontal="left"/>
    </xf>
    <xf numFmtId="0" fontId="45" fillId="0" borderId="1" pivotButton="0" quotePrefix="0" xfId="0"/>
    <xf numFmtId="0" fontId="104" fillId="0" borderId="1" pivotButton="0" quotePrefix="0" xfId="0"/>
    <xf numFmtId="0" fontId="43" fillId="0" borderId="1" applyAlignment="1" pivotButton="0" quotePrefix="0" xfId="0">
      <alignment wrapText="1"/>
    </xf>
    <xf numFmtId="0" fontId="82" fillId="0" borderId="1" applyAlignment="1" pivotButton="0" quotePrefix="0" xfId="0">
      <alignment vertical="center"/>
    </xf>
    <xf numFmtId="0" fontId="82" fillId="0" borderId="3" applyAlignment="1" pivotButton="0" quotePrefix="0" xfId="0">
      <alignment horizontal="center" vertical="center"/>
    </xf>
    <xf numFmtId="0" fontId="82" fillId="0" borderId="1" applyAlignment="1" pivotButton="0" quotePrefix="0" xfId="0">
      <alignment horizontal="center" vertical="center"/>
    </xf>
    <xf numFmtId="0" fontId="82" fillId="0" borderId="1" applyAlignment="1" pivotButton="0" quotePrefix="0" xfId="0">
      <alignment horizontal="left" vertical="center"/>
    </xf>
    <xf numFmtId="0" fontId="100" fillId="0" borderId="3" applyAlignment="1" pivotButton="0" quotePrefix="0" xfId="0">
      <alignment vertical="center"/>
    </xf>
    <xf numFmtId="0" fontId="100" fillId="0" borderId="1" applyAlignment="1" pivotButton="0" quotePrefix="0" xfId="0">
      <alignment vertical="center"/>
    </xf>
    <xf numFmtId="0" fontId="105" fillId="27" borderId="1" pivotButton="0" quotePrefix="0" xfId="0"/>
    <xf numFmtId="0" fontId="106" fillId="0" borderId="1" applyAlignment="1" pivotButton="0" quotePrefix="0" xfId="0">
      <alignment vertical="center"/>
    </xf>
    <xf numFmtId="0" fontId="105" fillId="0" borderId="1" applyAlignment="1" pivotButton="0" quotePrefix="0" xfId="0">
      <alignment vertical="center"/>
    </xf>
    <xf numFmtId="0" fontId="107" fillId="0" borderId="1" applyAlignment="1" pivotButton="0" quotePrefix="0" xfId="0">
      <alignment vertical="center"/>
    </xf>
    <xf numFmtId="0" fontId="108" fillId="0" borderId="2" pivotButton="0" quotePrefix="0" xfId="0"/>
    <xf numFmtId="0" fontId="108" fillId="0" borderId="3" pivotButton="0" quotePrefix="0" xfId="0"/>
    <xf numFmtId="0" fontId="109" fillId="27" borderId="1" pivotButton="0" quotePrefix="0" xfId="0"/>
    <xf numFmtId="0" fontId="110" fillId="0" borderId="2" pivotButton="0" quotePrefix="0" xfId="0"/>
    <xf numFmtId="0" fontId="110" fillId="0" borderId="3" pivotButton="0" quotePrefix="0" xfId="0"/>
    <xf numFmtId="0" fontId="111" fillId="0" borderId="1" applyAlignment="1" pivotButton="0" quotePrefix="0" xfId="0">
      <alignment vertical="center"/>
    </xf>
    <xf numFmtId="0" fontId="109" fillId="0" borderId="1" applyAlignment="1" pivotButton="0" quotePrefix="0" xfId="0">
      <alignment vertical="center"/>
    </xf>
    <xf numFmtId="0" fontId="112" fillId="0" borderId="1" applyAlignment="1" pivotButton="0" quotePrefix="0" xfId="0">
      <alignment vertical="center"/>
    </xf>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M47"/>
  <sheetViews>
    <sheetView tabSelected="1" zoomScale="81" workbookViewId="0">
      <selection activeCell="D47" sqref="D47"/>
    </sheetView>
  </sheetViews>
  <sheetFormatPr baseColWidth="8" defaultRowHeight="15"/>
  <cols>
    <col width="35.1171875" customWidth="1" min="1" max="1"/>
    <col width="35.5859375" customWidth="1" min="2" max="2"/>
    <col width="27.3515625" customWidth="1" min="3" max="3"/>
    <col width="32" customWidth="1" min="7" max="7"/>
    <col width="27.3515625" customWidth="1" min="8" max="8"/>
  </cols>
  <sheetData>
    <row r="1" ht="22.5" customHeight="1">
      <c r="A1" s="384" t="inlineStr">
        <is>
          <t>概览统计</t>
        </is>
      </c>
      <c r="B1" s="307" t="n"/>
      <c r="C1" s="314" t="n"/>
      <c r="D1" s="314" t="n"/>
      <c r="E1" s="314" t="n"/>
      <c r="F1" s="314" t="n"/>
      <c r="G1" s="314" t="n"/>
      <c r="H1" s="314" t="n"/>
      <c r="I1" s="314" t="n"/>
      <c r="J1" s="314" t="n"/>
      <c r="K1" s="314" t="n"/>
      <c r="L1" s="314" t="n"/>
      <c r="M1" s="314" t="n"/>
    </row>
    <row r="2">
      <c r="A2" s="307" t="n"/>
      <c r="B2" s="307" t="n"/>
      <c r="C2" s="314" t="n"/>
      <c r="D2" s="314" t="n"/>
      <c r="E2" s="314" t="n"/>
      <c r="F2" s="314" t="n"/>
      <c r="G2" s="314" t="n"/>
      <c r="H2" s="314" t="n"/>
      <c r="I2" s="314" t="n"/>
      <c r="J2" s="314" t="n"/>
      <c r="K2" s="314" t="n"/>
      <c r="L2" s="314" t="n"/>
      <c r="M2" s="314" t="n"/>
    </row>
    <row r="3" ht="16.5" customHeight="1">
      <c r="A3" s="384" t="inlineStr">
        <is>
          <t>数据集范围</t>
        </is>
      </c>
      <c r="B3" s="307" t="n"/>
      <c r="C3" s="314" t="n"/>
      <c r="D3" s="314" t="n"/>
      <c r="E3" s="314" t="n"/>
      <c r="F3" s="314" t="n"/>
      <c r="G3" s="314" t="n"/>
      <c r="H3" s="314" t="n"/>
      <c r="I3" s="314" t="n"/>
      <c r="J3" s="314" t="n"/>
      <c r="K3" s="314" t="n"/>
      <c r="L3" s="314" t="n"/>
      <c r="M3" s="314" t="n"/>
    </row>
    <row r="4" ht="15" customHeight="1">
      <c r="A4" s="306" t="inlineStr">
        <is>
          <t>路径数量：</t>
        </is>
      </c>
      <c r="B4" s="307">
        <f>COUNTA(路径汇总!C:C)-1</f>
        <v/>
      </c>
      <c r="C4" s="314" t="n"/>
      <c r="D4" s="314" t="n"/>
      <c r="E4" s="314" t="n"/>
      <c r="F4" s="314" t="n"/>
      <c r="G4" s="314" t="n"/>
      <c r="H4" s="314" t="n"/>
      <c r="I4" s="314" t="n"/>
      <c r="J4" s="314" t="n"/>
      <c r="K4" s="314" t="n"/>
      <c r="L4" s="314" t="n"/>
      <c r="M4" s="314" t="n"/>
    </row>
    <row r="5" ht="15" customHeight="1">
      <c r="A5" s="306" t="inlineStr">
        <is>
          <t>工具数量：</t>
        </is>
      </c>
      <c r="B5" s="307">
        <f>COUNTA(工具总览!A:A)-2</f>
        <v/>
      </c>
      <c r="C5" s="314" t="n"/>
      <c r="D5" s="314" t="n"/>
      <c r="E5" s="314" t="n"/>
      <c r="F5" s="314" t="n"/>
      <c r="G5" s="314" t="n"/>
      <c r="H5" s="314" t="n"/>
      <c r="I5" s="314" t="n"/>
      <c r="J5" s="314" t="n"/>
      <c r="K5" s="314" t="n"/>
      <c r="L5" s="314" t="n"/>
      <c r="M5" s="314" t="n"/>
    </row>
    <row r="6" ht="15" customHeight="1">
      <c r="A6" s="306" t="inlineStr">
        <is>
          <t>覆盖部门：</t>
        </is>
      </c>
      <c r="B6" s="307" t="inlineStr">
        <is>
          <t>能源；交通；建筑；工业；农业、林业和其他土地利用；废弃物</t>
        </is>
      </c>
      <c r="C6" s="314" t="n"/>
      <c r="D6" s="314" t="n"/>
      <c r="E6" s="314" t="n"/>
      <c r="F6" s="314" t="n"/>
      <c r="G6" s="314" t="n"/>
      <c r="H6" s="314" t="n"/>
      <c r="I6" s="314" t="n"/>
      <c r="J6" s="314" t="n"/>
      <c r="K6" s="314" t="n"/>
      <c r="L6" s="314" t="n"/>
      <c r="M6" s="314" t="n"/>
    </row>
    <row r="7" ht="15" customHeight="1">
      <c r="A7" s="314" t="n"/>
      <c r="B7" s="314" t="n"/>
      <c r="C7" s="314" t="n"/>
      <c r="D7" s="314" t="n"/>
      <c r="E7" s="314" t="n"/>
      <c r="F7" s="314" t="n"/>
      <c r="G7" s="314" t="n"/>
      <c r="H7" s="314" t="n"/>
      <c r="I7" s="314" t="n"/>
      <c r="J7" s="314" t="n"/>
      <c r="K7" s="314" t="n"/>
      <c r="L7" s="314" t="n"/>
      <c r="M7" s="314" t="n"/>
    </row>
    <row r="8">
      <c r="A8" s="314" t="n"/>
      <c r="B8" s="314" t="n"/>
      <c r="C8" s="314" t="n"/>
      <c r="D8" s="314" t="n"/>
      <c r="E8" s="314" t="n"/>
      <c r="F8" s="314" t="n"/>
      <c r="G8" s="314" t="n"/>
      <c r="H8" s="314" t="n"/>
      <c r="I8" s="314" t="n"/>
      <c r="J8" s="314" t="n"/>
      <c r="K8" s="314" t="n"/>
      <c r="L8" s="314" t="n"/>
      <c r="M8" s="314" t="n"/>
    </row>
    <row r="9" ht="16.9" customHeight="1">
      <c r="A9" s="313" t="inlineStr">
        <is>
          <t>类别</t>
        </is>
      </c>
      <c r="B9" s="313" t="inlineStr">
        <is>
          <t>组别</t>
        </is>
      </c>
      <c r="C9" s="313" t="inlineStr">
        <is>
          <t>路径数量</t>
        </is>
      </c>
      <c r="D9" s="313" t="inlineStr">
        <is>
          <t>工具数量</t>
        </is>
      </c>
      <c r="E9" s="314" t="n"/>
      <c r="F9" s="314" t="n"/>
      <c r="G9" s="313" t="inlineStr">
        <is>
          <t>类别</t>
        </is>
      </c>
      <c r="H9" s="313" t="inlineStr">
        <is>
          <t>路径数量</t>
        </is>
      </c>
      <c r="I9" s="313" t="inlineStr">
        <is>
          <t>工具数量</t>
        </is>
      </c>
      <c r="J9" s="314" t="n"/>
      <c r="K9" s="314" t="n"/>
      <c r="L9" s="314" t="n"/>
      <c r="M9" s="314" t="n"/>
    </row>
    <row r="10" ht="16.5" customHeight="1">
      <c r="A10" s="309" t="inlineStr">
        <is>
          <t>经济工具</t>
        </is>
      </c>
      <c r="B10" s="310" t="inlineStr">
        <is>
          <t>交易机制</t>
        </is>
      </c>
      <c r="C10" s="384">
        <f>COUNTIF(路径汇总!B:B, "交易机制")</f>
        <v/>
      </c>
      <c r="D10" s="384">
        <f>COUNTIF(工具总览!J:J, "交易机制")</f>
        <v/>
      </c>
      <c r="E10" s="314" t="n"/>
      <c r="F10" s="314" t="n"/>
      <c r="G10" s="310" t="inlineStr">
        <is>
          <t>经济工具</t>
        </is>
      </c>
      <c r="H10" s="314">
        <f>COUNTIF(路径汇总!A:A, "经济工具")</f>
        <v/>
      </c>
      <c r="I10" s="314">
        <f>COUNTIF(工具总览!I:I, "经济工具")</f>
        <v/>
      </c>
      <c r="J10" s="314" t="n"/>
      <c r="K10" s="314" t="n"/>
      <c r="L10" s="314" t="n"/>
      <c r="M10" s="314" t="n"/>
    </row>
    <row r="11">
      <c r="B11" s="310" t="inlineStr">
        <is>
          <t>补贴</t>
        </is>
      </c>
      <c r="C11" s="384">
        <f>COUNTIF(路径汇总!B:B, "补贴")</f>
        <v/>
      </c>
      <c r="D11" s="384">
        <f>COUNTIF(工具总览!J:J, "补贴")</f>
        <v/>
      </c>
      <c r="E11" s="314" t="n"/>
      <c r="F11" s="314" t="n"/>
      <c r="G11" s="310" t="inlineStr">
        <is>
          <t>规制工具</t>
        </is>
      </c>
      <c r="H11" s="314">
        <f>COUNTIF(路径汇总!A:A, "规制工具")</f>
        <v/>
      </c>
      <c r="I11" s="314">
        <f>COUNTIF(工具总览!I:I, "规制工具")</f>
        <v/>
      </c>
      <c r="J11" s="314" t="n"/>
      <c r="K11" s="314" t="n"/>
      <c r="L11" s="314" t="n"/>
      <c r="M11" s="314" t="n"/>
    </row>
    <row r="12">
      <c r="B12" s="310" t="inlineStr">
        <is>
          <t>税收</t>
        </is>
      </c>
      <c r="C12" s="384">
        <f>COUNTIF(路径汇总!B:B, "税收")</f>
        <v/>
      </c>
      <c r="D12" s="384">
        <f>COUNTIF(工具总览!J:J, "税收")</f>
        <v/>
      </c>
      <c r="E12" s="314" t="n"/>
      <c r="F12" s="314" t="n"/>
      <c r="G12" s="310" t="inlineStr">
        <is>
          <t>政府投资与消费</t>
        </is>
      </c>
      <c r="H12" s="314">
        <f>COUNTIF(路径汇总!A:A, "政府投资与消费")</f>
        <v/>
      </c>
      <c r="I12" s="314">
        <f>COUNTIF(工具总览!I:I, "政府投资与消费")</f>
        <v/>
      </c>
      <c r="J12" s="314" t="n"/>
      <c r="K12" s="314" t="n"/>
      <c r="L12" s="314" t="n"/>
      <c r="M12" s="314" t="n"/>
    </row>
    <row r="13">
      <c r="B13" s="310" t="inlineStr">
        <is>
          <t>行政定价</t>
        </is>
      </c>
      <c r="C13" s="384">
        <f>COUNTIF(路径汇总!B:B, "行政定价")</f>
        <v/>
      </c>
      <c r="D13" s="384">
        <f>COUNTIF(工具总览!J:J, "行政定价")</f>
        <v/>
      </c>
      <c r="E13" s="314" t="n"/>
      <c r="F13" s="314" t="n"/>
      <c r="G13" s="310" t="inlineStr">
        <is>
          <t>信息工具</t>
        </is>
      </c>
      <c r="H13" s="314">
        <f>COUNTIF(路径汇总!A:A, "信息工具")</f>
        <v/>
      </c>
      <c r="I13" s="314">
        <f>COUNTIF(工具总览!I:I, "信息工具")</f>
        <v/>
      </c>
      <c r="J13" s="314" t="n"/>
      <c r="K13" s="314" t="n"/>
      <c r="L13" s="314" t="n"/>
      <c r="M13" s="314" t="n"/>
    </row>
    <row r="14">
      <c r="A14" s="312" t="inlineStr">
        <is>
          <t>规制工具</t>
        </is>
      </c>
      <c r="B14" s="310" t="inlineStr">
        <is>
          <t>技术标准</t>
        </is>
      </c>
      <c r="C14" s="384">
        <f>COUNTIF(路径汇总!B:B, "技术标准")</f>
        <v/>
      </c>
      <c r="D14" s="384">
        <f>COUNTIF(工具总览!J:J, "技术标准")</f>
        <v/>
      </c>
      <c r="E14" s="314" t="n"/>
      <c r="F14" s="314" t="n"/>
      <c r="G14" s="310" t="inlineStr">
        <is>
          <t>自愿措施</t>
        </is>
      </c>
      <c r="H14" s="314">
        <f>COUNTIF(路径汇总!A:A, "自愿措施")</f>
        <v/>
      </c>
      <c r="I14" s="314">
        <f>COUNTIF(工具总览!I:I, "自愿措施")</f>
        <v/>
      </c>
      <c r="J14" s="314" t="n"/>
      <c r="K14" s="314" t="n"/>
      <c r="L14" s="314" t="n"/>
      <c r="M14" s="314" t="n"/>
    </row>
    <row r="15">
      <c r="B15" s="310" t="inlineStr">
        <is>
          <t>绩效标准</t>
        </is>
      </c>
      <c r="C15" s="384">
        <f>COUNTIF(路径汇总!B:B, "绩效标准")</f>
        <v/>
      </c>
      <c r="D15" s="384">
        <f>COUNTIF(工具总览!J:J, "绩效标准")</f>
        <v/>
      </c>
      <c r="E15" s="314" t="n"/>
      <c r="F15" s="314" t="n"/>
      <c r="G15" s="314" t="n"/>
      <c r="H15" s="314" t="n"/>
      <c r="I15" s="314" t="n"/>
      <c r="J15" s="314" t="n"/>
      <c r="K15" s="314" t="n"/>
      <c r="L15" s="314" t="n"/>
      <c r="M15" s="314" t="n"/>
    </row>
    <row r="16">
      <c r="B16" s="310" t="inlineStr">
        <is>
          <t>框架性规制</t>
        </is>
      </c>
      <c r="C16" s="384">
        <f>COUNTIF(路径汇总!B:B, "框架性规制")</f>
        <v/>
      </c>
      <c r="D16" s="384">
        <f>COUNTIF(工具总览!J:J, "框架性规制")</f>
        <v/>
      </c>
      <c r="E16" s="314" t="n"/>
      <c r="F16" s="314" t="n"/>
      <c r="G16" s="314" t="n"/>
      <c r="H16" s="314" t="n"/>
      <c r="I16" s="314" t="n"/>
      <c r="J16" s="314" t="n"/>
      <c r="K16" s="314" t="n"/>
      <c r="L16" s="314" t="n"/>
      <c r="M16" s="314" t="n"/>
    </row>
    <row r="17" ht="16.9" customHeight="1">
      <c r="A17" s="312" t="inlineStr">
        <is>
          <t>政府投资与消费</t>
        </is>
      </c>
      <c r="B17" s="310" t="inlineStr">
        <is>
          <t>公共采购</t>
        </is>
      </c>
      <c r="C17" s="384">
        <f>COUNTIF(路径汇总!B:B, "公共采购")</f>
        <v/>
      </c>
      <c r="D17" s="384">
        <f>COUNTIF(工具总览!J:J, "公共采购")</f>
        <v/>
      </c>
      <c r="E17" s="314" t="n"/>
      <c r="F17" s="314" t="n"/>
      <c r="G17" s="313" t="inlineStr">
        <is>
          <t>排放部门</t>
        </is>
      </c>
      <c r="H17" s="313" t="inlineStr">
        <is>
          <t>路径数量</t>
        </is>
      </c>
      <c r="I17" s="313" t="inlineStr">
        <is>
          <t>工具数量</t>
        </is>
      </c>
      <c r="J17" s="314" t="n"/>
      <c r="K17" s="314" t="n"/>
      <c r="L17" s="314" t="n"/>
      <c r="M17" s="314" t="n"/>
    </row>
    <row r="18" ht="16.5" customHeight="1">
      <c r="B18" s="310" t="inlineStr">
        <is>
          <t>公共投资</t>
        </is>
      </c>
      <c r="C18" s="384">
        <f>COUNTIF(路径汇总!B:B, "公共投资")</f>
        <v/>
      </c>
      <c r="D18" s="384">
        <f>COUNTIF(工具总览!J:J, "公共投资")</f>
        <v/>
      </c>
      <c r="E18" s="314" t="n"/>
      <c r="F18" s="314" t="n"/>
      <c r="G18" s="310" t="inlineStr">
        <is>
          <t>能源</t>
        </is>
      </c>
      <c r="H18" s="314">
        <f>SUMPRODUCT((ISNUMBER(SEARCH("能源",路径汇总!F:F)))*1)</f>
        <v/>
      </c>
      <c r="I18" s="314">
        <f>COUNTIF(工具总览!K:K, "*能源*")</f>
        <v/>
      </c>
      <c r="J18" s="314" t="n"/>
      <c r="K18" s="314" t="n"/>
      <c r="L18" s="314" t="n"/>
      <c r="M18" s="314" t="n"/>
    </row>
    <row r="19">
      <c r="B19" s="310" t="inlineStr">
        <is>
          <t>公共评估规则</t>
        </is>
      </c>
      <c r="C19" s="384">
        <f>COUNTIF(路径汇总!B:B, "公共评估规则")</f>
        <v/>
      </c>
      <c r="D19" s="384">
        <f>COUNTIF(工具总览!J:J, "公共评估规则")</f>
        <v/>
      </c>
      <c r="E19" s="314" t="n"/>
      <c r="F19" s="314" t="n"/>
      <c r="G19" s="310" t="inlineStr">
        <is>
          <t>工业</t>
        </is>
      </c>
      <c r="H19" s="314">
        <f>SUMPRODUCT((ISNUMBER(SEARCH("工业",路径汇总!F:F)))*1)</f>
        <v/>
      </c>
      <c r="I19" s="314">
        <f>COUNTIF(工具总览!K:K, "*工业*")</f>
        <v/>
      </c>
      <c r="J19" s="314" t="n"/>
      <c r="K19" s="314" t="n"/>
      <c r="L19" s="314" t="n"/>
      <c r="M19" s="314" t="n"/>
    </row>
    <row r="20">
      <c r="A20" s="312" t="inlineStr">
        <is>
          <t>信息工具</t>
        </is>
      </c>
      <c r="B20" s="310" t="inlineStr">
        <is>
          <t>标签</t>
        </is>
      </c>
      <c r="C20" s="384">
        <f>COUNTIF(路径汇总!B:B, "比较性能效标签")</f>
        <v/>
      </c>
      <c r="D20" s="384">
        <f>COUNTIF(工具总览!J:J, "比较性能效标签")</f>
        <v/>
      </c>
      <c r="E20" s="314" t="n"/>
      <c r="F20" s="314" t="n"/>
      <c r="G20" s="310" t="inlineStr">
        <is>
          <t>建筑</t>
        </is>
      </c>
      <c r="H20" s="314">
        <f>SUMPRODUCT((ISNUMBER(SEARCH("建筑",路径汇总!F:F)))*1)</f>
        <v/>
      </c>
      <c r="I20" s="314">
        <f>COUNTIF(工具总览!K:K, "*建筑*")</f>
        <v/>
      </c>
      <c r="J20" s="314" t="n"/>
      <c r="K20" s="314" t="n"/>
      <c r="L20" s="314" t="n"/>
      <c r="M20" s="314" t="n"/>
    </row>
    <row r="21">
      <c r="B21" s="310" t="inlineStr">
        <is>
          <t>报告要求</t>
        </is>
      </c>
      <c r="C21" s="384">
        <f>COUNTIF(路径汇总!B:B, "报告与披露要求")</f>
        <v/>
      </c>
      <c r="D21" s="384">
        <f>COUNTIF(工具总览!J:J, "报告与披露要求")</f>
        <v/>
      </c>
      <c r="E21" s="314" t="n"/>
      <c r="F21" s="314" t="n"/>
      <c r="G21" s="310" t="inlineStr">
        <is>
          <t>交通</t>
        </is>
      </c>
      <c r="H21" s="314">
        <f>SUMPRODUCT((ISNUMBER(SEARCH("交通",路径汇总!F:F)))*1)</f>
        <v/>
      </c>
      <c r="I21" s="314">
        <f>COUNTIF(工具总览!K:K, "*交通*")</f>
        <v/>
      </c>
      <c r="J21" s="314" t="n"/>
      <c r="K21" s="314" t="n"/>
      <c r="L21" s="314" t="n"/>
      <c r="M21" s="314" t="n"/>
    </row>
    <row r="22">
      <c r="B22" s="310" t="inlineStr">
        <is>
          <t>能力建设与公众意识</t>
        </is>
      </c>
      <c r="C22" s="384">
        <f>COUNTIF(路径汇总!B:B, "能力建设与公众意识")</f>
        <v/>
      </c>
      <c r="D22" s="384">
        <f>COUNTIF(工具总览!J:J, "能力建设与公众意识")</f>
        <v/>
      </c>
      <c r="E22" s="314" t="n"/>
      <c r="F22" s="314" t="n"/>
      <c r="G22" s="310" t="inlineStr">
        <is>
          <t>农业、林业和其他土地利用</t>
        </is>
      </c>
      <c r="H22" s="314">
        <f>SUMPRODUCT((ISNUMBER(SEARCH("农业、林业和其他土地利用",路径汇总!F:F)))*1)</f>
        <v/>
      </c>
      <c r="I22" s="314">
        <f>COUNTIF(工具总览!K:K, "*农业、林业和其他土地利用*")</f>
        <v/>
      </c>
      <c r="J22" s="314" t="n"/>
      <c r="K22" s="314" t="n"/>
      <c r="L22" s="314" t="n"/>
      <c r="M22" s="314" t="n"/>
    </row>
    <row r="23">
      <c r="A23" s="312" t="inlineStr">
        <is>
          <t>自愿措施</t>
        </is>
      </c>
      <c r="B23" s="310" t="inlineStr">
        <is>
          <t>自愿信息工具</t>
        </is>
      </c>
      <c r="C23" s="384">
        <f>COUNTIF(路径汇总!B:B, "自愿性信息工具")</f>
        <v/>
      </c>
      <c r="D23" s="384">
        <f>COUNTIF(工具总览!J:J, "自愿性信息工具")</f>
        <v/>
      </c>
      <c r="E23" s="314" t="n"/>
      <c r="F23" s="314" t="n"/>
      <c r="G23" s="310" t="inlineStr">
        <is>
          <t>废弃物</t>
        </is>
      </c>
      <c r="H23" s="314">
        <f>SUMPRODUCT((ISNUMBER(SEARCH("废弃物",路径汇总!F:F)))*1)</f>
        <v/>
      </c>
      <c r="I23" s="314">
        <f>COUNTIF(工具总览!K:K, "*废弃物*")</f>
        <v/>
      </c>
      <c r="J23" s="314" t="n"/>
      <c r="K23" s="314" t="n"/>
      <c r="L23" s="314" t="n"/>
      <c r="M23" s="314" t="n"/>
    </row>
    <row r="24">
      <c r="B24" s="310" t="inlineStr">
        <is>
          <t>自愿性目标</t>
        </is>
      </c>
      <c r="C24" s="384">
        <f>COUNTIF(路径汇总!B:B, "自愿性目标")</f>
        <v/>
      </c>
      <c r="D24" s="384">
        <f>COUNTIF(工具总览!J:J, "自愿性目标")</f>
        <v/>
      </c>
      <c r="E24" s="314" t="n"/>
      <c r="F24" s="314" t="n"/>
      <c r="G24" s="310" t="inlineStr">
        <is>
          <t>跨部门</t>
        </is>
      </c>
      <c r="H24" s="314">
        <f>SUMPRODUCT((ISNUMBER(SEARCH("跨部门",路径汇总!F:F)))*1)</f>
        <v/>
      </c>
      <c r="I24" s="314">
        <f>COUNTIF(工具总览!K:K, "*跨部门*")</f>
        <v/>
      </c>
      <c r="J24" s="314" t="n"/>
      <c r="K24" s="314" t="n"/>
      <c r="L24" s="314" t="n"/>
      <c r="M24" s="314" t="n"/>
    </row>
    <row r="25">
      <c r="B25" s="310" t="inlineStr">
        <is>
          <t>自愿交易机制</t>
        </is>
      </c>
      <c r="C25" s="384">
        <f>COUNTIF(路径汇总!B:B, "自愿交易体系")</f>
        <v/>
      </c>
      <c r="D25" s="384">
        <f>COUNTIF(工具总览!J:J, "自愿交易体系")</f>
        <v/>
      </c>
      <c r="E25" s="314" t="n"/>
      <c r="F25" s="314" t="n"/>
      <c r="G25" s="384" t="n"/>
      <c r="H25" s="314" t="n"/>
      <c r="I25" s="314" t="n"/>
      <c r="J25" s="314" t="n"/>
      <c r="K25" s="314" t="n"/>
      <c r="L25" s="314" t="n"/>
      <c r="M25" s="314" t="n"/>
    </row>
    <row r="26">
      <c r="A26" s="314" t="n"/>
      <c r="B26" s="314" t="n"/>
      <c r="C26" s="314" t="n"/>
      <c r="D26" s="314" t="n"/>
      <c r="E26" s="314" t="n"/>
      <c r="F26" s="314" t="n"/>
      <c r="G26" s="314" t="n"/>
      <c r="H26" s="314" t="n"/>
      <c r="I26" s="314" t="n"/>
      <c r="J26" s="314" t="n"/>
      <c r="K26" s="314" t="n"/>
      <c r="L26" s="314" t="n"/>
      <c r="M26" s="314" t="n"/>
    </row>
    <row r="27">
      <c r="A27" s="385" t="inlineStr">
        <is>
          <t>注："类别"和"组别"的数字之和等于路径/工具的总数，因为每个路径/工具仅属于一个类别/组别。其他表中的数字之和大于路径/工具总数，因为部分路径/工具属于多个分类。</t>
        </is>
      </c>
      <c r="B27" s="314" t="n"/>
      <c r="C27" s="314" t="n"/>
      <c r="D27" s="314" t="n"/>
      <c r="E27" s="314" t="n"/>
      <c r="F27" s="314" t="n"/>
      <c r="G27" s="314" t="n"/>
      <c r="H27" s="314" t="n"/>
      <c r="I27" s="314" t="n"/>
      <c r="J27" s="314" t="n"/>
      <c r="K27" s="314" t="n"/>
      <c r="L27" s="314" t="n"/>
      <c r="M27" s="314" t="n"/>
    </row>
    <row r="28" ht="16.9" customHeight="1">
      <c r="A28" s="314" t="n"/>
      <c r="B28" s="314" t="n"/>
      <c r="C28" s="314" t="n"/>
      <c r="D28" s="314" t="n"/>
      <c r="E28" s="314" t="n"/>
      <c r="F28" s="314" t="n"/>
      <c r="G28" s="313" t="inlineStr">
        <is>
          <t>减缓相关性</t>
        </is>
      </c>
      <c r="H28" s="313" t="inlineStr">
        <is>
          <t>路径数量</t>
        </is>
      </c>
      <c r="I28" s="313" t="inlineStr">
        <is>
          <t>工具数量</t>
        </is>
      </c>
      <c r="J28" s="314" t="n"/>
      <c r="K28" s="314" t="n"/>
      <c r="L28" s="314" t="n"/>
      <c r="M28" s="314" t="n"/>
    </row>
    <row r="29" ht="16.5" customHeight="1">
      <c r="A29" s="314" t="n"/>
      <c r="B29" s="314" t="n"/>
      <c r="C29" s="314" t="n"/>
      <c r="D29" s="314" t="n"/>
      <c r="E29" s="314" t="n"/>
      <c r="F29" s="314" t="n"/>
      <c r="G29" s="310" t="inlineStr">
        <is>
          <t>直接</t>
        </is>
      </c>
      <c r="H29" s="314">
        <f>SUMPRODUCT((ISNUMBER(SEARCH("直接",路径汇总!G:G)))*1)</f>
        <v/>
      </c>
      <c r="I29" s="314">
        <f>COUNTIF(工具总览!H:H, "直接")</f>
        <v/>
      </c>
      <c r="J29" s="314" t="n"/>
      <c r="K29" s="314" t="n"/>
      <c r="L29" s="314" t="n"/>
      <c r="M29" s="314" t="n"/>
    </row>
    <row r="30">
      <c r="A30" s="314" t="n"/>
      <c r="B30" s="314" t="n"/>
      <c r="C30" s="314" t="n"/>
      <c r="D30" s="314" t="n"/>
      <c r="E30" s="314" t="n"/>
      <c r="F30" s="314" t="n"/>
      <c r="G30" s="310" t="inlineStr">
        <is>
          <t>间接</t>
        </is>
      </c>
      <c r="H30" s="314">
        <f>SUMPRODUCT((ISNUMBER(SEARCH("间接",路径汇总!G:G)))*1)</f>
        <v/>
      </c>
      <c r="I30" s="314">
        <f>COUNTIF(工具总览!H:H, "间接")</f>
        <v/>
      </c>
      <c r="J30" s="314" t="n"/>
      <c r="K30" s="314" t="n"/>
      <c r="L30" s="314" t="n"/>
      <c r="M30" s="314" t="n"/>
    </row>
    <row r="31">
      <c r="A31" s="314" t="n"/>
      <c r="B31" s="314" t="n"/>
      <c r="C31" s="314" t="n"/>
      <c r="D31" s="314" t="n"/>
      <c r="E31" s="314" t="n"/>
      <c r="F31" s="314" t="n"/>
      <c r="G31" s="384" t="n"/>
      <c r="H31" s="314" t="n"/>
      <c r="I31" s="314" t="n"/>
      <c r="J31" s="314" t="n"/>
      <c r="K31" s="314" t="n"/>
      <c r="L31" s="314" t="n"/>
      <c r="M31" s="314" t="n"/>
    </row>
    <row r="32">
      <c r="A32" s="314" t="n"/>
      <c r="B32" s="314" t="n"/>
      <c r="C32" s="314" t="n"/>
      <c r="D32" s="314" t="n"/>
      <c r="E32" s="314" t="n"/>
      <c r="F32" s="314" t="n"/>
      <c r="G32" s="314" t="n"/>
      <c r="H32" s="314" t="n"/>
      <c r="I32" s="314" t="n"/>
      <c r="J32" s="314" t="n"/>
      <c r="K32" s="314" t="n"/>
      <c r="L32" s="314" t="n"/>
      <c r="M32" s="314" t="n"/>
    </row>
    <row r="33" ht="16.5" customHeight="1">
      <c r="A33" s="314" t="n"/>
      <c r="B33" s="314" t="n"/>
      <c r="C33" s="314" t="n"/>
      <c r="D33" s="314" t="n"/>
      <c r="E33" s="314" t="n"/>
      <c r="F33" s="314" t="n"/>
      <c r="G33" s="314" t="n"/>
      <c r="H33" s="313" t="inlineStr">
        <is>
          <t>经济工具</t>
        </is>
      </c>
      <c r="I33" s="313" t="inlineStr">
        <is>
          <t>规制工具</t>
        </is>
      </c>
      <c r="J33" s="313" t="inlineStr">
        <is>
          <t>政府投资与消费</t>
        </is>
      </c>
      <c r="K33" s="313" t="inlineStr">
        <is>
          <t>信息工具</t>
        </is>
      </c>
      <c r="L33" s="313" t="inlineStr">
        <is>
          <t>自愿措施</t>
        </is>
      </c>
      <c r="M33" s="313" t="inlineStr">
        <is>
          <t>路径数量总计</t>
        </is>
      </c>
    </row>
    <row r="34" ht="16.9" customHeight="1">
      <c r="A34" s="314" t="n"/>
      <c r="B34" s="314" t="n"/>
      <c r="C34" s="314" t="n"/>
      <c r="D34" s="314" t="n"/>
      <c r="E34" s="314" t="n"/>
      <c r="F34" s="314" t="n"/>
      <c r="G34" s="316" t="inlineStr">
        <is>
          <t>能源</t>
        </is>
      </c>
      <c r="H34" s="314">
        <f>COUNTIFS(路径汇总!F:F, "*能源*", 路径汇总!A:A, "经济工具")</f>
        <v/>
      </c>
      <c r="I34" s="314">
        <f>COUNTIFS(路径汇总!F:F, "*能源*", 路径汇总!A:A, "规制工具")</f>
        <v/>
      </c>
      <c r="J34" s="314">
        <f>COUNTIFS(路径汇总!F:F, "*能源*", 路径汇总!A:A, "政府投资与消费")</f>
        <v/>
      </c>
      <c r="K34" s="314">
        <f>COUNTIFS(路径汇总!F:F, "*能源*", 路径汇总!A:A, "信息工具")</f>
        <v/>
      </c>
      <c r="L34" s="314">
        <f>COUNTIFS(路径汇总!F:F, "*能源*", 路径汇总!A:A, "自愿措施")</f>
        <v/>
      </c>
      <c r="M34" s="314">
        <f>SUM(H34:L34)</f>
        <v/>
      </c>
    </row>
    <row r="35" ht="16.5" customHeight="1">
      <c r="A35" s="314" t="n"/>
      <c r="B35" s="314" t="n"/>
      <c r="C35" s="314" t="n"/>
      <c r="D35" s="314" t="n"/>
      <c r="E35" s="314" t="n"/>
      <c r="F35" s="314" t="n"/>
      <c r="G35" s="316" t="inlineStr">
        <is>
          <t>工业</t>
        </is>
      </c>
      <c r="H35" s="314">
        <f>COUNTIFS(路径汇总!F:F, "*工业*", 路径汇总!A:A, "经济工具")</f>
        <v/>
      </c>
      <c r="I35" s="314">
        <f>COUNTIFS(路径汇总!F:F, "*工业*", 路径汇总!A:A, "规制工具")</f>
        <v/>
      </c>
      <c r="J35" s="314">
        <f>COUNTIFS(路径汇总!F:F, "*工业*", 路径汇总!A:A, "政府投资与消费")</f>
        <v/>
      </c>
      <c r="K35" s="314">
        <f>COUNTIFS(路径汇总!F:F, "*工业*", 路径汇总!A:A, "信息工具")</f>
        <v/>
      </c>
      <c r="L35" s="314">
        <f>COUNTIFS(路径汇总!F:F, "*工业*", 路径汇总!A:A, "自愿措施")</f>
        <v/>
      </c>
      <c r="M35" s="314">
        <f>SUM(H35:L35)</f>
        <v/>
      </c>
    </row>
    <row r="36">
      <c r="A36" s="314" t="n"/>
      <c r="B36" s="314" t="n"/>
      <c r="C36" s="314" t="n"/>
      <c r="D36" s="314" t="n"/>
      <c r="E36" s="314" t="n"/>
      <c r="F36" s="314" t="n"/>
      <c r="G36" s="316" t="inlineStr">
        <is>
          <t>建筑</t>
        </is>
      </c>
      <c r="H36" s="314">
        <f>COUNTIFS(路径汇总!F:F, "*建筑*", 路径汇总!A:A, "经济工具")</f>
        <v/>
      </c>
      <c r="I36" s="314">
        <f>COUNTIFS(路径汇总!F:F, "*建筑*", 路径汇总!A:A, "规制工具")</f>
        <v/>
      </c>
      <c r="J36" s="314">
        <f>COUNTIFS(路径汇总!F:F, "*建筑*", 路径汇总!A:A, "政府投资与消费")</f>
        <v/>
      </c>
      <c r="K36" s="314">
        <f>COUNTIFS(路径汇总!F:F, "*建筑*", 路径汇总!A:A, "信息工具")</f>
        <v/>
      </c>
      <c r="L36" s="314">
        <f>COUNTIFS(路径汇总!F:F, "*建筑*", 路径汇总!A:A, "自愿措施")</f>
        <v/>
      </c>
      <c r="M36" s="314">
        <f>SUM(H36:L36)</f>
        <v/>
      </c>
    </row>
    <row r="37">
      <c r="A37" s="314" t="n"/>
      <c r="B37" s="314" t="n"/>
      <c r="C37" s="314" t="n"/>
      <c r="D37" s="314" t="n"/>
      <c r="E37" s="314" t="n"/>
      <c r="F37" s="314" t="n"/>
      <c r="G37" s="316" t="inlineStr">
        <is>
          <t>交通</t>
        </is>
      </c>
      <c r="H37" s="314">
        <f>COUNTIFS(路径汇总!F:F, "*交通*", 路径汇总!A:A, "经济工具")</f>
        <v/>
      </c>
      <c r="I37" s="314">
        <f>COUNTIFS(路径汇总!F:F, "*交通*", 路径汇总!A:A, "规制工具")</f>
        <v/>
      </c>
      <c r="J37" s="314">
        <f>COUNTIFS(路径汇总!F:F, "*交通*", 路径汇总!A:A, "政府投资与消费")</f>
        <v/>
      </c>
      <c r="K37" s="314">
        <f>COUNTIFS(路径汇总!F:F, "*交通*", 路径汇总!A:A, "信息工具")</f>
        <v/>
      </c>
      <c r="L37" s="314">
        <f>COUNTIFS(路径汇总!F:F, "*交通*", 路径汇总!A:A, "自愿措施")</f>
        <v/>
      </c>
      <c r="M37" s="314">
        <f>SUM(H37:L37)</f>
        <v/>
      </c>
    </row>
    <row r="38">
      <c r="A38" s="314" t="n"/>
      <c r="B38" s="314" t="n"/>
      <c r="C38" s="314" t="n"/>
      <c r="D38" s="314" t="n"/>
      <c r="E38" s="314" t="n"/>
      <c r="F38" s="314" t="n"/>
      <c r="G38" s="316" t="inlineStr">
        <is>
          <t>农业、林业和其他土地利用</t>
        </is>
      </c>
      <c r="H38" s="314">
        <f>COUNTIFS(路径汇总!F:F, "*农业、林业和其他土地利用*", 路径汇总!A:A, "经济工具")</f>
        <v/>
      </c>
      <c r="I38" s="314">
        <f>COUNTIFS(路径汇总!F:F, "*农业、林业和其他土地利用*", 路径汇总!A:A, "规制工具")</f>
        <v/>
      </c>
      <c r="J38" s="314">
        <f>COUNTIFS(路径汇总!F:F, "*农业、林业和其他土地利用*", 路径汇总!A:A, "政府投资与消费")</f>
        <v/>
      </c>
      <c r="K38" s="314">
        <f>COUNTIFS(路径汇总!F:F, "*农业、林业和其他土地利用*", 路径汇总!A:A, "信息工具")</f>
        <v/>
      </c>
      <c r="L38" s="314">
        <f>COUNTIFS(路径汇总!F:F, "*农业、林业和其他土地利用*", 路径汇总!A:A, "自愿措施")</f>
        <v/>
      </c>
      <c r="M38" s="314">
        <f>SUM(H38:L38)</f>
        <v/>
      </c>
    </row>
    <row r="39" ht="16.9" customHeight="1">
      <c r="A39" s="314" t="n"/>
      <c r="B39" s="314" t="n"/>
      <c r="C39" s="314" t="n"/>
      <c r="D39" s="314" t="n"/>
      <c r="E39" s="314" t="n"/>
      <c r="F39" s="314" t="n"/>
      <c r="G39" s="316" t="inlineStr">
        <is>
          <t>废弃物</t>
        </is>
      </c>
      <c r="H39" s="314">
        <f>COUNTIFS(路径汇总!F:F, "*废弃物*", 路径汇总!A:A, "经济工具")</f>
        <v/>
      </c>
      <c r="I39" s="314">
        <f>COUNTIFS(路径汇总!F:F, "*废弃物*", 路径汇总!A:A, "规制工具")</f>
        <v/>
      </c>
      <c r="J39" s="314">
        <f>COUNTIFS(路径汇总!F:F, "*废弃物*", 路径汇总!A:A, "政府投资与消费")</f>
        <v/>
      </c>
      <c r="K39" s="314">
        <f>COUNTIFS(路径汇总!F:F, "*废弃物*", 路径汇总!A:A, "信息工具")</f>
        <v/>
      </c>
      <c r="L39" s="314">
        <f>COUNTIFS(路径汇总!F:F, "*废弃物*", 路径汇总!A:A, "自愿措施")</f>
        <v/>
      </c>
      <c r="M39" s="314">
        <f>SUM(H39:L39)</f>
        <v/>
      </c>
    </row>
    <row r="40" ht="16.5" customHeight="1">
      <c r="A40" s="314" t="n"/>
      <c r="B40" s="314" t="n"/>
      <c r="C40" s="314" t="n"/>
      <c r="D40" s="314" t="n"/>
      <c r="E40" s="314" t="n"/>
      <c r="F40" s="314" t="n"/>
      <c r="G40" s="316" t="inlineStr">
        <is>
          <t>跨部门</t>
        </is>
      </c>
      <c r="H40" s="314">
        <f>COUNTIFS(路径汇总!F:F, "*跨部门*", 路径汇总!A:A, "经济工具")</f>
        <v/>
      </c>
      <c r="I40" s="314">
        <f>COUNTIFS(路径汇总!F:F, "*跨部门*", 路径汇总!A:A, "规制工具")</f>
        <v/>
      </c>
      <c r="J40" s="314">
        <f>COUNTIFS(路径汇总!F:F, "*跨部门*", 路径汇总!A:A, "政府投资与消费")</f>
        <v/>
      </c>
      <c r="K40" s="314">
        <f>COUNTIFS(路径汇总!F:F, "*跨部门*", 路径汇总!A:A, "信息工具")</f>
        <v/>
      </c>
      <c r="L40" s="314">
        <f>COUNTIFS(路径汇总!F:F, "*跨部门*", 路径汇总!A:A, "自愿措施")</f>
        <v/>
      </c>
      <c r="M40" s="314">
        <f>SUM(H40:L40)</f>
        <v/>
      </c>
    </row>
    <row r="41" ht="16.5" customHeight="1">
      <c r="A41" s="314" t="n"/>
      <c r="B41" s="314" t="n"/>
      <c r="C41" s="314" t="n"/>
      <c r="D41" s="314" t="n"/>
      <c r="E41" s="314" t="n"/>
      <c r="F41" s="314" t="n"/>
    </row>
    <row r="42" ht="16.5" customHeight="1">
      <c r="A42" s="314" t="n"/>
      <c r="B42" s="314" t="n"/>
      <c r="C42" s="314" t="n"/>
      <c r="D42" s="314" t="n"/>
      <c r="E42" s="314" t="n"/>
      <c r="F42" s="314" t="n"/>
    </row>
    <row r="43" ht="16.5" customHeight="1">
      <c r="A43" s="314" t="n"/>
      <c r="B43" s="314" t="n"/>
      <c r="C43" s="314" t="n"/>
      <c r="D43" s="314" t="n"/>
      <c r="E43" s="314" t="n"/>
      <c r="F43" s="314" t="n"/>
    </row>
    <row r="44" ht="16.5" customHeight="1">
      <c r="A44" s="314" t="n"/>
      <c r="B44" s="314" t="n"/>
      <c r="C44" s="314" t="n"/>
      <c r="D44" s="314" t="n"/>
      <c r="E44" s="314" t="n"/>
      <c r="F44" s="314" t="n"/>
    </row>
    <row r="45" ht="16.5" customHeight="1">
      <c r="A45" s="314" t="n"/>
      <c r="B45" s="314" t="n"/>
      <c r="C45" s="314" t="n"/>
      <c r="D45" s="314" t="n"/>
      <c r="E45" s="314" t="n"/>
      <c r="F45" s="314" t="n"/>
    </row>
    <row r="46" ht="16.5" customHeight="1">
      <c r="A46" s="314" t="n"/>
      <c r="B46" s="314" t="n"/>
      <c r="C46" s="314" t="n"/>
      <c r="D46" s="314" t="n"/>
      <c r="E46" s="314" t="n"/>
      <c r="F46" s="314" t="n"/>
    </row>
    <row r="47" ht="16.5" customHeight="1">
      <c r="A47" s="314" t="n"/>
      <c r="B47" s="314" t="n"/>
      <c r="C47" s="314" t="n"/>
      <c r="D47" s="314" t="n"/>
      <c r="E47" s="314" t="n"/>
      <c r="F47" s="314" t="n"/>
      <c r="G47" s="313" t="n"/>
      <c r="H47" s="314" t="n"/>
      <c r="I47" s="314" t="n"/>
      <c r="J47" s="314" t="n"/>
      <c r="K47" s="314" t="n"/>
      <c r="L47" s="314" t="n"/>
      <c r="M47" s="314" t="n"/>
    </row>
    <row r="48" ht="16.5" customHeight="1"/>
  </sheetData>
  <mergeCells count="5">
    <mergeCell ref="A17:A19"/>
    <mergeCell ref="A20:A22"/>
    <mergeCell ref="A23:A25"/>
    <mergeCell ref="A14:A16"/>
    <mergeCell ref="A10:A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M2"/>
  <sheetViews>
    <sheetView workbookViewId="0">
      <selection activeCell="B2" sqref="B2"/>
    </sheetView>
  </sheetViews>
  <sheetFormatPr baseColWidth="8" defaultRowHeight="13.5"/>
  <sheetData>
    <row r="1" ht="15.75" customHeight="1">
      <c r="A1" s="321" t="inlineStr">
        <is>
          <t>识别信息</t>
        </is>
      </c>
      <c r="C1" s="322" t="inlineStr">
        <is>
          <t>工具分类</t>
        </is>
      </c>
      <c r="G1" s="323" t="inlineStr">
        <is>
          <t>政策描述</t>
        </is>
      </c>
      <c r="M1" s="324" t="inlineStr">
        <is>
          <t>行政信息</t>
        </is>
      </c>
      <c r="N1" s="325" t="n"/>
      <c r="O1" s="325" t="n"/>
      <c r="P1" s="325" t="n"/>
      <c r="Q1" s="325" t="n"/>
      <c r="R1" s="325" t="n"/>
      <c r="S1" s="325" t="n"/>
      <c r="T1" s="325" t="n"/>
      <c r="U1" s="325" t="n"/>
      <c r="V1" s="326" t="inlineStr">
        <is>
          <t>政策规制基础与强度</t>
        </is>
      </c>
      <c r="W1" s="327" t="n"/>
      <c r="X1" s="327" t="n"/>
      <c r="Y1" s="327" t="n"/>
      <c r="Z1" s="327" t="n"/>
      <c r="AA1" s="327" t="n"/>
      <c r="AB1" s="327" t="n"/>
      <c r="AC1" s="327" t="n"/>
      <c r="AD1" s="327" t="n"/>
      <c r="AE1" s="327" t="n"/>
      <c r="AF1" s="327" t="n"/>
      <c r="AG1" s="327" t="n"/>
      <c r="AH1" s="327" t="n"/>
      <c r="AI1" s="327" t="n"/>
      <c r="AJ1" s="327" t="n"/>
      <c r="AK1" s="328" t="inlineStr">
        <is>
          <t>工具特定属性</t>
        </is>
      </c>
      <c r="AL1" s="329" t="n"/>
      <c r="AM1" s="329" t="n"/>
      <c r="AN1" s="329" t="n"/>
      <c r="AO1" s="329" t="n"/>
      <c r="AP1" s="329" t="n"/>
      <c r="AQ1" s="329" t="n"/>
      <c r="AR1" s="329" t="n"/>
      <c r="AS1" s="329" t="n"/>
      <c r="AT1" s="329" t="n"/>
      <c r="AU1" s="329" t="n"/>
      <c r="AV1" s="329" t="n"/>
      <c r="AW1" s="329" t="n"/>
      <c r="AX1" s="329" t="n"/>
      <c r="AY1" s="329" t="n"/>
      <c r="AZ1" s="329" t="n"/>
      <c r="BA1" s="329" t="n"/>
      <c r="BB1" s="329" t="n"/>
      <c r="BC1" s="329" t="n"/>
      <c r="BD1" s="330" t="inlineStr">
        <is>
          <t>温室气体排放基础</t>
        </is>
      </c>
      <c r="BE1" s="331" t="n"/>
      <c r="BF1" s="332" t="inlineStr">
        <is>
          <t>分类与指标</t>
        </is>
      </c>
      <c r="BG1" s="329" t="n"/>
      <c r="BH1" s="329" t="n"/>
      <c r="BI1" s="329" t="n"/>
      <c r="BJ1" s="333" t="inlineStr">
        <is>
          <t>立法参考</t>
        </is>
      </c>
      <c r="BK1" s="327" t="n"/>
      <c r="BL1" s="327"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9" t="inlineStr">
        <is>
          <t>税收及激励：年度收入</t>
        </is>
      </c>
      <c r="AL2" s="339" t="inlineStr">
        <is>
          <t>税收及激励：专项资金</t>
        </is>
      </c>
      <c r="AM2" s="339" t="inlineStr">
        <is>
          <t>税收及激励：年度收入减免</t>
        </is>
      </c>
      <c r="AN2" s="339" t="inlineStr">
        <is>
          <t>补贴：年度预算/支出</t>
        </is>
      </c>
      <c r="AO2" s="339" t="inlineStr">
        <is>
          <t>补贴：限额</t>
        </is>
      </c>
      <c r="AP2" s="339" t="inlineStr">
        <is>
          <t>补贴：下限或上限</t>
        </is>
      </c>
      <c r="AQ2" s="339" t="inlineStr">
        <is>
          <t>补贴：分配机制</t>
        </is>
      </c>
      <c r="AR2" s="339" t="inlineStr">
        <is>
          <t>补贴：支持期限</t>
        </is>
      </c>
      <c r="AS2" s="339" t="inlineStr">
        <is>
          <t>补贴：执行机制</t>
        </is>
      </c>
      <c r="AT2" s="339" t="inlineStr">
        <is>
          <t>交易系统：类型</t>
        </is>
      </c>
      <c r="AU2" s="339" t="inlineStr">
        <is>
          <t>交易系统：总量上限</t>
        </is>
      </c>
      <c r="AV2" s="339" t="inlineStr">
        <is>
          <t>交易系统：配额分配机制</t>
        </is>
      </c>
      <c r="AW2" s="339" t="inlineStr">
        <is>
          <t>交易系统：免费配额</t>
        </is>
      </c>
      <c r="AX2" s="339" t="inlineStr">
        <is>
          <t>交易系统：允许使用抵消</t>
        </is>
      </c>
      <c r="AY2" s="339" t="inlineStr">
        <is>
          <t>交易系统：链接</t>
        </is>
      </c>
      <c r="AZ2" s="339" t="inlineStr">
        <is>
          <t>交易系统：市场稳定机制</t>
        </is>
      </c>
      <c r="BA2" s="339" t="inlineStr">
        <is>
          <t>交易系统：年收入</t>
        </is>
      </c>
      <c r="BB2" s="339" t="inlineStr">
        <is>
          <t>交易系统：交易量</t>
        </is>
      </c>
      <c r="BC2" s="339" t="inlineStr">
        <is>
          <t>交易系统：违规处罚</t>
        </is>
      </c>
      <c r="BD2" s="340" t="inlineStr">
        <is>
          <t>温室气体排放覆盖（绝对量）</t>
        </is>
      </c>
      <c r="BE2" s="340" t="inlineStr">
        <is>
          <t>温室气体排放覆盖（占国内排放百分比）</t>
        </is>
      </c>
      <c r="BF2" s="335" t="inlineStr">
        <is>
          <t>经济行业</t>
        </is>
      </c>
      <c r="BG2" s="335" t="inlineStr">
        <is>
          <t>受影响的温室气体</t>
        </is>
      </c>
      <c r="BH2" s="335" t="inlineStr">
        <is>
          <t>减缓效果</t>
        </is>
      </c>
      <c r="BI2" s="335" t="inlineStr">
        <is>
          <t>减缓协同效益</t>
        </is>
      </c>
      <c r="BJ2" s="337" t="inlineStr">
        <is>
          <t>法律文件名称</t>
        </is>
      </c>
      <c r="BK2" s="337" t="inlineStr">
        <is>
          <t>法律文件链接</t>
        </is>
      </c>
      <c r="BL2" s="337" t="inlineStr">
        <is>
          <t>其他网页链接</t>
        </is>
      </c>
      <c r="BM2" s="341" t="n"/>
    </row>
  </sheetData>
  <mergeCells count="9">
    <mergeCell ref="G1:L1"/>
    <mergeCell ref="AK1:BC1"/>
    <mergeCell ref="BJ1:BL1"/>
    <mergeCell ref="V1:AJ1"/>
    <mergeCell ref="BF1:BI1"/>
    <mergeCell ref="BD1:BE1"/>
    <mergeCell ref="M1:U1"/>
    <mergeCell ref="C1:F1"/>
    <mergeCell ref="A1:B1"/>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M1"/>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318" t="inlineStr">
        <is>
          <t>政策工具ID</t>
        </is>
      </c>
      <c r="B1" s="318" t="inlineStr">
        <is>
          <t>路径</t>
        </is>
      </c>
      <c r="C1" s="318" t="inlineStr">
        <is>
          <t>英文工具名称</t>
        </is>
      </c>
      <c r="D1" s="318" t="inlineStr">
        <is>
          <t>本国工具名称</t>
        </is>
      </c>
      <c r="E1" s="318" t="inlineStr">
        <is>
          <t>状态</t>
        </is>
      </c>
      <c r="F1" s="318" t="inlineStr">
        <is>
          <t>生效日期</t>
        </is>
      </c>
      <c r="G1" s="318" t="inlineStr">
        <is>
          <t>终止日期</t>
        </is>
      </c>
      <c r="H1" s="318" t="inlineStr">
        <is>
          <t>减缓相关性</t>
        </is>
      </c>
      <c r="I1" s="318" t="inlineStr">
        <is>
          <t>类别</t>
        </is>
      </c>
      <c r="J1" s="318" t="inlineStr">
        <is>
          <t>组别</t>
        </is>
      </c>
      <c r="K1" s="318" t="inlineStr">
        <is>
          <t>排放部门</t>
        </is>
      </c>
      <c r="L1" s="318" t="inlineStr">
        <is>
          <t>子行业</t>
        </is>
      </c>
      <c r="M1" s="34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Z2"/>
  <sheetViews>
    <sheetView topLeftCell="U1" workbookViewId="0">
      <selection activeCell="AY1" sqref="AY1:AZ1"/>
    </sheetView>
  </sheetViews>
  <sheetFormatPr baseColWidth="8" defaultRowHeight="13.5"/>
  <sheetData>
    <row r="1" ht="15.75" customHeight="1">
      <c r="A1" s="321" t="inlineStr">
        <is>
          <t>识别信息</t>
        </is>
      </c>
      <c r="C1" s="322" t="inlineStr">
        <is>
          <t>工具分类</t>
        </is>
      </c>
      <c r="G1" s="323" t="inlineStr">
        <is>
          <t>政策描述</t>
        </is>
      </c>
      <c r="M1" s="343" t="inlineStr">
        <is>
          <t>行政信息</t>
        </is>
      </c>
      <c r="N1" s="344" t="n"/>
      <c r="O1" s="344" t="n"/>
      <c r="P1" s="344" t="n"/>
      <c r="Q1" s="344" t="n"/>
      <c r="R1" s="344" t="n"/>
      <c r="S1" s="344" t="n"/>
      <c r="T1" s="344" t="n"/>
      <c r="U1" s="344" t="n"/>
      <c r="V1" s="345" t="inlineStr">
        <is>
          <t>政策规制基础与强度</t>
        </is>
      </c>
      <c r="W1" s="344" t="n"/>
      <c r="X1" s="344" t="n"/>
      <c r="Y1" s="344" t="n"/>
      <c r="Z1" s="344" t="n"/>
      <c r="AA1" s="344" t="n"/>
      <c r="AB1" s="344" t="n"/>
      <c r="AC1" s="344" t="n"/>
      <c r="AD1" s="344" t="n"/>
      <c r="AE1" s="344" t="n"/>
      <c r="AF1" s="344" t="n"/>
      <c r="AG1" s="344" t="n"/>
      <c r="AH1" s="344" t="n"/>
      <c r="AI1" s="344" t="n"/>
      <c r="AJ1" s="344" t="n"/>
      <c r="AK1" s="346" t="inlineStr">
        <is>
          <t>工具特定属性</t>
        </is>
      </c>
      <c r="AL1" s="344" t="n"/>
      <c r="AM1" s="344" t="n"/>
      <c r="AN1" s="344" t="n"/>
      <c r="AO1" s="344" t="n"/>
      <c r="AP1" s="344" t="n"/>
      <c r="AQ1" s="347" t="inlineStr">
        <is>
          <t>温室气体排放基础</t>
        </is>
      </c>
      <c r="AR1" s="348" t="n"/>
      <c r="AS1" s="349" t="inlineStr">
        <is>
          <t>分类与指标</t>
        </is>
      </c>
      <c r="AT1" s="344" t="n"/>
      <c r="AU1" s="344" t="n"/>
      <c r="AV1" s="344" t="n"/>
      <c r="AW1" s="350" t="inlineStr">
        <is>
          <t>立法参考</t>
        </is>
      </c>
      <c r="AX1" s="344" t="n"/>
      <c r="AY1" s="344"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51" t="inlineStr">
        <is>
          <t>管辖层级</t>
        </is>
      </c>
      <c r="N2" s="351" t="inlineStr">
        <is>
          <t>管辖地名称</t>
        </is>
      </c>
      <c r="O2" s="351" t="inlineStr">
        <is>
          <t>通过日期</t>
        </is>
      </c>
      <c r="P2" s="351" t="inlineStr">
        <is>
          <t>生效日期</t>
        </is>
      </c>
      <c r="Q2" s="351" t="inlineStr">
        <is>
          <t>终止日期</t>
        </is>
      </c>
      <c r="R2" s="351" t="inlineStr">
        <is>
          <t>最近修订</t>
        </is>
      </c>
      <c r="S2" s="351" t="inlineStr">
        <is>
          <t>最近修订（详情）</t>
        </is>
      </c>
      <c r="T2" s="351" t="inlineStr">
        <is>
          <t>状态</t>
        </is>
      </c>
      <c r="U2" s="351"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6" t="inlineStr">
        <is>
          <t>合规监测</t>
        </is>
      </c>
      <c r="AL2" s="336" t="inlineStr">
        <is>
          <t>合规监测详情</t>
        </is>
      </c>
      <c r="AM2" s="336" t="inlineStr">
        <is>
          <t>合规执行</t>
        </is>
      </c>
      <c r="AN2" s="336" t="inlineStr">
        <is>
          <t>合规执行详情</t>
        </is>
      </c>
      <c r="AO2" s="336" t="inlineStr">
        <is>
          <t>合规促进</t>
        </is>
      </c>
      <c r="AP2" s="336" t="inlineStr">
        <is>
          <t>合规促进详情</t>
        </is>
      </c>
      <c r="AQ2" s="340" t="inlineStr">
        <is>
          <t>温室气体排放覆盖（绝对量）</t>
        </is>
      </c>
      <c r="AR2" s="340" t="inlineStr">
        <is>
          <t>温室气体排放覆盖（占国内排放百分比）</t>
        </is>
      </c>
      <c r="AS2" s="352" t="inlineStr">
        <is>
          <t>经济行业</t>
        </is>
      </c>
      <c r="AT2" s="352" t="inlineStr">
        <is>
          <t>受影响的温室气体</t>
        </is>
      </c>
      <c r="AU2" s="352" t="inlineStr">
        <is>
          <t>减缓效果</t>
        </is>
      </c>
      <c r="AV2" s="352" t="inlineStr">
        <is>
          <t>减缓协同效益</t>
        </is>
      </c>
      <c r="AW2" s="337" t="inlineStr">
        <is>
          <t>法律文件名称</t>
        </is>
      </c>
      <c r="AX2" s="337" t="inlineStr">
        <is>
          <t>法律文件链接</t>
        </is>
      </c>
      <c r="AY2" s="337" t="inlineStr">
        <is>
          <t>其他网页链接</t>
        </is>
      </c>
      <c r="AZ2" s="341" t="n"/>
    </row>
  </sheetData>
  <mergeCells count="9">
    <mergeCell ref="G1:L1"/>
    <mergeCell ref="V1:AJ1"/>
    <mergeCell ref="AK1:AP1"/>
    <mergeCell ref="AW1:AY1"/>
    <mergeCell ref="M1:U1"/>
    <mergeCell ref="C1:F1"/>
    <mergeCell ref="AQ1:AR1"/>
    <mergeCell ref="A1:B1"/>
    <mergeCell ref="AS1:AV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B2"/>
  <sheetViews>
    <sheetView topLeftCell="U1" workbookViewId="0">
      <selection activeCell="BA1" sqref="BA1:BB1"/>
    </sheetView>
  </sheetViews>
  <sheetFormatPr baseColWidth="8" defaultRowHeight="13.5"/>
  <sheetData>
    <row r="1" ht="15.75" customHeight="1">
      <c r="A1" s="321" t="inlineStr">
        <is>
          <t>识别信息</t>
        </is>
      </c>
      <c r="C1" s="322" t="inlineStr">
        <is>
          <t>工具分类</t>
        </is>
      </c>
      <c r="G1" s="323" t="inlineStr">
        <is>
          <t>政策描述</t>
        </is>
      </c>
      <c r="M1" s="353" t="inlineStr">
        <is>
          <t>行政信息</t>
        </is>
      </c>
      <c r="N1" s="329" t="n"/>
      <c r="O1" s="329" t="n"/>
      <c r="P1" s="329" t="n"/>
      <c r="Q1" s="329" t="n"/>
      <c r="R1" s="329" t="n"/>
      <c r="S1" s="329" t="n"/>
      <c r="T1" s="329" t="n"/>
      <c r="U1" s="329" t="n"/>
      <c r="V1" s="354" t="inlineStr">
        <is>
          <t>政策规制基础与强度</t>
        </is>
      </c>
      <c r="W1" s="329" t="n"/>
      <c r="X1" s="329" t="n"/>
      <c r="Y1" s="329" t="n"/>
      <c r="Z1" s="329" t="n"/>
      <c r="AA1" s="329" t="n"/>
      <c r="AB1" s="329" t="n"/>
      <c r="AC1" s="329" t="n"/>
      <c r="AD1" s="329" t="n"/>
      <c r="AE1" s="329" t="n"/>
      <c r="AF1" s="329" t="n"/>
      <c r="AG1" s="329" t="n"/>
      <c r="AH1" s="329" t="n"/>
      <c r="AI1" s="329" t="n"/>
      <c r="AJ1" s="329" t="n"/>
      <c r="AK1" s="328" t="inlineStr">
        <is>
          <t>工具特定属性</t>
        </is>
      </c>
      <c r="AL1" s="329" t="n"/>
      <c r="AM1" s="329" t="n"/>
      <c r="AN1" s="329" t="n"/>
      <c r="AO1" s="329" t="n"/>
      <c r="AP1" s="329" t="n"/>
      <c r="AQ1" s="329" t="n"/>
      <c r="AR1" s="329" t="n"/>
      <c r="AS1" s="355" t="inlineStr">
        <is>
          <t>温室气体排放基础</t>
        </is>
      </c>
      <c r="AT1" s="331" t="n"/>
      <c r="AU1" s="332" t="inlineStr">
        <is>
          <t>分类与指标</t>
        </is>
      </c>
      <c r="AV1" s="329" t="n"/>
      <c r="AW1" s="329" t="n"/>
      <c r="AX1" s="329" t="n"/>
      <c r="AY1" s="353" t="inlineStr">
        <is>
          <t>立法参考</t>
        </is>
      </c>
      <c r="AZ1" s="329" t="n"/>
      <c r="BA1" s="329"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9" t="inlineStr">
        <is>
          <t>公共投资：共同融资</t>
        </is>
      </c>
      <c r="AL2" s="339" t="inlineStr">
        <is>
          <t>公共投资：选择流程</t>
        </is>
      </c>
      <c r="AM2" s="339" t="inlineStr">
        <is>
          <t>公共采购：招标流程</t>
        </is>
      </c>
      <c r="AN2" s="339" t="inlineStr">
        <is>
          <t>公共采购：招标评标标准</t>
        </is>
      </c>
      <c r="AO2" s="339" t="inlineStr">
        <is>
          <t>公共采购：合规监测</t>
        </is>
      </c>
      <c r="AP2" s="339" t="inlineStr">
        <is>
          <t>公共采购：合规执行</t>
        </is>
      </c>
      <c r="AQ2" s="339" t="inlineStr">
        <is>
          <t>公共采购：全生命周期成本</t>
        </is>
      </c>
      <c r="AR2" s="339" t="inlineStr">
        <is>
          <t>公共投资/采购：年度支出</t>
        </is>
      </c>
      <c r="AS2" s="340" t="inlineStr">
        <is>
          <t>温室气体排放覆盖（绝对量）</t>
        </is>
      </c>
      <c r="AT2" s="340" t="inlineStr">
        <is>
          <t>温室气体排放覆盖（占国内排放百分比）</t>
        </is>
      </c>
      <c r="AU2" s="352" t="inlineStr">
        <is>
          <t>经济行业</t>
        </is>
      </c>
      <c r="AV2" s="352" t="inlineStr">
        <is>
          <t>受影响的温室气体</t>
        </is>
      </c>
      <c r="AW2" s="352" t="inlineStr">
        <is>
          <t>减缓效果</t>
        </is>
      </c>
      <c r="AX2" s="352" t="inlineStr">
        <is>
          <t>减缓协同效益</t>
        </is>
      </c>
      <c r="AY2" s="337" t="inlineStr">
        <is>
          <t>法律文件名称</t>
        </is>
      </c>
      <c r="AZ2" s="337" t="inlineStr">
        <is>
          <t>法律文件链接</t>
        </is>
      </c>
      <c r="BA2" s="337" t="inlineStr">
        <is>
          <t>其他网页链接</t>
        </is>
      </c>
      <c r="BB2" s="341" t="n"/>
    </row>
  </sheetData>
  <mergeCells count="9">
    <mergeCell ref="G1:L1"/>
    <mergeCell ref="AU1:AX1"/>
    <mergeCell ref="V1:AJ1"/>
    <mergeCell ref="AY1:BA1"/>
    <mergeCell ref="M1:U1"/>
    <mergeCell ref="AS1:AT1"/>
    <mergeCell ref="C1:F1"/>
    <mergeCell ref="A1:B1"/>
    <mergeCell ref="AK1:AR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E2"/>
  <sheetViews>
    <sheetView topLeftCell="AG1" workbookViewId="0">
      <selection activeCell="BC1" sqref="BC1:BD1"/>
    </sheetView>
  </sheetViews>
  <sheetFormatPr baseColWidth="8" defaultRowHeight="13.5"/>
  <sheetData>
    <row r="1" ht="15.75" customHeight="1">
      <c r="A1" s="321" t="inlineStr">
        <is>
          <t>识别信息</t>
        </is>
      </c>
      <c r="C1" s="322" t="inlineStr">
        <is>
          <t>工具分类</t>
        </is>
      </c>
      <c r="G1" s="323" t="inlineStr">
        <is>
          <t>政策描述</t>
        </is>
      </c>
      <c r="M1" s="356" t="inlineStr">
        <is>
          <t>行政信息</t>
        </is>
      </c>
      <c r="N1" s="329" t="n"/>
      <c r="O1" s="329" t="n"/>
      <c r="P1" s="329" t="n"/>
      <c r="Q1" s="329" t="n"/>
      <c r="R1" s="329" t="n"/>
      <c r="S1" s="329" t="n"/>
      <c r="T1" s="329" t="n"/>
      <c r="U1" s="329" t="n"/>
      <c r="V1" s="357" t="inlineStr">
        <is>
          <t>政策规制基础与强度</t>
        </is>
      </c>
      <c r="W1" s="329" t="n"/>
      <c r="X1" s="329" t="n"/>
      <c r="Y1" s="329" t="n"/>
      <c r="Z1" s="329" t="n"/>
      <c r="AA1" s="329" t="n"/>
      <c r="AB1" s="329" t="n"/>
      <c r="AC1" s="329" t="n"/>
      <c r="AD1" s="329" t="n"/>
      <c r="AE1" s="329" t="n"/>
      <c r="AF1" s="329" t="n"/>
      <c r="AG1" s="329" t="n"/>
      <c r="AH1" s="329" t="n"/>
      <c r="AI1" s="329" t="n"/>
      <c r="AJ1" s="329" t="n"/>
      <c r="AK1" s="358" t="inlineStr">
        <is>
          <t>工具特定属性</t>
        </is>
      </c>
      <c r="AL1" s="327" t="n"/>
      <c r="AM1" s="327" t="n"/>
      <c r="AN1" s="327" t="n"/>
      <c r="AO1" s="327" t="n"/>
      <c r="AP1" s="327" t="n"/>
      <c r="AQ1" s="327" t="n"/>
      <c r="AR1" s="327" t="n"/>
      <c r="AS1" s="327" t="n"/>
      <c r="AT1" s="327" t="n"/>
      <c r="AU1" s="359" t="inlineStr">
        <is>
          <t>温室气体排放基础</t>
        </is>
      </c>
      <c r="AV1" s="327" t="n"/>
      <c r="AW1" s="357" t="inlineStr">
        <is>
          <t>分类与指标</t>
        </is>
      </c>
      <c r="AX1" s="329" t="n"/>
      <c r="AY1" s="329" t="n"/>
      <c r="AZ1" s="329" t="n"/>
      <c r="BA1" s="360" t="inlineStr">
        <is>
          <t>立法参考</t>
        </is>
      </c>
      <c r="BB1" s="329" t="n"/>
      <c r="BC1" s="361"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9" t="inlineStr">
        <is>
          <t>工具联动</t>
        </is>
      </c>
      <c r="AL2" s="339" t="inlineStr">
        <is>
          <t>信息采集责任方</t>
        </is>
      </c>
      <c r="AM2" s="339" t="inlineStr">
        <is>
          <t>信息传输方式</t>
        </is>
      </c>
      <c r="AN2" s="339" t="inlineStr">
        <is>
          <t>信息提供频率</t>
        </is>
      </c>
      <c r="AO2" s="339" t="inlineStr">
        <is>
          <t>信息公开可用性</t>
        </is>
      </c>
      <c r="AP2" s="339" t="inlineStr">
        <is>
          <t>标签类型</t>
        </is>
      </c>
      <c r="AQ2" s="339" t="inlineStr">
        <is>
          <t>合规监测</t>
        </is>
      </c>
      <c r="AR2" s="339" t="inlineStr">
        <is>
          <t>合规执行</t>
        </is>
      </c>
      <c r="AS2" s="339" t="inlineStr">
        <is>
          <t>合规促进</t>
        </is>
      </c>
      <c r="AT2" s="339" t="inlineStr">
        <is>
          <t>能力建设、培训/教育、宣传和奖励计划详情</t>
        </is>
      </c>
      <c r="AU2" s="362" t="inlineStr">
        <is>
          <t>温室气体排放覆盖（绝对量）</t>
        </is>
      </c>
      <c r="AV2" s="362" t="inlineStr">
        <is>
          <t>温室气体排放覆盖（占国内排放百分比）</t>
        </is>
      </c>
      <c r="AW2" s="335" t="inlineStr">
        <is>
          <t>经济行业</t>
        </is>
      </c>
      <c r="AX2" s="335" t="inlineStr">
        <is>
          <t>受影响的温室气体</t>
        </is>
      </c>
      <c r="AY2" s="335" t="inlineStr">
        <is>
          <t>减缓效果</t>
        </is>
      </c>
      <c r="AZ2" s="335" t="inlineStr">
        <is>
          <t>减缓协同效益</t>
        </is>
      </c>
      <c r="BA2" s="337" t="inlineStr">
        <is>
          <t>法律文件名称</t>
        </is>
      </c>
      <c r="BB2" s="337" t="inlineStr">
        <is>
          <t>法律文件链接</t>
        </is>
      </c>
      <c r="BC2" s="337" t="inlineStr">
        <is>
          <t>其他网页链接</t>
        </is>
      </c>
      <c r="BD2" s="363" t="n"/>
      <c r="BE2" s="363" t="n"/>
    </row>
  </sheetData>
  <mergeCells count="9">
    <mergeCell ref="AK1:AT1"/>
    <mergeCell ref="G1:L1"/>
    <mergeCell ref="AW1:AZ1"/>
    <mergeCell ref="BA1:BC1"/>
    <mergeCell ref="V1:AJ1"/>
    <mergeCell ref="M1:U1"/>
    <mergeCell ref="C1:F1"/>
    <mergeCell ref="A1:B1"/>
    <mergeCell ref="AU1:AV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W2"/>
  <sheetViews>
    <sheetView tabSelected="1" topLeftCell="X1" workbookViewId="0">
      <selection activeCell="AO25" sqref="AO25"/>
    </sheetView>
  </sheetViews>
  <sheetFormatPr baseColWidth="8" defaultRowHeight="13.5"/>
  <sheetData>
    <row r="1" ht="15.75" customHeight="1">
      <c r="A1" s="321" t="inlineStr">
        <is>
          <t>识别信息</t>
        </is>
      </c>
      <c r="C1" s="322" t="inlineStr">
        <is>
          <t>工具分类</t>
        </is>
      </c>
      <c r="G1" s="323" t="inlineStr">
        <is>
          <t>政策描述</t>
        </is>
      </c>
      <c r="M1" s="353" t="inlineStr">
        <is>
          <t>行政信息</t>
        </is>
      </c>
      <c r="N1" s="329" t="n"/>
      <c r="O1" s="329" t="n"/>
      <c r="P1" s="329" t="n"/>
      <c r="Q1" s="329" t="n"/>
      <c r="R1" s="329" t="n"/>
      <c r="S1" s="329" t="n"/>
      <c r="T1" s="329" t="n"/>
      <c r="U1" s="329" t="n"/>
      <c r="V1" s="354" t="inlineStr">
        <is>
          <t>政策规制基础与强度</t>
        </is>
      </c>
      <c r="W1" s="329" t="n"/>
      <c r="X1" s="329" t="n"/>
      <c r="Y1" s="329" t="n"/>
      <c r="Z1" s="329" t="n"/>
      <c r="AA1" s="329" t="n"/>
      <c r="AB1" s="329" t="n"/>
      <c r="AC1" s="329" t="n"/>
      <c r="AD1" s="329" t="n"/>
      <c r="AE1" s="329" t="n"/>
      <c r="AF1" s="329" t="n"/>
      <c r="AG1" s="329" t="n"/>
      <c r="AH1" s="329" t="n"/>
      <c r="AI1" s="329" t="n"/>
      <c r="AJ1" s="329" t="n"/>
      <c r="AK1" s="328" t="inlineStr">
        <is>
          <t>工具特定属性</t>
        </is>
      </c>
      <c r="AL1" s="329" t="n"/>
      <c r="AM1" s="329" t="n"/>
      <c r="AN1" s="355" t="inlineStr">
        <is>
          <t>温室气体排放基础</t>
        </is>
      </c>
      <c r="AO1" s="331" t="n"/>
      <c r="AP1" s="332" t="inlineStr">
        <is>
          <t>分类与指标</t>
        </is>
      </c>
      <c r="AQ1" s="329" t="n"/>
      <c r="AR1" s="329" t="n"/>
      <c r="AS1" s="329" t="n"/>
      <c r="AT1" s="353" t="inlineStr">
        <is>
          <t>立法参考</t>
        </is>
      </c>
      <c r="AU1" s="329" t="n"/>
      <c r="AV1" s="329"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6" t="inlineStr">
        <is>
          <t>参与激励</t>
        </is>
      </c>
      <c r="AL2" s="336" t="inlineStr">
        <is>
          <t>监测</t>
        </is>
      </c>
      <c r="AM2" s="336" t="inlineStr">
        <is>
          <t>违规制裁</t>
        </is>
      </c>
      <c r="AN2" s="340" t="inlineStr">
        <is>
          <t>温室气体排放覆盖（绝对量）</t>
        </is>
      </c>
      <c r="AO2" s="340" t="inlineStr">
        <is>
          <t>温室气体排放覆盖（占国内排放百分比）</t>
        </is>
      </c>
      <c r="AP2" s="335" t="inlineStr">
        <is>
          <t>经济行业</t>
        </is>
      </c>
      <c r="AQ2" s="335" t="inlineStr">
        <is>
          <t>受影响的温室气体</t>
        </is>
      </c>
      <c r="AR2" s="335" t="inlineStr">
        <is>
          <t>减缓效果</t>
        </is>
      </c>
      <c r="AS2" s="335" t="inlineStr">
        <is>
          <t>减缓协同效益</t>
        </is>
      </c>
      <c r="AT2" s="337" t="inlineStr">
        <is>
          <t>法律文件名称</t>
        </is>
      </c>
      <c r="AU2" s="337" t="inlineStr">
        <is>
          <t>法律文件链接</t>
        </is>
      </c>
      <c r="AV2" s="337" t="inlineStr">
        <is>
          <t>其他网页链接</t>
        </is>
      </c>
      <c r="AW2" s="341" t="n"/>
    </row>
  </sheetData>
  <mergeCells count="9">
    <mergeCell ref="G1:L1"/>
    <mergeCell ref="AK1:AM1"/>
    <mergeCell ref="V1:AJ1"/>
    <mergeCell ref="AT1:AV1"/>
    <mergeCell ref="AN1:AO1"/>
    <mergeCell ref="M1:U1"/>
    <mergeCell ref="C1:F1"/>
    <mergeCell ref="A1:B1"/>
    <mergeCell ref="AP1:AS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424" t="inlineStr">
        <is>
          <t>中国气候政策工具数据库（CCPID）</t>
        </is>
      </c>
      <c r="B1" s="103" t="n"/>
      <c r="C1" s="103" t="n"/>
      <c r="D1" s="103" t="n"/>
      <c r="E1" s="103" t="n"/>
      <c r="F1" s="103" t="n"/>
      <c r="G1" s="103" t="n"/>
      <c r="H1" s="104" t="n"/>
      <c r="I1" s="427" t="n"/>
      <c r="J1" s="427" t="n"/>
      <c r="K1" s="428" t="n"/>
      <c r="L1" s="427" t="n"/>
      <c r="M1" s="427" t="n"/>
      <c r="N1" s="427" t="n"/>
      <c r="O1" s="427" t="n"/>
      <c r="P1" s="429" t="n"/>
      <c r="Q1" s="429" t="n"/>
      <c r="R1" s="429" t="n"/>
      <c r="S1" s="429" t="n"/>
    </row>
    <row r="2">
      <c r="A2" s="387" t="n"/>
      <c r="B2" s="387" t="n"/>
      <c r="C2" s="387" t="n"/>
      <c r="D2" s="387" t="n"/>
      <c r="E2" s="387" t="n"/>
      <c r="F2" s="387" t="n"/>
      <c r="G2" s="387" t="n"/>
      <c r="H2" s="387" t="n"/>
      <c r="I2" s="387" t="n"/>
      <c r="J2" s="387" t="n"/>
      <c r="K2" s="387" t="n"/>
      <c r="L2" s="387" t="n"/>
      <c r="M2" s="387" t="n"/>
      <c r="N2" s="387" t="n"/>
      <c r="O2" s="387" t="n"/>
      <c r="P2" s="212" t="n"/>
      <c r="Q2" s="212" t="n"/>
      <c r="R2" s="212" t="n"/>
      <c r="S2" s="212" t="n"/>
    </row>
    <row r="3">
      <c r="A3" s="389" t="inlineStr">
        <is>
          <t>由北京大学国家发展研究院MGF实验室开发</t>
        </is>
      </c>
      <c r="B3" s="103" t="n"/>
      <c r="C3" s="104" t="n"/>
      <c r="D3" s="387" t="n"/>
      <c r="E3" s="387" t="n"/>
      <c r="F3" s="387" t="n"/>
      <c r="G3" s="387" t="n"/>
      <c r="H3" s="387" t="n"/>
      <c r="I3" s="387" t="n"/>
      <c r="J3" s="387" t="n"/>
      <c r="K3" s="387" t="n"/>
      <c r="L3" s="387" t="n"/>
      <c r="M3" s="387" t="n"/>
      <c r="N3" s="387" t="n"/>
      <c r="O3" s="387" t="n"/>
      <c r="P3" s="212" t="n"/>
      <c r="Q3" s="212" t="n"/>
      <c r="R3" s="212" t="n"/>
      <c r="S3" s="212" t="n"/>
    </row>
    <row r="4">
      <c r="A4" s="389" t="inlineStr">
        <is>
          <t>截至2026年8月</t>
        </is>
      </c>
      <c r="B4" s="104" t="n"/>
      <c r="C4" s="387" t="n"/>
      <c r="D4" s="387" t="n"/>
      <c r="E4" s="387" t="n"/>
      <c r="F4" s="387" t="n"/>
      <c r="G4" s="387" t="n"/>
      <c r="H4" s="387" t="n"/>
      <c r="I4" s="387" t="n"/>
      <c r="J4" s="387" t="n"/>
      <c r="K4" s="387" t="n"/>
      <c r="L4" s="387" t="n"/>
      <c r="M4" s="387" t="n"/>
      <c r="N4" s="387" t="n"/>
      <c r="O4" s="387" t="n"/>
      <c r="P4" s="212" t="n"/>
      <c r="Q4" s="212" t="n"/>
      <c r="R4" s="212" t="n"/>
      <c r="S4" s="212" t="n"/>
    </row>
    <row r="5">
      <c r="A5" s="387" t="n"/>
      <c r="B5" s="387" t="n"/>
      <c r="C5" s="387" t="n"/>
      <c r="D5" s="387" t="n"/>
      <c r="E5" s="387" t="n"/>
      <c r="F5" s="387" t="n"/>
      <c r="G5" s="387" t="n"/>
      <c r="H5" s="387" t="n"/>
      <c r="I5" s="387" t="n"/>
      <c r="J5" s="387" t="n"/>
      <c r="K5" s="387" t="n"/>
      <c r="L5" s="387" t="n"/>
      <c r="M5" s="387" t="n"/>
      <c r="N5" s="387" t="n"/>
      <c r="O5" s="387" t="n"/>
      <c r="P5" s="212" t="n"/>
      <c r="Q5" s="212" t="n"/>
      <c r="R5" s="212" t="n"/>
      <c r="S5" s="212" t="n"/>
    </row>
    <row r="6" ht="16.5" customHeight="1">
      <c r="A6" s="390" t="inlineStr">
        <is>
          <t>概述</t>
        </is>
      </c>
      <c r="B6" s="391" t="n"/>
      <c r="C6" s="391" t="n"/>
      <c r="D6" s="391" t="n"/>
      <c r="E6" s="391" t="n"/>
      <c r="F6" s="391" t="n"/>
      <c r="G6" s="391" t="n"/>
      <c r="H6" s="391" t="n"/>
      <c r="I6" s="391" t="n"/>
      <c r="J6" s="391" t="n"/>
      <c r="K6" s="391" t="n"/>
      <c r="L6" s="391" t="n"/>
      <c r="M6" s="391" t="n"/>
      <c r="N6" s="387" t="n"/>
      <c r="O6" s="387" t="n"/>
      <c r="P6" s="212" t="n"/>
      <c r="Q6" s="212" t="n"/>
      <c r="R6" s="212" t="n"/>
      <c r="S6" s="212" t="n"/>
    </row>
    <row r="7" ht="191.65" customHeight="1">
      <c r="A7" s="392"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新增了两个属性：
- 在“工具分类”板块中新增“子行业”；
- 在“政策描述”板块中新增“减缓相关性”。</t>
        </is>
      </c>
      <c r="B7" s="255" t="n"/>
      <c r="C7" s="255" t="n"/>
      <c r="D7" s="255" t="n"/>
      <c r="E7" s="255" t="n"/>
      <c r="F7" s="255" t="n"/>
      <c r="G7" s="255" t="n"/>
      <c r="H7" s="255" t="n"/>
      <c r="I7" s="255" t="n"/>
      <c r="J7" s="255" t="n"/>
      <c r="K7" s="255" t="n"/>
      <c r="L7" s="255" t="n"/>
      <c r="M7" s="256" t="n"/>
      <c r="N7" s="393" t="n"/>
      <c r="O7" s="387" t="n"/>
      <c r="P7" s="212" t="n"/>
      <c r="Q7" s="212" t="n"/>
      <c r="R7" s="212" t="n"/>
      <c r="S7" s="212" t="n"/>
    </row>
    <row r="8">
      <c r="A8" s="394" t="n"/>
      <c r="B8" s="394" t="n"/>
      <c r="C8" s="394" t="n"/>
      <c r="D8" s="394" t="n"/>
      <c r="E8" s="394" t="n"/>
      <c r="F8" s="394" t="n"/>
      <c r="G8" s="394" t="n"/>
      <c r="H8" s="394" t="n"/>
      <c r="I8" s="394" t="n"/>
      <c r="J8" s="394" t="n"/>
      <c r="K8" s="394" t="n"/>
      <c r="L8" s="394" t="n"/>
      <c r="M8" s="394" t="n"/>
      <c r="N8" s="387" t="n"/>
      <c r="O8" s="387" t="n"/>
      <c r="P8" s="212" t="n"/>
      <c r="Q8" s="212" t="n"/>
      <c r="R8" s="212" t="n"/>
      <c r="S8" s="212" t="n"/>
    </row>
    <row r="9">
      <c r="A9" s="387" t="n"/>
      <c r="B9" s="387" t="n"/>
      <c r="C9" s="387" t="n"/>
      <c r="D9" s="387" t="n"/>
      <c r="E9" s="387" t="n"/>
      <c r="F9" s="387" t="n"/>
      <c r="G9" s="387" t="n"/>
      <c r="H9" s="387" t="n"/>
      <c r="I9" s="387" t="n"/>
      <c r="J9" s="387" t="n"/>
      <c r="K9" s="387" t="n"/>
      <c r="L9" s="387" t="n"/>
      <c r="M9" s="387" t="n"/>
      <c r="N9" s="387" t="n"/>
      <c r="O9" s="387" t="n"/>
      <c r="P9" s="212" t="n"/>
      <c r="Q9" s="212" t="n"/>
      <c r="R9" s="212" t="n"/>
      <c r="S9" s="212" t="n"/>
    </row>
    <row r="10" ht="16.5" customHeight="1">
      <c r="A10" s="390" t="inlineStr">
        <is>
          <t>本文件内容</t>
        </is>
      </c>
      <c r="B10" s="259" t="n"/>
      <c r="C10" s="391" t="n"/>
      <c r="D10" s="391" t="n"/>
      <c r="E10" s="391" t="n"/>
      <c r="F10" s="391" t="n"/>
      <c r="G10" s="391" t="n"/>
      <c r="H10" s="391" t="n"/>
      <c r="I10" s="391" t="n"/>
      <c r="J10" s="391" t="n"/>
      <c r="K10" s="391" t="n"/>
      <c r="L10" s="391" t="n"/>
      <c r="M10" s="391" t="n"/>
      <c r="N10" s="391" t="n"/>
      <c r="O10" s="391" t="n"/>
      <c r="P10" s="212" t="n"/>
      <c r="Q10" s="212" t="n"/>
      <c r="R10" s="212" t="n"/>
      <c r="S10" s="212" t="n"/>
    </row>
    <row r="11">
      <c r="A11" s="395" t="inlineStr">
        <is>
          <t>工作表</t>
        </is>
      </c>
      <c r="B11" s="261" t="n"/>
      <c r="C11" s="262" t="n"/>
      <c r="D11" s="395" t="inlineStr">
        <is>
          <t>说明</t>
        </is>
      </c>
      <c r="E11" s="261" t="n"/>
      <c r="F11" s="261" t="n"/>
      <c r="G11" s="261" t="n"/>
      <c r="H11" s="261" t="n"/>
      <c r="I11" s="261" t="n"/>
      <c r="J11" s="261" t="n"/>
      <c r="K11" s="261" t="n"/>
      <c r="L11" s="261" t="n"/>
      <c r="M11" s="261" t="n"/>
      <c r="N11" s="261" t="n"/>
      <c r="O11" s="262" t="n"/>
      <c r="P11" s="396" t="n"/>
      <c r="Q11" s="212" t="n"/>
      <c r="R11" s="212" t="n"/>
      <c r="S11" s="212" t="n"/>
    </row>
    <row r="12">
      <c r="A12" s="397" t="inlineStr">
        <is>
          <t>封面</t>
        </is>
      </c>
      <c r="B12" s="261" t="n"/>
      <c r="C12" s="262" t="n"/>
      <c r="D12" s="398" t="inlineStr">
        <is>
          <t>介绍本文档，说明其整体功能，并列出MGF实验室联系方式</t>
        </is>
      </c>
      <c r="E12" s="261" t="n"/>
      <c r="F12" s="261" t="n"/>
      <c r="G12" s="261" t="n"/>
      <c r="H12" s="261" t="n"/>
      <c r="I12" s="261" t="n"/>
      <c r="J12" s="261" t="n"/>
      <c r="K12" s="261" t="n"/>
      <c r="L12" s="261" t="n"/>
      <c r="M12" s="261" t="n"/>
      <c r="N12" s="261" t="n"/>
      <c r="O12" s="262" t="n"/>
      <c r="P12" s="396" t="n"/>
      <c r="Q12" s="212" t="n"/>
      <c r="R12" s="212" t="n"/>
      <c r="S12" s="212" t="n"/>
    </row>
    <row r="13">
      <c r="A13" s="397" t="inlineStr">
        <is>
          <t>分类框架</t>
        </is>
      </c>
      <c r="B13" s="261" t="n"/>
      <c r="C13" s="262" t="n"/>
      <c r="D13" s="398" t="inlineStr">
        <is>
          <t>说明本数据集的四级分类框架</t>
        </is>
      </c>
      <c r="E13" s="261" t="n"/>
      <c r="F13" s="261" t="n"/>
      <c r="G13" s="261" t="n"/>
      <c r="H13" s="261" t="n"/>
      <c r="I13" s="261" t="n"/>
      <c r="J13" s="261" t="n"/>
      <c r="K13" s="261" t="n"/>
      <c r="L13" s="261" t="n"/>
      <c r="M13" s="261" t="n"/>
      <c r="N13" s="261" t="n"/>
      <c r="O13" s="262" t="n"/>
      <c r="P13" s="396" t="n"/>
      <c r="Q13" s="212" t="n"/>
      <c r="R13" s="212" t="n"/>
      <c r="S13" s="212" t="n"/>
    </row>
    <row r="14">
      <c r="A14" s="397" t="inlineStr">
        <is>
          <t>类别与组别</t>
        </is>
      </c>
      <c r="B14" s="261" t="n"/>
      <c r="C14" s="262" t="n"/>
      <c r="D14" s="398" t="inlineStr">
        <is>
          <t>展示工具类别及各类别下的工具组别</t>
        </is>
      </c>
      <c r="E14" s="261" t="n"/>
      <c r="F14" s="261" t="n"/>
      <c r="G14" s="261" t="n"/>
      <c r="H14" s="261" t="n"/>
      <c r="I14" s="261" t="n"/>
      <c r="J14" s="261" t="n"/>
      <c r="K14" s="261" t="n"/>
      <c r="L14" s="261" t="n"/>
      <c r="M14" s="261" t="n"/>
      <c r="N14" s="261" t="n"/>
      <c r="O14" s="262" t="n"/>
      <c r="P14" s="396" t="n"/>
      <c r="Q14" s="212" t="n"/>
      <c r="R14" s="212" t="n"/>
      <c r="S14" s="212" t="n"/>
    </row>
    <row r="15">
      <c r="A15" s="399" t="inlineStr">
        <is>
          <t>概览</t>
        </is>
      </c>
      <c r="B15" s="261" t="n"/>
      <c r="C15" s="262" t="n"/>
      <c r="D15" s="398" t="inlineStr">
        <is>
          <t>按工具类别、组别、路径和覆盖部门，提供截至目前的政策工具收录数量信息</t>
        </is>
      </c>
      <c r="E15" s="261" t="n"/>
      <c r="F15" s="261" t="n"/>
      <c r="G15" s="261" t="n"/>
      <c r="H15" s="261" t="n"/>
      <c r="I15" s="261" t="n"/>
      <c r="J15" s="261" t="n"/>
      <c r="K15" s="261" t="n"/>
      <c r="L15" s="261" t="n"/>
      <c r="M15" s="261" t="n"/>
      <c r="N15" s="261" t="n"/>
      <c r="O15" s="262" t="n"/>
      <c r="P15" s="396" t="n"/>
      <c r="Q15" s="212" t="n"/>
      <c r="R15" s="212" t="n"/>
      <c r="S15" s="212" t="n"/>
    </row>
    <row r="16">
      <c r="A16" s="397" t="inlineStr">
        <is>
          <t>路径汇总</t>
        </is>
      </c>
      <c r="B16" s="261" t="n"/>
      <c r="C16" s="262" t="n"/>
      <c r="D16" s="398" t="inlineStr">
        <is>
          <t>展示各组别下的工具路径，并提供每条路径的定义</t>
        </is>
      </c>
      <c r="E16" s="261" t="n"/>
      <c r="F16" s="261" t="n"/>
      <c r="G16" s="261" t="n"/>
      <c r="H16" s="261" t="n"/>
      <c r="I16" s="261" t="n"/>
      <c r="J16" s="261" t="n"/>
      <c r="K16" s="261" t="n"/>
      <c r="L16" s="261" t="n"/>
      <c r="M16" s="261" t="n"/>
      <c r="N16" s="261" t="n"/>
      <c r="O16" s="262" t="n"/>
      <c r="P16" s="396" t="n"/>
      <c r="Q16" s="212" t="n"/>
      <c r="R16" s="212" t="n"/>
      <c r="S16" s="212" t="n"/>
    </row>
    <row r="17">
      <c r="A17" s="397" t="inlineStr">
        <is>
          <t>工具总览</t>
        </is>
      </c>
      <c r="B17" s="261" t="n"/>
      <c r="C17" s="262" t="n"/>
      <c r="D17" s="398" t="inlineStr">
        <is>
          <t>提供截至目前所收录所有政策工具的简化汇总表</t>
        </is>
      </c>
      <c r="E17" s="261" t="n"/>
      <c r="F17" s="261" t="n"/>
      <c r="G17" s="261" t="n"/>
      <c r="H17" s="261" t="n"/>
      <c r="I17" s="261" t="n"/>
      <c r="J17" s="261" t="n"/>
      <c r="K17" s="261" t="n"/>
      <c r="L17" s="261" t="n"/>
      <c r="M17" s="261" t="n"/>
      <c r="N17" s="261" t="n"/>
      <c r="O17" s="262" t="n"/>
      <c r="P17" s="396" t="n"/>
      <c r="Q17" s="212" t="n"/>
      <c r="R17" s="212" t="n"/>
      <c r="S17" s="212" t="n"/>
    </row>
    <row r="18">
      <c r="A18" s="400" t="inlineStr">
        <is>
          <t>经济工具</t>
        </is>
      </c>
      <c r="B18" s="261" t="n"/>
      <c r="C18" s="262" t="n"/>
      <c r="D18" s="398" t="inlineStr">
        <is>
          <t>展示经济工具的信息</t>
        </is>
      </c>
      <c r="E18" s="261" t="n"/>
      <c r="F18" s="261" t="n"/>
      <c r="G18" s="261" t="n"/>
      <c r="H18" s="261" t="n"/>
      <c r="I18" s="261" t="n"/>
      <c r="J18" s="261" t="n"/>
      <c r="K18" s="261" t="n"/>
      <c r="L18" s="261" t="n"/>
      <c r="M18" s="261" t="n"/>
      <c r="N18" s="261" t="n"/>
      <c r="O18" s="262" t="n"/>
      <c r="P18" s="396" t="n"/>
      <c r="Q18" s="212" t="n"/>
      <c r="R18" s="212" t="n"/>
      <c r="S18" s="212" t="n"/>
    </row>
    <row r="19">
      <c r="A19" s="401" t="inlineStr">
        <is>
          <t>规制工具</t>
        </is>
      </c>
      <c r="B19" s="261" t="n"/>
      <c r="C19" s="262" t="n"/>
      <c r="D19" s="398" t="inlineStr">
        <is>
          <t>展示规制工具的信息</t>
        </is>
      </c>
      <c r="E19" s="261" t="n"/>
      <c r="F19" s="261" t="n"/>
      <c r="G19" s="261" t="n"/>
      <c r="H19" s="261" t="n"/>
      <c r="I19" s="261" t="n"/>
      <c r="J19" s="261" t="n"/>
      <c r="K19" s="261" t="n"/>
      <c r="L19" s="261" t="n"/>
      <c r="M19" s="261" t="n"/>
      <c r="N19" s="261" t="n"/>
      <c r="O19" s="262" t="n"/>
      <c r="P19" s="396" t="n"/>
      <c r="Q19" s="212" t="n"/>
      <c r="R19" s="212" t="n"/>
      <c r="S19" s="212" t="n"/>
    </row>
    <row r="20">
      <c r="A20" s="402" t="inlineStr">
        <is>
          <t>政府投资与消费</t>
        </is>
      </c>
      <c r="B20" s="261" t="n"/>
      <c r="C20" s="262" t="n"/>
      <c r="D20" s="398" t="inlineStr">
        <is>
          <t>展示政府投资与消费工具的信息</t>
        </is>
      </c>
      <c r="E20" s="261" t="n"/>
      <c r="F20" s="261" t="n"/>
      <c r="G20" s="261" t="n"/>
      <c r="H20" s="261" t="n"/>
      <c r="I20" s="261" t="n"/>
      <c r="J20" s="261" t="n"/>
      <c r="K20" s="261" t="n"/>
      <c r="L20" s="261" t="n"/>
      <c r="M20" s="261" t="n"/>
      <c r="N20" s="261" t="n"/>
      <c r="O20" s="262" t="n"/>
      <c r="P20" s="396" t="n"/>
      <c r="Q20" s="212" t="n"/>
      <c r="R20" s="212" t="n"/>
      <c r="S20" s="212" t="n"/>
    </row>
    <row r="21">
      <c r="A21" s="403" t="inlineStr">
        <is>
          <t>信息工具</t>
        </is>
      </c>
      <c r="B21" s="261" t="n"/>
      <c r="C21" s="262" t="n"/>
      <c r="D21" s="398" t="inlineStr">
        <is>
          <t>展示信息工具的信息</t>
        </is>
      </c>
      <c r="E21" s="261" t="n"/>
      <c r="F21" s="261" t="n"/>
      <c r="G21" s="261" t="n"/>
      <c r="H21" s="261" t="n"/>
      <c r="I21" s="261" t="n"/>
      <c r="J21" s="261" t="n"/>
      <c r="K21" s="261" t="n"/>
      <c r="L21" s="261" t="n"/>
      <c r="M21" s="261" t="n"/>
      <c r="N21" s="261" t="n"/>
      <c r="O21" s="262" t="n"/>
      <c r="P21" s="396" t="n"/>
      <c r="Q21" s="212" t="n"/>
      <c r="R21" s="212" t="n"/>
      <c r="S21" s="212" t="n"/>
    </row>
    <row r="22">
      <c r="A22" s="404" t="inlineStr">
        <is>
          <t>自愿措施</t>
        </is>
      </c>
      <c r="B22" s="261" t="n"/>
      <c r="C22" s="262" t="n"/>
      <c r="D22" s="398" t="inlineStr">
        <is>
          <t>展示自愿措施的信息</t>
        </is>
      </c>
      <c r="E22" s="261" t="n"/>
      <c r="F22" s="261" t="n"/>
      <c r="G22" s="261" t="n"/>
      <c r="H22" s="261" t="n"/>
      <c r="I22" s="261" t="n"/>
      <c r="J22" s="261" t="n"/>
      <c r="K22" s="261" t="n"/>
      <c r="L22" s="261" t="n"/>
      <c r="M22" s="261" t="n"/>
      <c r="N22" s="261" t="n"/>
      <c r="O22" s="262" t="n"/>
      <c r="P22" s="396" t="n"/>
      <c r="Q22" s="212" t="n"/>
      <c r="R22" s="212" t="n"/>
      <c r="S22" s="212" t="n"/>
    </row>
    <row r="23">
      <c r="A23" s="397" t="inlineStr">
        <is>
          <t>属性定义</t>
        </is>
      </c>
      <c r="B23" s="261" t="n"/>
      <c r="C23" s="262" t="n"/>
      <c r="D23" s="398" t="inlineStr">
        <is>
          <t>政策工具属性的定义</t>
        </is>
      </c>
      <c r="E23" s="261" t="n"/>
      <c r="F23" s="261" t="n"/>
      <c r="G23" s="261" t="n"/>
      <c r="H23" s="261" t="n"/>
      <c r="I23" s="261" t="n"/>
      <c r="J23" s="261" t="n"/>
      <c r="K23" s="261" t="n"/>
      <c r="L23" s="261" t="n"/>
      <c r="M23" s="261" t="n"/>
      <c r="N23" s="261" t="n"/>
      <c r="O23" s="262" t="n"/>
      <c r="P23" s="396" t="n"/>
      <c r="Q23" s="212" t="n"/>
      <c r="R23" s="212" t="n"/>
      <c r="S23" s="212" t="n"/>
    </row>
    <row r="24">
      <c r="A24" s="405" t="inlineStr">
        <is>
          <t>已终止</t>
        </is>
      </c>
      <c r="B24" s="261" t="n"/>
      <c r="C24" s="262" t="n"/>
      <c r="D24" s="398" t="inlineStr">
        <is>
          <t>展示曾被收录进本数据库、但后续已失效或终止的政策工具信息</t>
        </is>
      </c>
      <c r="E24" s="261" t="n"/>
      <c r="F24" s="261" t="n"/>
      <c r="G24" s="261" t="n"/>
      <c r="H24" s="261" t="n"/>
      <c r="I24" s="261" t="n"/>
      <c r="J24" s="261" t="n"/>
      <c r="K24" s="261" t="n"/>
      <c r="L24" s="261" t="n"/>
      <c r="M24" s="261" t="n"/>
      <c r="N24" s="261" t="n"/>
      <c r="O24" s="262" t="n"/>
      <c r="P24" s="396" t="n"/>
      <c r="Q24" s="212" t="n"/>
      <c r="R24" s="212" t="n"/>
      <c r="S24" s="212" t="n"/>
    </row>
    <row r="25">
      <c r="A25" s="394" t="n"/>
      <c r="B25" s="394" t="n"/>
      <c r="C25" s="394" t="n"/>
      <c r="D25" s="394" t="n"/>
      <c r="E25" s="394" t="n"/>
      <c r="F25" s="394" t="n"/>
      <c r="G25" s="394" t="n"/>
      <c r="H25" s="394" t="n"/>
      <c r="I25" s="394" t="n"/>
      <c r="J25" s="394" t="n"/>
      <c r="K25" s="394" t="n"/>
      <c r="L25" s="394" t="n"/>
      <c r="M25" s="394" t="n"/>
      <c r="N25" s="394" t="n"/>
      <c r="O25" s="394" t="n"/>
      <c r="P25" s="212" t="n"/>
      <c r="Q25" s="212" t="n"/>
      <c r="R25" s="212" t="n"/>
      <c r="S25" s="212" t="n"/>
    </row>
    <row r="26" ht="16.5" customHeight="1">
      <c r="A26" s="390" t="inlineStr">
        <is>
          <t>图例</t>
        </is>
      </c>
      <c r="B26" s="391" t="n"/>
      <c r="C26" s="391" t="n"/>
      <c r="D26" s="391" t="n"/>
      <c r="E26" s="391" t="n"/>
      <c r="F26" s="391" t="n"/>
      <c r="G26" s="391" t="n"/>
      <c r="H26" s="391" t="n"/>
      <c r="I26" s="391" t="n"/>
      <c r="J26" s="391" t="n"/>
      <c r="K26" s="391" t="n"/>
      <c r="L26" s="391" t="n"/>
      <c r="M26" s="391" t="n"/>
      <c r="N26" s="391" t="n"/>
      <c r="O26" s="391" t="n"/>
      <c r="P26" s="212" t="n"/>
      <c r="Q26" s="212" t="n"/>
      <c r="R26" s="212" t="n"/>
      <c r="S26" s="212" t="n"/>
    </row>
    <row r="27">
      <c r="A27" s="406" t="inlineStr">
        <is>
          <t>加粗文字</t>
        </is>
      </c>
      <c r="B27" s="261" t="n"/>
      <c r="C27" s="262" t="n"/>
      <c r="D27" s="407" t="inlineStr">
        <is>
          <t>政策工具</t>
        </is>
      </c>
      <c r="E27" s="261" t="n"/>
      <c r="F27" s="261" t="n"/>
      <c r="G27" s="261" t="n"/>
      <c r="H27" s="261" t="n"/>
      <c r="I27" s="261" t="n"/>
      <c r="J27" s="261" t="n"/>
      <c r="K27" s="261" t="n"/>
      <c r="L27" s="261" t="n"/>
      <c r="M27" s="261" t="n"/>
      <c r="N27" s="261" t="n"/>
      <c r="O27" s="262" t="n"/>
      <c r="P27" s="396" t="n"/>
      <c r="Q27" s="212" t="n"/>
      <c r="R27" s="212" t="n"/>
      <c r="S27" s="212" t="n"/>
    </row>
    <row r="28">
      <c r="A28" s="408" t="inlineStr">
        <is>
          <t>非加粗文字</t>
        </is>
      </c>
      <c r="B28" s="261" t="n"/>
      <c r="C28" s="262" t="n"/>
      <c r="D28" s="398" t="inlineStr">
        <is>
          <t>政策工具的子方案</t>
        </is>
      </c>
      <c r="E28" s="261" t="n"/>
      <c r="F28" s="261" t="n"/>
      <c r="G28" s="261" t="n"/>
      <c r="H28" s="261" t="n"/>
      <c r="I28" s="261" t="n"/>
      <c r="J28" s="261" t="n"/>
      <c r="K28" s="261" t="n"/>
      <c r="L28" s="261" t="n"/>
      <c r="M28" s="261" t="n"/>
      <c r="N28" s="261" t="n"/>
      <c r="O28" s="262" t="n"/>
      <c r="P28" s="396" t="n"/>
      <c r="Q28" s="212" t="n"/>
      <c r="R28" s="212" t="n"/>
      <c r="S28" s="212" t="n"/>
    </row>
    <row r="29">
      <c r="A29" s="394" t="n"/>
      <c r="B29" s="394" t="n"/>
      <c r="C29" s="394" t="n"/>
      <c r="D29" s="394" t="n"/>
      <c r="E29" s="394" t="n"/>
      <c r="F29" s="394" t="n"/>
      <c r="G29" s="394" t="n"/>
      <c r="H29" s="394" t="n"/>
      <c r="I29" s="394" t="n"/>
      <c r="J29" s="394" t="n"/>
      <c r="K29" s="394" t="n"/>
      <c r="L29" s="394" t="n"/>
      <c r="M29" s="394" t="n"/>
      <c r="N29" s="394" t="n"/>
      <c r="O29" s="394" t="n"/>
      <c r="P29" s="212" t="n"/>
      <c r="Q29" s="212" t="n"/>
      <c r="R29" s="212" t="n"/>
      <c r="S29" s="212" t="n"/>
    </row>
    <row r="30">
      <c r="A30" s="387" t="n"/>
      <c r="B30" s="387" t="n"/>
      <c r="C30" s="387" t="n"/>
      <c r="D30" s="387" t="n"/>
      <c r="E30" s="387" t="n"/>
      <c r="F30" s="387" t="n"/>
      <c r="G30" s="387" t="n"/>
      <c r="H30" s="387" t="n"/>
      <c r="I30" s="387" t="n"/>
      <c r="J30" s="387" t="n"/>
      <c r="K30" s="387" t="n"/>
      <c r="L30" s="387" t="n"/>
      <c r="M30" s="387" t="n"/>
      <c r="N30" s="387" t="n"/>
      <c r="O30" s="387" t="n"/>
      <c r="P30" s="212" t="n"/>
      <c r="Q30" s="212" t="n"/>
      <c r="R30" s="212" t="n"/>
      <c r="S30" s="212" t="n"/>
    </row>
    <row r="31" ht="16.5" customHeight="1">
      <c r="A31" s="409" t="inlineStr">
        <is>
          <t>MGF实验室联系方式</t>
        </is>
      </c>
      <c r="B31" s="104" t="n"/>
      <c r="C31" s="387" t="n"/>
      <c r="D31" s="387" t="n"/>
      <c r="E31" s="387" t="n"/>
      <c r="F31" s="387" t="n"/>
      <c r="G31" s="387" t="n"/>
      <c r="H31" s="387" t="n"/>
      <c r="I31" s="387" t="n"/>
      <c r="J31" s="387" t="n"/>
      <c r="K31" s="387" t="n"/>
      <c r="L31" s="387" t="n"/>
      <c r="M31" s="387" t="n"/>
      <c r="N31" s="387" t="n"/>
      <c r="O31" s="387" t="n"/>
      <c r="P31" s="212" t="n"/>
      <c r="Q31" s="212" t="n"/>
      <c r="R31" s="212" t="n"/>
      <c r="S31" s="212" t="n"/>
    </row>
    <row r="32">
      <c r="A32" s="409" t="inlineStr">
        <is>
          <t>邵丹青</t>
        </is>
      </c>
      <c r="B32" s="410" t="inlineStr">
        <is>
          <t>dqshao@nsd.pku.edu.cn</t>
        </is>
      </c>
      <c r="C32" s="104" t="n"/>
      <c r="D32" s="387" t="n"/>
      <c r="E32" s="387" t="n"/>
      <c r="F32" s="387" t="n"/>
      <c r="G32" s="387" t="n"/>
      <c r="H32" s="387" t="n"/>
      <c r="I32" s="387" t="n"/>
      <c r="J32" s="387" t="n"/>
      <c r="K32" s="387" t="n"/>
      <c r="L32" s="387" t="n"/>
      <c r="M32" s="387" t="n"/>
      <c r="N32" s="387" t="n"/>
      <c r="O32" s="387" t="n"/>
      <c r="P32" s="212" t="n"/>
      <c r="Q32" s="212" t="n"/>
      <c r="R32" s="212" t="n"/>
      <c r="S32" s="212" t="n"/>
    </row>
    <row r="33">
      <c r="A33" s="409" t="inlineStr">
        <is>
          <t>何晓贝</t>
        </is>
      </c>
      <c r="B33" s="410" t="inlineStr">
        <is>
          <t>xbhe@nsd.pku.edu.cn</t>
        </is>
      </c>
      <c r="C33" s="104" t="n"/>
      <c r="D33" s="387" t="n"/>
      <c r="E33" s="387" t="n"/>
      <c r="F33" s="387" t="n"/>
      <c r="G33" s="387" t="n"/>
      <c r="H33" s="387" t="n"/>
      <c r="I33" s="387" t="n"/>
      <c r="J33" s="387" t="n"/>
      <c r="K33" s="387" t="n"/>
      <c r="L33" s="387" t="n"/>
      <c r="M33" s="387" t="n"/>
      <c r="N33" s="387" t="n"/>
      <c r="O33" s="387" t="n"/>
      <c r="P33" s="212" t="n"/>
      <c r="Q33" s="212" t="n"/>
      <c r="R33" s="212" t="n"/>
      <c r="S33" s="212" t="n"/>
    </row>
  </sheetData>
  <mergeCells count="40">
    <mergeCell ref="D11:O11"/>
    <mergeCell ref="D13:O13"/>
    <mergeCell ref="D27:O27"/>
    <mergeCell ref="A18:C18"/>
    <mergeCell ref="A27:C27"/>
    <mergeCell ref="A3:C3"/>
    <mergeCell ref="A21:C21"/>
    <mergeCell ref="A1:H1"/>
    <mergeCell ref="A12:C12"/>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ht="15.75" customHeight="1">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ht="15.75" customHeight="1">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364" t="inlineStr">
        <is>
          <t>类别</t>
        </is>
      </c>
      <c r="B1" s="364" t="inlineStr">
        <is>
          <t>运行机制</t>
        </is>
      </c>
      <c r="C1" s="364" t="inlineStr">
        <is>
          <t>组别</t>
        </is>
      </c>
      <c r="D1" s="364" t="inlineStr">
        <is>
          <t>定义</t>
        </is>
      </c>
      <c r="E1" s="278" t="n"/>
      <c r="F1" s="205" t="n"/>
      <c r="G1" s="205" t="n"/>
      <c r="H1" s="205" t="n"/>
      <c r="I1" s="205" t="n"/>
      <c r="J1" s="205" t="n"/>
      <c r="K1" s="205" t="n"/>
      <c r="L1" s="205" t="n"/>
      <c r="M1" s="205" t="n"/>
      <c r="N1" s="205" t="n"/>
      <c r="O1" s="205" t="n"/>
      <c r="P1" s="205" t="n"/>
      <c r="Q1" s="205" t="n"/>
      <c r="R1" s="205" t="n"/>
      <c r="S1" s="205" t="n"/>
      <c r="T1" s="205" t="n"/>
    </row>
    <row r="2" ht="15" customHeight="1">
      <c r="A2" s="291" t="inlineStr">
        <is>
          <t>经济工具</t>
        </is>
      </c>
      <c r="B2" s="291" t="inlineStr">
        <is>
          <t>激励</t>
        </is>
      </c>
      <c r="C2" s="292" t="inlineStr">
        <is>
          <t>补贴</t>
        </is>
      </c>
      <c r="D2" s="292" t="inlineStr">
        <is>
          <t>政府向非政府单位的无偿支付</t>
        </is>
      </c>
      <c r="E2" s="278" t="n"/>
      <c r="F2" s="205" t="n"/>
      <c r="G2" s="205" t="n"/>
      <c r="H2" s="205" t="n"/>
      <c r="I2" s="205" t="n"/>
      <c r="J2" s="205" t="n"/>
      <c r="K2" s="205" t="n"/>
      <c r="L2" s="205" t="n"/>
      <c r="M2" s="205" t="n"/>
      <c r="N2" s="205" t="n"/>
      <c r="O2" s="205" t="n"/>
      <c r="P2" s="205" t="n"/>
      <c r="Q2" s="205" t="n"/>
      <c r="R2" s="205" t="n"/>
      <c r="S2" s="205" t="n"/>
      <c r="T2" s="205" t="n"/>
    </row>
    <row r="3" ht="15" customHeight="1">
      <c r="A3" s="293" t="n"/>
      <c r="B3" s="293" t="n"/>
      <c r="C3" s="292" t="inlineStr">
        <is>
          <t>税收</t>
        </is>
      </c>
      <c r="D3" s="292" t="inlineStr">
        <is>
          <t>向政府单位的强制性无偿支付</t>
        </is>
      </c>
      <c r="E3" s="278" t="n"/>
      <c r="F3" s="205" t="n"/>
      <c r="G3" s="205" t="n"/>
      <c r="H3" s="205" t="n"/>
      <c r="I3" s="205" t="n"/>
      <c r="J3" s="205" t="n"/>
      <c r="K3" s="205" t="n"/>
      <c r="L3" s="205" t="n"/>
      <c r="M3" s="205" t="n"/>
      <c r="N3" s="205" t="n"/>
      <c r="O3" s="205" t="n"/>
      <c r="P3" s="205" t="n"/>
      <c r="Q3" s="205" t="n"/>
      <c r="R3" s="205" t="n"/>
      <c r="S3" s="205" t="n"/>
      <c r="T3" s="20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78" t="n"/>
      <c r="F4" s="205" t="n"/>
      <c r="G4" s="205" t="n"/>
      <c r="H4" s="205" t="n"/>
      <c r="I4" s="205" t="n"/>
      <c r="J4" s="205" t="n"/>
      <c r="K4" s="205" t="n"/>
      <c r="L4" s="205" t="n"/>
      <c r="M4" s="205" t="n"/>
      <c r="N4" s="205" t="n"/>
      <c r="O4" s="205" t="n"/>
      <c r="P4" s="205" t="n"/>
      <c r="Q4" s="205" t="n"/>
      <c r="R4" s="205" t="n"/>
      <c r="S4" s="205" t="n"/>
      <c r="T4" s="20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78" t="n"/>
      <c r="F5" s="205" t="n"/>
      <c r="G5" s="205" t="n"/>
      <c r="H5" s="205" t="n"/>
      <c r="I5" s="205" t="n"/>
      <c r="J5" s="205" t="n"/>
      <c r="K5" s="205" t="n"/>
      <c r="L5" s="205" t="n"/>
      <c r="M5" s="205" t="n"/>
      <c r="N5" s="205" t="n"/>
      <c r="O5" s="205" t="n"/>
      <c r="P5" s="205" t="n"/>
      <c r="Q5" s="205" t="n"/>
      <c r="R5" s="205" t="n"/>
      <c r="S5" s="205" t="n"/>
      <c r="T5" s="20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78" t="n"/>
      <c r="F6" s="205" t="n"/>
      <c r="G6" s="205" t="n"/>
      <c r="H6" s="205" t="n"/>
      <c r="I6" s="205" t="n"/>
      <c r="J6" s="205" t="n"/>
      <c r="K6" s="205" t="n"/>
      <c r="L6" s="205" t="n"/>
      <c r="M6" s="205" t="n"/>
      <c r="N6" s="205" t="n"/>
      <c r="O6" s="205" t="n"/>
      <c r="P6" s="205" t="n"/>
      <c r="Q6" s="205" t="n"/>
      <c r="R6" s="205" t="n"/>
      <c r="S6" s="205" t="n"/>
      <c r="T6" s="205" t="n"/>
    </row>
    <row r="7" ht="15" customHeight="1">
      <c r="A7" s="293" t="n"/>
      <c r="B7" s="293" t="n"/>
      <c r="C7" s="295" t="inlineStr">
        <is>
          <t>技术标准</t>
        </is>
      </c>
      <c r="D7" s="295" t="inlineStr">
        <is>
          <t>技术标准要求或禁止特定的投入、技术或生产设计。</t>
        </is>
      </c>
      <c r="E7" s="278" t="n"/>
      <c r="F7" s="205" t="n"/>
      <c r="G7" s="205" t="n"/>
      <c r="H7" s="205" t="n"/>
      <c r="I7" s="205" t="n"/>
      <c r="J7" s="205" t="n"/>
      <c r="K7" s="205" t="n"/>
      <c r="L7" s="205" t="n"/>
      <c r="M7" s="205" t="n"/>
      <c r="N7" s="205" t="n"/>
      <c r="O7" s="205" t="n"/>
      <c r="P7" s="205" t="n"/>
      <c r="Q7" s="205" t="n"/>
      <c r="R7" s="205" t="n"/>
      <c r="S7" s="205" t="n"/>
      <c r="T7" s="20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78" t="n"/>
      <c r="F8" s="205" t="n"/>
      <c r="G8" s="205" t="n"/>
      <c r="H8" s="205" t="n"/>
      <c r="I8" s="205" t="n"/>
      <c r="J8" s="205" t="n"/>
      <c r="K8" s="205" t="n"/>
      <c r="L8" s="205" t="n"/>
      <c r="M8" s="205" t="n"/>
      <c r="N8" s="205" t="n"/>
      <c r="O8" s="205" t="n"/>
      <c r="P8" s="205" t="n"/>
      <c r="Q8" s="205" t="n"/>
      <c r="R8" s="205" t="n"/>
      <c r="S8" s="205" t="n"/>
      <c r="T8" s="20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78" t="n"/>
      <c r="F9" s="205" t="n"/>
      <c r="G9" s="205" t="n"/>
      <c r="H9" s="205" t="n"/>
      <c r="I9" s="205" t="n"/>
      <c r="J9" s="205" t="n"/>
      <c r="K9" s="205" t="n"/>
      <c r="L9" s="205" t="n"/>
      <c r="M9" s="205" t="n"/>
      <c r="N9" s="205" t="n"/>
      <c r="O9" s="205" t="n"/>
      <c r="P9" s="205" t="n"/>
      <c r="Q9" s="205" t="n"/>
      <c r="R9" s="205" t="n"/>
      <c r="S9" s="205" t="n"/>
      <c r="T9" s="20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78" t="n"/>
      <c r="F10" s="205" t="n"/>
      <c r="G10" s="205" t="n"/>
      <c r="H10" s="205" t="n"/>
      <c r="I10" s="205" t="n"/>
      <c r="J10" s="205" t="n"/>
      <c r="K10" s="205" t="n"/>
      <c r="L10" s="205" t="n"/>
      <c r="M10" s="205" t="n"/>
      <c r="N10" s="205" t="n"/>
      <c r="O10" s="205" t="n"/>
      <c r="P10" s="205" t="n"/>
      <c r="Q10" s="205" t="n"/>
      <c r="R10" s="205" t="n"/>
      <c r="S10" s="205" t="n"/>
      <c r="T10" s="20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78" t="n"/>
      <c r="F11" s="205" t="n"/>
      <c r="G11" s="205" t="n"/>
      <c r="H11" s="205" t="n"/>
      <c r="I11" s="205" t="n"/>
      <c r="J11" s="205" t="n"/>
      <c r="K11" s="205" t="n"/>
      <c r="L11" s="205" t="n"/>
      <c r="M11" s="205" t="n"/>
      <c r="N11" s="205" t="n"/>
      <c r="O11" s="205" t="n"/>
      <c r="P11" s="205" t="n"/>
      <c r="Q11" s="205" t="n"/>
      <c r="R11" s="205" t="n"/>
      <c r="S11" s="205" t="n"/>
      <c r="T11" s="20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78" t="n"/>
      <c r="F12" s="205" t="n"/>
      <c r="G12" s="205" t="n"/>
      <c r="H12" s="205" t="n"/>
      <c r="I12" s="205" t="n"/>
      <c r="J12" s="205" t="n"/>
      <c r="K12" s="205" t="n"/>
      <c r="L12" s="205" t="n"/>
      <c r="M12" s="205" t="n"/>
      <c r="N12" s="205" t="n"/>
      <c r="O12" s="205" t="n"/>
      <c r="P12" s="205" t="n"/>
      <c r="Q12" s="205" t="n"/>
      <c r="R12" s="205" t="n"/>
      <c r="S12" s="205" t="n"/>
      <c r="T12" s="205" t="n"/>
    </row>
    <row r="13" ht="15" customHeight="1">
      <c r="A13" s="293" t="n"/>
      <c r="B13" s="293" t="n"/>
      <c r="C13" s="299" t="inlineStr">
        <is>
          <t>报告与披露要求</t>
        </is>
      </c>
      <c r="D13" s="299" t="inlineStr">
        <is>
          <t>报告与披露要求强制主体向监管机构、监督机构或利益相关方提交定期报告、披露或文件。</t>
        </is>
      </c>
      <c r="E13" s="278" t="n"/>
      <c r="F13" s="205" t="n"/>
      <c r="G13" s="205" t="n"/>
      <c r="H13" s="205" t="n"/>
      <c r="I13" s="205" t="n"/>
      <c r="J13" s="205" t="n"/>
      <c r="K13" s="205" t="n"/>
      <c r="L13" s="205" t="n"/>
      <c r="M13" s="205" t="n"/>
      <c r="N13" s="205" t="n"/>
      <c r="O13" s="205" t="n"/>
      <c r="P13" s="205" t="n"/>
      <c r="Q13" s="205" t="n"/>
      <c r="R13" s="205" t="n"/>
      <c r="S13" s="205" t="n"/>
      <c r="T13" s="20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78" t="n"/>
      <c r="F14" s="205" t="n"/>
      <c r="G14" s="205" t="n"/>
      <c r="H14" s="205" t="n"/>
      <c r="I14" s="205" t="n"/>
      <c r="J14" s="205" t="n"/>
      <c r="K14" s="205" t="n"/>
      <c r="L14" s="205" t="n"/>
      <c r="M14" s="205" t="n"/>
      <c r="N14" s="205" t="n"/>
      <c r="O14" s="205" t="n"/>
      <c r="P14" s="205" t="n"/>
      <c r="Q14" s="205" t="n"/>
      <c r="R14" s="205" t="n"/>
      <c r="S14" s="205" t="n"/>
      <c r="T14" s="20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78" t="n"/>
      <c r="F15" s="205" t="n"/>
      <c r="G15" s="205" t="n"/>
      <c r="H15" s="205" t="n"/>
      <c r="I15" s="205" t="n"/>
      <c r="J15" s="205" t="n"/>
      <c r="K15" s="205" t="n"/>
      <c r="L15" s="205" t="n"/>
      <c r="M15" s="205" t="n"/>
      <c r="N15" s="205" t="n"/>
      <c r="O15" s="205" t="n"/>
      <c r="P15" s="205" t="n"/>
      <c r="Q15" s="205" t="n"/>
      <c r="R15" s="205" t="n"/>
      <c r="S15" s="205" t="n"/>
      <c r="T15" s="20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78" t="n"/>
      <c r="F16" s="205" t="n"/>
      <c r="G16" s="205" t="n"/>
      <c r="H16" s="205" t="n"/>
      <c r="I16" s="205" t="n"/>
      <c r="J16" s="205" t="n"/>
      <c r="K16" s="205" t="n"/>
      <c r="L16" s="205" t="n"/>
      <c r="M16" s="205" t="n"/>
      <c r="N16" s="205" t="n"/>
      <c r="O16" s="205" t="n"/>
      <c r="P16" s="205" t="n"/>
      <c r="Q16" s="205" t="n"/>
      <c r="R16" s="205" t="n"/>
      <c r="S16" s="205" t="n"/>
      <c r="T16" s="20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78" t="n"/>
      <c r="F17" s="205" t="n"/>
      <c r="G17" s="205" t="n"/>
      <c r="H17" s="205" t="n"/>
      <c r="I17" s="205" t="n"/>
      <c r="J17" s="205" t="n"/>
      <c r="K17" s="205" t="n"/>
      <c r="L17" s="205" t="n"/>
      <c r="M17" s="205" t="n"/>
      <c r="N17" s="205" t="n"/>
      <c r="O17" s="205" t="n"/>
      <c r="P17" s="205" t="n"/>
      <c r="Q17" s="205" t="n"/>
      <c r="R17" s="205" t="n"/>
      <c r="S17" s="205" t="n"/>
      <c r="T17" s="205" t="n"/>
    </row>
    <row r="18">
      <c r="A18" s="286" t="n"/>
      <c r="B18" s="286" t="n"/>
      <c r="C18" s="286" t="n"/>
      <c r="D18" s="286" t="n"/>
      <c r="E18" s="205" t="n"/>
      <c r="F18" s="205" t="n"/>
      <c r="G18" s="205" t="n"/>
      <c r="H18" s="205" t="n"/>
      <c r="I18" s="205" t="n"/>
      <c r="J18" s="205" t="n"/>
      <c r="K18" s="205" t="n"/>
      <c r="L18" s="205" t="n"/>
      <c r="M18" s="205" t="n"/>
      <c r="N18" s="205" t="n"/>
      <c r="O18" s="205" t="n"/>
      <c r="P18" s="205" t="n"/>
      <c r="Q18" s="205" t="n"/>
      <c r="R18" s="205" t="n"/>
      <c r="S18" s="205" t="n"/>
      <c r="T18" s="205" t="n"/>
    </row>
    <row r="19">
      <c r="A19" s="411" t="inlineStr">
        <is>
          <t>来源：IFCMA(2024)，MGF实验室。</t>
        </is>
      </c>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94"/>
  <sheetViews>
    <sheetView tabSelected="1" workbookViewId="0">
      <selection activeCell="A1" sqref="A1"/>
    </sheetView>
  </sheetViews>
  <sheetFormatPr baseColWidth="8" defaultRowHeight="15"/>
  <cols>
    <col width="34.46875" customWidth="1" min="1" max="1"/>
    <col width="54.05859375" customWidth="1" min="2" max="2"/>
    <col width="29.703125" customWidth="1" min="3" max="3"/>
    <col width="125.87890625" customWidth="1" min="5" max="5"/>
  </cols>
  <sheetData>
    <row r="1" ht="15" customHeight="1">
      <c r="A1" s="366" t="inlineStr">
        <is>
          <t>板块</t>
        </is>
      </c>
      <c r="B1" s="366" t="inlineStr">
        <is>
          <t>属性</t>
        </is>
      </c>
      <c r="C1" s="366" t="inlineStr">
        <is>
          <t>属性定义</t>
        </is>
      </c>
      <c r="D1" s="366" t="inlineStr">
        <is>
          <t>录入类型</t>
        </is>
      </c>
      <c r="E1" s="366" t="inlineStr">
        <is>
          <t>详情</t>
        </is>
      </c>
      <c r="F1" s="412" t="n"/>
      <c r="G1" s="412" t="n"/>
      <c r="H1" s="412" t="n"/>
      <c r="I1" s="412" t="n"/>
      <c r="J1" s="412" t="n"/>
      <c r="K1" s="412" t="n"/>
      <c r="L1" s="412" t="n"/>
      <c r="M1" s="412" t="n"/>
      <c r="N1" s="412" t="n"/>
      <c r="O1" s="412" t="n"/>
      <c r="P1" s="412" t="n"/>
      <c r="Q1" s="412" t="n"/>
      <c r="R1" s="412" t="n"/>
      <c r="S1" s="412" t="n"/>
      <c r="T1" s="412" t="n"/>
    </row>
    <row r="2" ht="15" customHeight="1">
      <c r="A2" s="368" t="inlineStr">
        <is>
          <t>通用属性</t>
        </is>
      </c>
      <c r="B2" s="261" t="n"/>
      <c r="C2" s="261" t="n"/>
      <c r="D2" s="261" t="n"/>
      <c r="E2" s="262" t="n"/>
      <c r="F2" s="383" t="n"/>
      <c r="G2" s="412" t="n"/>
      <c r="H2" s="412" t="n"/>
      <c r="I2" s="412" t="n"/>
      <c r="J2" s="412" t="n"/>
      <c r="K2" s="412" t="n"/>
      <c r="L2" s="412" t="n"/>
      <c r="M2" s="412" t="n"/>
      <c r="N2" s="412" t="n"/>
      <c r="O2" s="412" t="n"/>
      <c r="P2" s="412" t="n"/>
      <c r="Q2" s="412" t="n"/>
      <c r="R2" s="412" t="n"/>
      <c r="S2" s="412" t="n"/>
      <c r="T2" s="412" t="n"/>
    </row>
    <row r="3" ht="15" customHeight="1">
      <c r="A3" s="370" t="inlineStr">
        <is>
          <t>识别信息</t>
        </is>
      </c>
      <c r="B3" s="371" t="inlineStr">
        <is>
          <t>工具/子方案</t>
        </is>
      </c>
      <c r="C3" s="372" t="inlineStr">
        <is>
          <t>指明该条目（Excel工作表中的一行）是政策工具本身，还是其子方案（即该政策工具的变体）</t>
        </is>
      </c>
      <c r="D3" s="372" t="inlineStr">
        <is>
          <t>分类</t>
        </is>
      </c>
      <c r="E3" s="372" t="inlineStr">
        <is>
          <t>工具；子方案</t>
        </is>
      </c>
      <c r="F3" s="383" t="n"/>
      <c r="G3" s="412" t="n"/>
      <c r="H3" s="412" t="n"/>
      <c r="I3" s="412" t="n"/>
      <c r="J3" s="412" t="n"/>
      <c r="K3" s="412" t="n"/>
      <c r="L3" s="412" t="n"/>
      <c r="M3" s="412" t="n"/>
      <c r="N3" s="412" t="n"/>
      <c r="O3" s="412" t="n"/>
      <c r="P3" s="412" t="n"/>
      <c r="Q3" s="412" t="n"/>
      <c r="R3" s="412" t="n"/>
      <c r="S3" s="412" t="n"/>
      <c r="T3" s="412" t="n"/>
    </row>
    <row r="4" ht="15" customHeight="1">
      <c r="A4" s="373" t="inlineStr">
        <is>
          <t>工具分类</t>
        </is>
      </c>
      <c r="B4" s="372" t="inlineStr">
        <is>
          <t>工具类型</t>
        </is>
      </c>
      <c r="C4" s="372" t="inlineStr">
        <is>
          <t>依据IFCMA分类法划分的工具类型（参见IFCMA(2024)4/REV1）</t>
        </is>
      </c>
      <c r="D4" s="372" t="inlineStr">
        <is>
          <t>分类</t>
        </is>
      </c>
      <c r="E4" s="372" t="inlineStr">
        <is>
          <t>例如：税收、补贴；技术标准；绩效标准……</t>
        </is>
      </c>
      <c r="F4" s="383" t="n"/>
      <c r="G4" s="412" t="n"/>
      <c r="H4" s="412" t="n"/>
      <c r="I4" s="412" t="n"/>
      <c r="J4" s="412" t="n"/>
      <c r="K4" s="412" t="n"/>
      <c r="L4" s="412" t="n"/>
      <c r="M4" s="412" t="n"/>
      <c r="N4" s="412" t="n"/>
      <c r="O4" s="412" t="n"/>
      <c r="P4" s="412" t="n"/>
      <c r="Q4" s="412" t="n"/>
      <c r="R4" s="412" t="n"/>
      <c r="S4" s="412" t="n"/>
      <c r="T4" s="412" t="n"/>
    </row>
    <row r="5" ht="15" customHeight="1">
      <c r="A5" s="293" t="n"/>
      <c r="B5" s="372" t="inlineStr">
        <is>
          <t>工具名称</t>
        </is>
      </c>
      <c r="C5" s="372" t="inlineStr">
        <is>
          <t>IFCMA统一工具名称（初步，工具清单仍在编制中）</t>
        </is>
      </c>
      <c r="D5" s="372" t="inlineStr">
        <is>
          <t>分类</t>
        </is>
      </c>
      <c r="E5" s="372" t="inlineStr">
        <is>
          <t>例如：碳税、可再生电力上网电价补贴、CCS补贴、内燃机汽车禁令与淘汰、燃油经济性标准……</t>
        </is>
      </c>
      <c r="F5" s="383" t="n"/>
      <c r="G5" s="412" t="n"/>
      <c r="H5" s="412" t="n"/>
      <c r="I5" s="412" t="n"/>
      <c r="J5" s="412" t="n"/>
      <c r="K5" s="412" t="n"/>
      <c r="L5" s="412" t="n"/>
      <c r="M5" s="412" t="n"/>
      <c r="N5" s="412" t="n"/>
      <c r="O5" s="412" t="n"/>
      <c r="P5" s="412" t="n"/>
      <c r="Q5" s="412" t="n"/>
      <c r="R5" s="412" t="n"/>
      <c r="S5" s="412" t="n"/>
      <c r="T5" s="412" t="n"/>
    </row>
    <row r="6" ht="15" customHeight="1">
      <c r="A6" s="293" t="n"/>
      <c r="B6" s="372" t="inlineStr">
        <is>
          <t>排放部门</t>
        </is>
      </c>
      <c r="C6" s="372" t="inlineStr">
        <is>
          <t>基于IPCC排放源部门分类的IFCMA初步分类（简化版）</t>
        </is>
      </c>
      <c r="D6" s="372" t="inlineStr">
        <is>
          <t>分类</t>
        </is>
      </c>
      <c r="E6" s="374" t="inlineStr">
        <is>
          <t>能源、交通、建筑、工业、农业、废弃物、土地利用变化与林业（LULUCF）</t>
        </is>
      </c>
      <c r="F6" s="383" t="n"/>
      <c r="G6" s="412" t="n"/>
      <c r="H6" s="412" t="n"/>
      <c r="I6" s="412" t="n"/>
      <c r="J6" s="412" t="n"/>
      <c r="K6" s="412" t="n"/>
      <c r="L6" s="412" t="n"/>
      <c r="M6" s="412" t="n"/>
      <c r="N6" s="412" t="n"/>
      <c r="O6" s="412" t="n"/>
      <c r="P6" s="412" t="n"/>
      <c r="Q6" s="412" t="n"/>
      <c r="R6" s="412" t="n"/>
      <c r="S6" s="412" t="n"/>
      <c r="T6" s="412" t="n"/>
    </row>
    <row r="7" ht="15" customHeight="1">
      <c r="A7" s="282" t="n"/>
      <c r="B7" s="372" t="inlineStr">
        <is>
          <t>子行业</t>
        </is>
      </c>
      <c r="C7" s="374" t="inlineStr">
        <is>
          <t>指明“排放部门”之下的子行业；若无需细分，则与“排放部门”填写相同内容。</t>
        </is>
      </c>
      <c r="D7" s="372" t="inlineStr">
        <is>
          <t>分类</t>
        </is>
      </c>
      <c r="E7" s="372" t="inlineStr">
        <is>
          <t>煤炭、太阳能发电、风电、氢能、核电、钢铁、水泥、汽车、电池等</t>
        </is>
      </c>
      <c r="F7" s="383" t="n"/>
      <c r="G7" s="412" t="n"/>
      <c r="H7" s="412" t="n"/>
      <c r="I7" s="412" t="n"/>
      <c r="J7" s="412" t="n"/>
      <c r="K7" s="412" t="n"/>
      <c r="L7" s="412" t="n"/>
      <c r="M7" s="412" t="n"/>
      <c r="N7" s="412" t="n"/>
      <c r="O7" s="412" t="n"/>
      <c r="P7" s="412" t="n"/>
      <c r="Q7" s="412" t="n"/>
      <c r="R7" s="412" t="n"/>
      <c r="S7" s="412" t="n"/>
      <c r="T7" s="412" t="n"/>
    </row>
    <row r="8" ht="15" customHeight="1">
      <c r="A8" s="373" t="inlineStr">
        <is>
          <t>基本信息</t>
        </is>
      </c>
      <c r="B8" s="371" t="inlineStr">
        <is>
          <t>本国工具名称</t>
        </is>
      </c>
      <c r="C8" s="371" t="inlineStr">
        <is>
          <t>工具名称的原文表述。优先采用该政策通常为人所知的名称。若工具名称存在歧义，则采用该工具法律文件中所使用的名称。</t>
        </is>
      </c>
      <c r="D8" s="372" t="inlineStr">
        <is>
          <t>自由文本</t>
        </is>
      </c>
      <c r="E8" s="372" t="inlineStr">
        <is>
          <t>N/A</t>
        </is>
      </c>
      <c r="F8" s="383" t="n"/>
      <c r="G8" s="412" t="n"/>
      <c r="H8" s="412" t="n"/>
      <c r="I8" s="412" t="n"/>
      <c r="J8" s="412" t="n"/>
      <c r="K8" s="412" t="n"/>
      <c r="L8" s="412" t="n"/>
      <c r="M8" s="412" t="n"/>
      <c r="N8" s="412" t="n"/>
      <c r="O8" s="412" t="n"/>
      <c r="P8" s="412" t="n"/>
      <c r="Q8" s="412" t="n"/>
      <c r="R8" s="412" t="n"/>
      <c r="S8" s="412" t="n"/>
      <c r="T8" s="412" t="n"/>
    </row>
    <row r="9" ht="15" customHeight="1">
      <c r="A9" s="293" t="n"/>
      <c r="B9" s="371" t="inlineStr">
        <is>
          <t>英文工具名称</t>
        </is>
      </c>
      <c r="C9" s="371" t="inlineStr">
        <is>
          <t>本国工具名称的英文翻译</t>
        </is>
      </c>
      <c r="D9" s="372" t="inlineStr">
        <is>
          <t>自由文本</t>
        </is>
      </c>
      <c r="E9" s="372" t="inlineStr">
        <is>
          <t>N/A</t>
        </is>
      </c>
      <c r="F9" s="383" t="n"/>
      <c r="G9" s="412" t="n"/>
      <c r="H9" s="412" t="n"/>
      <c r="I9" s="412" t="n"/>
      <c r="J9" s="412" t="n"/>
      <c r="K9" s="412" t="n"/>
      <c r="L9" s="412" t="n"/>
      <c r="M9" s="412" t="n"/>
      <c r="N9" s="412" t="n"/>
      <c r="O9" s="412" t="n"/>
      <c r="P9" s="412" t="n"/>
      <c r="Q9" s="412" t="n"/>
      <c r="R9" s="412" t="n"/>
      <c r="S9" s="412" t="n"/>
      <c r="T9" s="412" t="n"/>
    </row>
    <row r="10" ht="15" customHeight="1">
      <c r="A10" s="293" t="n"/>
      <c r="B10" s="371" t="inlineStr">
        <is>
          <t>政策包</t>
        </is>
      </c>
      <c r="C10" s="371"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372" t="inlineStr">
        <is>
          <t>自由文本</t>
        </is>
      </c>
      <c r="E10" s="372" t="inlineStr">
        <is>
          <t>N/A</t>
        </is>
      </c>
      <c r="F10" s="383" t="n"/>
      <c r="G10" s="412" t="n"/>
      <c r="H10" s="412" t="n"/>
      <c r="I10" s="412" t="n"/>
      <c r="J10" s="412" t="n"/>
      <c r="K10" s="412" t="n"/>
      <c r="L10" s="412" t="n"/>
      <c r="M10" s="412" t="n"/>
      <c r="N10" s="412" t="n"/>
      <c r="O10" s="412" t="n"/>
      <c r="P10" s="412" t="n"/>
      <c r="Q10" s="412" t="n"/>
      <c r="R10" s="412" t="n"/>
      <c r="S10" s="412" t="n"/>
      <c r="T10" s="412" t="n"/>
    </row>
    <row r="11" ht="15" customHeight="1">
      <c r="A11" s="293" t="n"/>
      <c r="B11" s="371" t="inlineStr">
        <is>
          <t>描述</t>
        </is>
      </c>
      <c r="C11" s="371" t="inlineStr">
        <is>
          <t>对政策机制及具体设计特征的简要描述</t>
        </is>
      </c>
      <c r="D11" s="372" t="inlineStr">
        <is>
          <t>自由文本</t>
        </is>
      </c>
      <c r="E11" s="372" t="inlineStr">
        <is>
          <t>N/A</t>
        </is>
      </c>
      <c r="F11" s="383" t="n"/>
      <c r="G11" s="412" t="n"/>
      <c r="H11" s="412" t="n"/>
      <c r="I11" s="412" t="n"/>
      <c r="J11" s="412" t="n"/>
      <c r="K11" s="412" t="n"/>
      <c r="L11" s="412" t="n"/>
      <c r="M11" s="412" t="n"/>
      <c r="N11" s="412" t="n"/>
      <c r="O11" s="412" t="n"/>
      <c r="P11" s="412" t="n"/>
      <c r="Q11" s="412" t="n"/>
      <c r="R11" s="412" t="n"/>
      <c r="S11" s="412" t="n"/>
      <c r="T11" s="412" t="n"/>
    </row>
    <row r="12" ht="15" customHeight="1">
      <c r="A12" s="293" t="n"/>
      <c r="B12" s="371" t="inlineStr">
        <is>
          <t>目标</t>
        </is>
      </c>
      <c r="C12" s="371" t="inlineStr">
        <is>
          <t>法律文件中明确表述的政策目标</t>
        </is>
      </c>
      <c r="D12" s="372" t="inlineStr">
        <is>
          <t>分类（多选）</t>
        </is>
      </c>
      <c r="E12" s="372" t="inlineStr">
        <is>
          <t>减缓气候变化；非化石能源；能源效率；绿色经济；技术创新；能源安全；污染防治；生态保护；循环经济；适应气候变化；绿色金融；电气化；产业发展；绿色消费；信息披露；公众意识；保护臭氧层</t>
        </is>
      </c>
      <c r="F12" s="383" t="n"/>
      <c r="G12" s="412" t="n"/>
      <c r="H12" s="412" t="n"/>
      <c r="I12" s="412" t="n"/>
      <c r="J12" s="412" t="n"/>
      <c r="K12" s="412" t="n"/>
      <c r="L12" s="412" t="n"/>
      <c r="M12" s="412" t="n"/>
      <c r="N12" s="412" t="n"/>
      <c r="O12" s="412" t="n"/>
      <c r="P12" s="412" t="n"/>
      <c r="Q12" s="412" t="n"/>
      <c r="R12" s="412" t="n"/>
      <c r="S12" s="412" t="n"/>
      <c r="T12" s="412" t="n"/>
    </row>
    <row r="13" ht="15" customHeight="1">
      <c r="A13" s="293" t="n"/>
      <c r="B13" s="371" t="inlineStr">
        <is>
          <t>减缓相关性</t>
        </is>
      </c>
      <c r="C13" s="371"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372" t="inlineStr">
        <is>
          <t>分类</t>
        </is>
      </c>
      <c r="E13" s="372" t="inlineStr">
        <is>
          <t>直接；间接</t>
        </is>
      </c>
      <c r="F13" s="383" t="n"/>
      <c r="G13" s="412" t="n"/>
      <c r="H13" s="412" t="n"/>
      <c r="I13" s="412" t="n"/>
      <c r="J13" s="412" t="n"/>
      <c r="K13" s="412" t="n"/>
      <c r="L13" s="412" t="n"/>
      <c r="M13" s="412" t="n"/>
      <c r="N13" s="412" t="n"/>
      <c r="O13" s="412" t="n"/>
      <c r="P13" s="412" t="n"/>
      <c r="Q13" s="412" t="n"/>
      <c r="R13" s="412" t="n"/>
      <c r="S13" s="412" t="n"/>
      <c r="T13" s="412" t="n"/>
    </row>
    <row r="14" ht="15" customHeight="1">
      <c r="A14" s="293" t="n"/>
      <c r="B14" s="371" t="inlineStr">
        <is>
          <t>管辖层级</t>
        </is>
      </c>
      <c r="C14" s="371" t="inlineStr">
        <is>
          <t>该工具适用的管辖层级</t>
        </is>
      </c>
      <c r="D14" s="372" t="inlineStr">
        <is>
          <t>分类（单选）</t>
        </is>
      </c>
      <c r="E14" s="372" t="inlineStr">
        <is>
          <t>国家级；次国家级；超国家级；经济特区</t>
        </is>
      </c>
      <c r="F14" s="383" t="n"/>
      <c r="G14" s="412" t="n"/>
      <c r="H14" s="412" t="n"/>
      <c r="I14" s="412" t="n"/>
      <c r="J14" s="412" t="n"/>
      <c r="K14" s="412" t="n"/>
      <c r="L14" s="412" t="n"/>
      <c r="M14" s="412" t="n"/>
      <c r="N14" s="412" t="n"/>
      <c r="O14" s="412" t="n"/>
      <c r="P14" s="412" t="n"/>
      <c r="Q14" s="412" t="n"/>
      <c r="R14" s="412" t="n"/>
      <c r="S14" s="412" t="n"/>
      <c r="T14" s="412" t="n"/>
    </row>
    <row r="15" ht="15" customHeight="1">
      <c r="A15" s="293" t="n"/>
      <c r="B15" s="371" t="inlineStr">
        <is>
          <t>管辖地名称</t>
        </is>
      </c>
      <c r="C15" s="371" t="inlineStr">
        <is>
          <t>若工具在超国家/国际层级或次国家级适用，填写管辖地名称（以英文填写）</t>
        </is>
      </c>
      <c r="D15" s="372" t="inlineStr">
        <is>
          <t>自由文本</t>
        </is>
      </c>
      <c r="E15" s="372" t="inlineStr">
        <is>
          <t>N/A</t>
        </is>
      </c>
      <c r="F15" s="383" t="n"/>
      <c r="G15" s="412" t="n"/>
      <c r="H15" s="412" t="n"/>
      <c r="I15" s="412" t="n"/>
      <c r="J15" s="412" t="n"/>
      <c r="K15" s="412" t="n"/>
      <c r="L15" s="412" t="n"/>
      <c r="M15" s="412" t="n"/>
      <c r="N15" s="412" t="n"/>
      <c r="O15" s="412" t="n"/>
      <c r="P15" s="412" t="n"/>
      <c r="Q15" s="412" t="n"/>
      <c r="R15" s="412" t="n"/>
      <c r="S15" s="412" t="n"/>
      <c r="T15" s="412" t="n"/>
    </row>
    <row r="16" ht="15" customHeight="1">
      <c r="A16" s="293" t="n"/>
      <c r="B16" s="371" t="inlineStr">
        <is>
          <t>状态</t>
        </is>
      </c>
      <c r="C16" s="371" t="inlineStr">
        <is>
          <t>界定该工具是现行有效还是已失效，以及是否正在生效</t>
        </is>
      </c>
      <c r="D16" s="372" t="inlineStr">
        <is>
          <t>分类（单选）</t>
        </is>
      </c>
      <c r="E16" s="372" t="inlineStr">
        <is>
          <t>生效；计划实施；已终止；不存在</t>
        </is>
      </c>
      <c r="F16" s="383" t="n"/>
      <c r="G16" s="412" t="n"/>
      <c r="H16" s="412" t="n"/>
      <c r="I16" s="412" t="n"/>
      <c r="J16" s="412" t="n"/>
      <c r="K16" s="412" t="n"/>
      <c r="L16" s="412" t="n"/>
      <c r="M16" s="412" t="n"/>
      <c r="N16" s="412" t="n"/>
      <c r="O16" s="412" t="n"/>
      <c r="P16" s="412" t="n"/>
      <c r="Q16" s="412" t="n"/>
      <c r="R16" s="412" t="n"/>
      <c r="S16" s="412" t="n"/>
      <c r="T16" s="412" t="n"/>
    </row>
    <row r="17" ht="15" customHeight="1">
      <c r="A17" s="293" t="n"/>
      <c r="B17" s="371" t="inlineStr">
        <is>
          <t>通过日期</t>
        </is>
      </c>
      <c r="C17" s="371" t="inlineStr">
        <is>
          <t>该工具获批的日期</t>
        </is>
      </c>
      <c r="D17" s="372" t="inlineStr">
        <is>
          <t>日月年格式</t>
        </is>
      </c>
      <c r="E17" s="372" t="inlineStr">
        <is>
          <t>固定格式 [mm/yyyy] 或 [yyyy]</t>
        </is>
      </c>
      <c r="F17" s="383" t="n"/>
      <c r="G17" s="412" t="n"/>
      <c r="H17" s="412" t="n"/>
      <c r="I17" s="412" t="n"/>
      <c r="J17" s="412" t="n"/>
      <c r="K17" s="412" t="n"/>
      <c r="L17" s="412" t="n"/>
      <c r="M17" s="412" t="n"/>
      <c r="N17" s="412" t="n"/>
      <c r="O17" s="412" t="n"/>
      <c r="P17" s="412" t="n"/>
      <c r="Q17" s="412" t="n"/>
      <c r="R17" s="412" t="n"/>
      <c r="S17" s="412" t="n"/>
      <c r="T17" s="412" t="n"/>
    </row>
    <row r="18" ht="15" customHeight="1">
      <c r="A18" s="293" t="n"/>
      <c r="B18" s="371" t="inlineStr">
        <is>
          <t>生效日期</t>
        </is>
      </c>
      <c r="C18" s="371" t="inlineStr">
        <is>
          <t>该工具生效或即将生效、具有法律约束力的日期</t>
        </is>
      </c>
      <c r="D18" s="372" t="inlineStr">
        <is>
          <t>日月年格式</t>
        </is>
      </c>
      <c r="E18" s="372" t="inlineStr">
        <is>
          <t>固定格式 [mm/yyyy] 或 [yyyy]</t>
        </is>
      </c>
      <c r="F18" s="383" t="n"/>
      <c r="G18" s="412" t="n"/>
      <c r="H18" s="412" t="n"/>
      <c r="I18" s="412" t="n"/>
      <c r="J18" s="412" t="n"/>
      <c r="K18" s="412" t="n"/>
      <c r="L18" s="412" t="n"/>
      <c r="M18" s="412" t="n"/>
      <c r="N18" s="412" t="n"/>
      <c r="O18" s="412" t="n"/>
      <c r="P18" s="412" t="n"/>
      <c r="Q18" s="412" t="n"/>
      <c r="R18" s="412" t="n"/>
      <c r="S18" s="412" t="n"/>
      <c r="T18" s="412" t="n"/>
    </row>
    <row r="19" ht="15" customHeight="1">
      <c r="A19" s="293" t="n"/>
      <c r="B19" s="371" t="inlineStr">
        <is>
          <t>终止日期</t>
        </is>
      </c>
      <c r="C19" s="371" t="inlineStr">
        <is>
          <t>法律授权的最终要求生效的日期（如相关）</t>
        </is>
      </c>
      <c r="D19" s="372" t="inlineStr">
        <is>
          <t>日月年格式</t>
        </is>
      </c>
      <c r="E19" s="372" t="inlineStr">
        <is>
          <t>固定格式 [mm/yyyy] 或 [yyyy]</t>
        </is>
      </c>
      <c r="F19" s="383" t="n"/>
      <c r="G19" s="412" t="n"/>
      <c r="H19" s="412" t="n"/>
      <c r="I19" s="412" t="n"/>
      <c r="J19" s="412" t="n"/>
      <c r="K19" s="412" t="n"/>
      <c r="L19" s="412" t="n"/>
      <c r="M19" s="412" t="n"/>
      <c r="N19" s="412" t="n"/>
      <c r="O19" s="412" t="n"/>
      <c r="P19" s="412" t="n"/>
      <c r="Q19" s="412" t="n"/>
      <c r="R19" s="412" t="n"/>
      <c r="S19" s="412" t="n"/>
      <c r="T19" s="412" t="n"/>
    </row>
    <row r="20" ht="15" customHeight="1">
      <c r="A20" s="293" t="n"/>
      <c r="B20" s="371" t="inlineStr">
        <is>
          <t>最近修订</t>
        </is>
      </c>
      <c r="C20" s="371" t="inlineStr">
        <is>
          <t>该政策工具最近一次更新/修订的日期</t>
        </is>
      </c>
      <c r="D20" s="372" t="inlineStr">
        <is>
          <t>日月年格式</t>
        </is>
      </c>
      <c r="E20" s="372" t="inlineStr">
        <is>
          <t>固定格式 [mm/yyyy] 或 [yyyy]</t>
        </is>
      </c>
      <c r="F20" s="383" t="n"/>
      <c r="G20" s="412" t="n"/>
      <c r="H20" s="412" t="n"/>
      <c r="I20" s="412" t="n"/>
      <c r="J20" s="412" t="n"/>
      <c r="K20" s="412" t="n"/>
      <c r="L20" s="412" t="n"/>
      <c r="M20" s="412" t="n"/>
      <c r="N20" s="412" t="n"/>
      <c r="O20" s="412" t="n"/>
      <c r="P20" s="412" t="n"/>
      <c r="Q20" s="412" t="n"/>
      <c r="R20" s="412" t="n"/>
      <c r="S20" s="412" t="n"/>
      <c r="T20" s="412" t="n"/>
    </row>
    <row r="21" ht="15" customHeight="1">
      <c r="A21" s="293" t="n"/>
      <c r="B21" s="371" t="inlineStr">
        <is>
          <t>最近修订（详情）</t>
        </is>
      </c>
      <c r="C21" s="371" t="inlineStr">
        <is>
          <t>说明最近一次修订的性质（如适用）、修改内容[扩大范围、调整强度、新增专项资金安排等]以及/或此前相关修订</t>
        </is>
      </c>
      <c r="D21" s="372" t="inlineStr">
        <is>
          <t>自由文本</t>
        </is>
      </c>
      <c r="E21" s="372" t="n"/>
      <c r="F21" s="383" t="n"/>
      <c r="G21" s="412" t="n"/>
      <c r="H21" s="412" t="n"/>
      <c r="I21" s="412" t="n"/>
      <c r="J21" s="412" t="n"/>
      <c r="K21" s="412" t="n"/>
      <c r="L21" s="412" t="n"/>
      <c r="M21" s="412" t="n"/>
      <c r="N21" s="412" t="n"/>
      <c r="O21" s="412" t="n"/>
      <c r="P21" s="412" t="n"/>
      <c r="Q21" s="412" t="n"/>
      <c r="R21" s="412" t="n"/>
      <c r="S21" s="412" t="n"/>
      <c r="T21" s="412" t="n"/>
    </row>
    <row r="22" ht="15" customHeight="1">
      <c r="A22" s="282" t="n"/>
      <c r="B22" s="371" t="inlineStr">
        <is>
          <t>管理机构</t>
        </is>
      </c>
      <c r="C22" s="371" t="inlineStr">
        <is>
          <t>实施和管理该工具的机构。包括设定费率及/或界定政策基础</t>
        </is>
      </c>
      <c r="D22" s="372" t="inlineStr">
        <is>
          <t>自由文本</t>
        </is>
      </c>
      <c r="E22" s="372" t="inlineStr">
        <is>
          <t>N/A</t>
        </is>
      </c>
      <c r="F22" s="383" t="n"/>
      <c r="G22" s="412" t="n"/>
      <c r="H22" s="412" t="n"/>
      <c r="I22" s="412" t="n"/>
      <c r="J22" s="412" t="n"/>
      <c r="K22" s="412" t="n"/>
      <c r="L22" s="412" t="n"/>
      <c r="M22" s="412" t="n"/>
      <c r="N22" s="412" t="n"/>
      <c r="O22" s="412" t="n"/>
      <c r="P22" s="412" t="n"/>
      <c r="Q22" s="412" t="n"/>
      <c r="R22" s="412" t="n"/>
      <c r="S22" s="412" t="n"/>
      <c r="T22" s="412" t="n"/>
    </row>
    <row r="23" ht="15" customHeight="1">
      <c r="A23" s="375" t="inlineStr">
        <is>
          <t>政策规制基础与强度</t>
        </is>
      </c>
      <c r="B23" s="371" t="inlineStr">
        <is>
          <t>受规制资产</t>
        </is>
      </c>
      <c r="C23" s="371" t="inlineStr">
        <is>
          <t>受规制的对象；可以是构筑物（如锅炉和汽轮机）、燃料（如煤炭或天然气）、排放物，也可以是产品、投入品等更一般的对象，以及无形资产</t>
        </is>
      </c>
      <c r="D23" s="372" t="inlineStr">
        <is>
          <t>分类（多选），可补充详情</t>
        </is>
      </c>
      <c r="E23" s="372" t="inlineStr">
        <is>
          <t>非穷尽清单</t>
        </is>
      </c>
      <c r="F23" s="383" t="n"/>
      <c r="G23" s="412" t="n"/>
      <c r="H23" s="412" t="n"/>
      <c r="I23" s="412" t="n"/>
      <c r="J23" s="412" t="n"/>
      <c r="K23" s="412" t="n"/>
      <c r="L23" s="412" t="n"/>
      <c r="M23" s="412" t="n"/>
      <c r="N23" s="412" t="n"/>
      <c r="O23" s="412" t="n"/>
      <c r="P23" s="412" t="n"/>
      <c r="Q23" s="412" t="n"/>
      <c r="R23" s="412" t="n"/>
      <c r="S23" s="412" t="n"/>
      <c r="T23" s="412" t="n"/>
    </row>
    <row r="24" ht="15" customHeight="1">
      <c r="A24" s="293" t="n"/>
      <c r="B24" s="371" t="inlineStr">
        <is>
          <t>受规制资产（状态）</t>
        </is>
      </c>
      <c r="C24" s="371" t="inlineStr">
        <is>
          <t>资产状态，即资产是新建/新售的、已存在的（既有建筑存量或车辆存量），还是二手售出的</t>
        </is>
      </c>
      <c r="D24" s="372" t="inlineStr">
        <is>
          <t>分类</t>
        </is>
      </c>
      <c r="E24" s="372" t="inlineStr">
        <is>
          <t>新建；既有</t>
        </is>
      </c>
      <c r="F24" s="383" t="n"/>
      <c r="G24" s="412" t="n"/>
      <c r="H24" s="412" t="n"/>
      <c r="I24" s="412" t="n"/>
      <c r="J24" s="412" t="n"/>
      <c r="K24" s="412" t="n"/>
      <c r="L24" s="412" t="n"/>
      <c r="M24" s="412" t="n"/>
      <c r="N24" s="412" t="n"/>
      <c r="O24" s="412" t="n"/>
      <c r="P24" s="412" t="n"/>
      <c r="Q24" s="412" t="n"/>
      <c r="R24" s="412" t="n"/>
      <c r="S24" s="412" t="n"/>
      <c r="T24" s="412" t="n"/>
    </row>
    <row r="25" ht="15" customHeight="1">
      <c r="A25" s="293" t="n"/>
      <c r="B25" s="371" t="inlineStr">
        <is>
          <t>受规制资产（详情）</t>
        </is>
      </c>
      <c r="C25" s="371" t="inlineStr">
        <is>
          <t>资产类型，视资产种类可有多种形式，可包括发动机类型或其他技术规格</t>
        </is>
      </c>
      <c r="D25" s="372" t="inlineStr">
        <is>
          <t>分类</t>
        </is>
      </c>
      <c r="E25" s="372" t="inlineStr">
        <is>
          <t>非穷尽清单</t>
        </is>
      </c>
      <c r="F25" s="383" t="n"/>
      <c r="G25" s="412" t="n"/>
      <c r="H25" s="412" t="n"/>
      <c r="I25" s="412" t="n"/>
      <c r="J25" s="412" t="n"/>
      <c r="K25" s="412" t="n"/>
      <c r="L25" s="412" t="n"/>
      <c r="M25" s="412" t="n"/>
      <c r="N25" s="412" t="n"/>
      <c r="O25" s="412" t="n"/>
      <c r="P25" s="412" t="n"/>
      <c r="Q25" s="412" t="n"/>
      <c r="R25" s="412" t="n"/>
      <c r="S25" s="412" t="n"/>
      <c r="T25" s="412" t="n"/>
    </row>
    <row r="26" ht="15" customHeight="1">
      <c r="A26" s="293" t="n"/>
      <c r="B26" s="371" t="inlineStr">
        <is>
          <t>受规制资产（其他）</t>
        </is>
      </c>
      <c r="C26" s="371" t="inlineStr">
        <is>
          <t>界定受规制资产所需的其他详情</t>
        </is>
      </c>
      <c r="D26" s="372" t="inlineStr">
        <is>
          <t>自由文本</t>
        </is>
      </c>
      <c r="E26" s="372" t="inlineStr">
        <is>
          <t>N/A</t>
        </is>
      </c>
      <c r="F26" s="383" t="n"/>
      <c r="G26" s="412" t="n"/>
      <c r="H26" s="412" t="n"/>
      <c r="I26" s="412" t="n"/>
      <c r="J26" s="412" t="n"/>
      <c r="K26" s="412" t="n"/>
      <c r="L26" s="412" t="n"/>
      <c r="M26" s="412" t="n"/>
      <c r="N26" s="412" t="n"/>
      <c r="O26" s="412" t="n"/>
      <c r="P26" s="412" t="n"/>
      <c r="Q26" s="412" t="n"/>
      <c r="R26" s="412" t="n"/>
      <c r="S26" s="412" t="n"/>
      <c r="T26" s="412" t="n"/>
    </row>
    <row r="27" ht="15" customHeight="1">
      <c r="A27" s="293" t="n"/>
      <c r="B27" s="371" t="inlineStr">
        <is>
          <t>受规制资产（阈值范围）</t>
        </is>
      </c>
      <c r="C27" s="371" t="inlineStr">
        <is>
          <t>指界定该工具所规制的政策基础范围或类别的具体详情。括号划定该工具规制条款适用的边界，例如收入区间、资产类别（如按规模划分）。</t>
        </is>
      </c>
      <c r="D27" s="372" t="inlineStr">
        <is>
          <t>开放结构</t>
        </is>
      </c>
      <c r="E27" s="372" t="inlineStr">
        <is>
          <t>[XXXX ; YYYY] + 单位</t>
        </is>
      </c>
      <c r="F27" s="383" t="n"/>
      <c r="G27" s="412" t="n"/>
      <c r="H27" s="412" t="n"/>
      <c r="I27" s="412" t="n"/>
      <c r="J27" s="412" t="n"/>
      <c r="K27" s="412" t="n"/>
      <c r="L27" s="412" t="n"/>
      <c r="M27" s="412" t="n"/>
      <c r="N27" s="412" t="n"/>
      <c r="O27" s="412" t="n"/>
      <c r="P27" s="412" t="n"/>
      <c r="Q27" s="412" t="n"/>
      <c r="R27" s="412" t="n"/>
      <c r="S27" s="412" t="n"/>
      <c r="T27" s="412" t="n"/>
    </row>
    <row r="28" ht="15" customHeight="1">
      <c r="A28" s="293" t="n"/>
      <c r="B28" s="371" t="inlineStr">
        <is>
          <t>受规制主体</t>
        </is>
      </c>
      <c r="C28" s="371" t="inlineStr">
        <is>
          <t>依法须遵守该政策工具，或获得既定利益或信息的主体</t>
        </is>
      </c>
      <c r="D28" s="372" t="inlineStr">
        <is>
          <t>分类（多选），可补充详情</t>
        </is>
      </c>
      <c r="E28" s="372" t="inlineStr">
        <is>
          <t>家庭；企业；政府；非政府组织</t>
        </is>
      </c>
      <c r="F28" s="383" t="n"/>
      <c r="G28" s="412" t="n"/>
      <c r="H28" s="412" t="n"/>
      <c r="I28" s="412" t="n"/>
      <c r="J28" s="412" t="n"/>
      <c r="K28" s="412" t="n"/>
      <c r="L28" s="412" t="n"/>
      <c r="M28" s="412" t="n"/>
      <c r="N28" s="412" t="n"/>
      <c r="O28" s="412" t="n"/>
      <c r="P28" s="412" t="n"/>
      <c r="Q28" s="412" t="n"/>
      <c r="R28" s="412" t="n"/>
      <c r="S28" s="412" t="n"/>
      <c r="T28" s="412" t="n"/>
    </row>
    <row r="29" ht="15" customHeight="1">
      <c r="A29" s="293" t="n"/>
      <c r="B29" s="371" t="inlineStr">
        <is>
          <t>受规制主体（详情）</t>
        </is>
      </c>
      <c r="C29" s="371" t="inlineStr">
        <is>
          <t>界定受规制主体所需的相关详情（例如：车龄超过10年的车辆、收入超过一定门槛的家庭/企业等）</t>
        </is>
      </c>
      <c r="D29" s="372" t="inlineStr">
        <is>
          <t>自由文本</t>
        </is>
      </c>
      <c r="E29" s="372" t="inlineStr">
        <is>
          <t>N/A</t>
        </is>
      </c>
      <c r="F29" s="383" t="n"/>
      <c r="G29" s="412" t="n"/>
      <c r="H29" s="412" t="n"/>
      <c r="I29" s="412" t="n"/>
      <c r="J29" s="412" t="n"/>
      <c r="K29" s="412" t="n"/>
      <c r="L29" s="412" t="n"/>
      <c r="M29" s="412" t="n"/>
      <c r="N29" s="412" t="n"/>
      <c r="O29" s="412" t="n"/>
      <c r="P29" s="412" t="n"/>
      <c r="Q29" s="412" t="n"/>
      <c r="R29" s="412" t="n"/>
      <c r="S29" s="412" t="n"/>
      <c r="T29" s="412" t="n"/>
    </row>
    <row r="30" ht="15" customHeight="1">
      <c r="A30" s="293" t="n"/>
      <c r="B30" s="371" t="inlineStr">
        <is>
          <t>受规制活动</t>
        </is>
      </c>
      <c r="C30" s="371" t="inlineStr">
        <is>
          <t>该政策工具干预的作用点</t>
        </is>
      </c>
      <c r="D30" s="372" t="inlineStr">
        <is>
          <t>分类（多选），可补充详情</t>
        </is>
      </c>
      <c r="E30" s="372" t="inlineStr">
        <is>
          <t>非穷尽清单</t>
        </is>
      </c>
      <c r="F30" s="383" t="n"/>
      <c r="G30" s="412" t="n"/>
      <c r="H30" s="412" t="n"/>
      <c r="I30" s="412" t="n"/>
      <c r="J30" s="412" t="n"/>
      <c r="K30" s="412" t="n"/>
      <c r="L30" s="412" t="n"/>
      <c r="M30" s="412" t="n"/>
      <c r="N30" s="412" t="n"/>
      <c r="O30" s="412" t="n"/>
      <c r="P30" s="412" t="n"/>
      <c r="Q30" s="412" t="n"/>
      <c r="R30" s="412" t="n"/>
      <c r="S30" s="412" t="n"/>
      <c r="T30" s="412" t="n"/>
    </row>
    <row r="31" ht="15" customHeight="1">
      <c r="A31" s="293" t="n"/>
      <c r="B31" s="371" t="inlineStr">
        <is>
          <t>受规制活动（详情）</t>
        </is>
      </c>
      <c r="C31" s="371" t="inlineStr">
        <is>
          <t>界定受规制活动所需的其他详情</t>
        </is>
      </c>
      <c r="D31" s="372" t="inlineStr">
        <is>
          <t>自由文本</t>
        </is>
      </c>
      <c r="E31" s="372" t="inlineStr">
        <is>
          <t>N/A</t>
        </is>
      </c>
      <c r="F31" s="383" t="n"/>
      <c r="G31" s="412" t="n"/>
      <c r="H31" s="412" t="n"/>
      <c r="I31" s="412" t="n"/>
      <c r="J31" s="412" t="n"/>
      <c r="K31" s="412" t="n"/>
      <c r="L31" s="412" t="n"/>
      <c r="M31" s="412" t="n"/>
      <c r="N31" s="412" t="n"/>
      <c r="O31" s="412" t="n"/>
      <c r="P31" s="412" t="n"/>
      <c r="Q31" s="412" t="n"/>
      <c r="R31" s="412" t="n"/>
      <c r="S31" s="412" t="n"/>
      <c r="T31" s="412" t="n"/>
    </row>
    <row r="32" ht="15" customHeight="1">
      <c r="A32" s="293" t="n"/>
      <c r="B32" s="371" t="inlineStr">
        <is>
          <t>强度（数值）</t>
        </is>
      </c>
      <c r="C32" s="371" t="inlineStr">
        <is>
          <t>法律文件中使用的数值（水平、费率、目标等）</t>
        </is>
      </c>
      <c r="D32" s="372" t="inlineStr">
        <is>
          <t>自由文本</t>
        </is>
      </c>
      <c r="E32" s="372" t="inlineStr">
        <is>
          <t>N/A</t>
        </is>
      </c>
      <c r="F32" s="383" t="n"/>
      <c r="G32" s="412" t="n"/>
      <c r="H32" s="412" t="n"/>
      <c r="I32" s="412" t="n"/>
      <c r="J32" s="412" t="n"/>
      <c r="K32" s="412" t="n"/>
      <c r="L32" s="412" t="n"/>
      <c r="M32" s="412" t="n"/>
      <c r="N32" s="412" t="n"/>
      <c r="O32" s="412" t="n"/>
      <c r="P32" s="412" t="n"/>
      <c r="Q32" s="412" t="n"/>
      <c r="R32" s="412" t="n"/>
      <c r="S32" s="412" t="n"/>
      <c r="T32" s="412" t="n"/>
    </row>
    <row r="33" ht="15" customHeight="1">
      <c r="A33" s="293" t="n"/>
      <c r="B33" s="371" t="inlineStr">
        <is>
          <t>强度（单位）</t>
        </is>
      </c>
      <c r="C33" s="371" t="inlineStr">
        <is>
          <t>强度数值的单位，例如：欧元、公里、%、等级等</t>
        </is>
      </c>
      <c r="D33" s="372" t="inlineStr">
        <is>
          <t>自由文本</t>
        </is>
      </c>
      <c r="E33" s="372" t="inlineStr">
        <is>
          <t>[按法规中所述的单位填写]</t>
        </is>
      </c>
      <c r="F33" s="383" t="n"/>
      <c r="G33" s="412" t="n"/>
      <c r="H33" s="412" t="n"/>
      <c r="I33" s="412" t="n"/>
      <c r="J33" s="412" t="n"/>
      <c r="K33" s="412" t="n"/>
      <c r="L33" s="412" t="n"/>
      <c r="M33" s="412" t="n"/>
      <c r="N33" s="412" t="n"/>
      <c r="O33" s="412" t="n"/>
      <c r="P33" s="412" t="n"/>
      <c r="Q33" s="412" t="n"/>
      <c r="R33" s="412" t="n"/>
      <c r="S33" s="412" t="n"/>
      <c r="T33" s="412" t="n"/>
    </row>
    <row r="34" ht="15" customHeight="1">
      <c r="A34" s="293" t="n"/>
      <c r="B34" s="371" t="inlineStr">
        <is>
          <t>强度（详情）</t>
        </is>
      </c>
      <c r="C34" s="371" t="inlineStr">
        <is>
          <t>关于强度的进一步详情（如需要）。例如：若强度按公式计算，可提供公式及平均强度值</t>
        </is>
      </c>
      <c r="D34" s="372" t="inlineStr">
        <is>
          <t>自由文本</t>
        </is>
      </c>
      <c r="E34" s="372" t="inlineStr">
        <is>
          <t>N/A</t>
        </is>
      </c>
      <c r="F34" s="383" t="n"/>
      <c r="G34" s="412" t="n"/>
      <c r="H34" s="412" t="n"/>
      <c r="I34" s="412" t="n"/>
      <c r="J34" s="412" t="n"/>
      <c r="K34" s="412" t="n"/>
      <c r="L34" s="412" t="n"/>
      <c r="M34" s="412" t="n"/>
      <c r="N34" s="412" t="n"/>
      <c r="O34" s="412" t="n"/>
      <c r="P34" s="412" t="n"/>
      <c r="Q34" s="412" t="n"/>
      <c r="R34" s="412" t="n"/>
      <c r="S34" s="412" t="n"/>
      <c r="T34" s="412" t="n"/>
    </row>
    <row r="35" ht="15" customHeight="1">
      <c r="A35" s="293" t="n"/>
      <c r="B35" s="371" t="inlineStr">
        <is>
          <t>要求说明</t>
        </is>
      </c>
      <c r="C35" s="371" t="inlineStr">
        <is>
          <t>若强度因某项尚未在资产、活动或主体属性中体现的要求而变化，且该要求对理解和描述该政策工具有意义，则在此填写该项要求。</t>
        </is>
      </c>
      <c r="D35" s="372" t="inlineStr">
        <is>
          <t>自由文本</t>
        </is>
      </c>
      <c r="E35" s="372" t="inlineStr">
        <is>
          <t>N/A</t>
        </is>
      </c>
      <c r="F35" s="383" t="n"/>
      <c r="G35" s="412" t="n"/>
      <c r="H35" s="412" t="n"/>
      <c r="I35" s="412" t="n"/>
      <c r="J35" s="412" t="n"/>
      <c r="K35" s="412" t="n"/>
      <c r="L35" s="412" t="n"/>
      <c r="M35" s="412" t="n"/>
      <c r="N35" s="412" t="n"/>
      <c r="O35" s="412" t="n"/>
      <c r="P35" s="412" t="n"/>
      <c r="Q35" s="412" t="n"/>
      <c r="R35" s="412" t="n"/>
      <c r="S35" s="412" t="n"/>
      <c r="T35" s="412" t="n"/>
    </row>
    <row r="36" ht="15" customHeight="1">
      <c r="A36" s="293" t="n"/>
      <c r="B36" s="371" t="inlineStr">
        <is>
          <t>合规计算方法I</t>
        </is>
      </c>
      <c r="C36" s="371" t="inlineStr">
        <is>
          <t>指明该工具适用于单个受规制资产，还是资产的加总（例如其总产量、总运营量或总销量）。</t>
        </is>
      </c>
      <c r="D36" s="372" t="inlineStr">
        <is>
          <t>自由文本</t>
        </is>
      </c>
      <c r="E36" s="372" t="inlineStr">
        <is>
          <t>N/A</t>
        </is>
      </c>
      <c r="F36" s="383" t="n"/>
      <c r="G36" s="412" t="n"/>
      <c r="H36" s="412" t="n"/>
      <c r="I36" s="412" t="n"/>
      <c r="J36" s="412" t="n"/>
      <c r="K36" s="412" t="n"/>
      <c r="L36" s="412" t="n"/>
      <c r="M36" s="412" t="n"/>
      <c r="N36" s="412" t="n"/>
      <c r="O36" s="412" t="n"/>
      <c r="P36" s="412" t="n"/>
      <c r="Q36" s="412" t="n"/>
      <c r="R36" s="412" t="n"/>
      <c r="S36" s="412" t="n"/>
      <c r="T36" s="412" t="n"/>
    </row>
    <row r="37" ht="15" customHeight="1">
      <c r="A37" s="282" t="n"/>
      <c r="B37" s="371" t="inlineStr">
        <is>
          <t>合规计算方法II</t>
        </is>
      </c>
      <c r="C37" s="371" t="inlineStr">
        <is>
          <t>描述用于评估是否满足该工具要求的方法或规则。</t>
        </is>
      </c>
      <c r="D37" s="372" t="inlineStr">
        <is>
          <t>自由文本</t>
        </is>
      </c>
      <c r="E37" s="372" t="inlineStr">
        <is>
          <t>N/A</t>
        </is>
      </c>
      <c r="F37" s="383" t="n"/>
      <c r="G37" s="412" t="n"/>
      <c r="H37" s="412" t="n"/>
      <c r="I37" s="412" t="n"/>
      <c r="J37" s="412" t="n"/>
      <c r="K37" s="412" t="n"/>
      <c r="L37" s="412" t="n"/>
      <c r="M37" s="412" t="n"/>
      <c r="N37" s="412" t="n"/>
      <c r="O37" s="412" t="n"/>
      <c r="P37" s="412" t="n"/>
      <c r="Q37" s="412" t="n"/>
      <c r="R37" s="412" t="n"/>
      <c r="S37" s="412" t="n"/>
      <c r="T37" s="412" t="n"/>
    </row>
    <row r="38" ht="15" customHeight="1">
      <c r="A38" s="375" t="inlineStr">
        <is>
          <t>立法参考</t>
        </is>
      </c>
      <c r="B38" s="371" t="inlineStr">
        <is>
          <t>法律文件名称</t>
        </is>
      </c>
      <c r="C38" s="371" t="inlineStr">
        <is>
          <t>设立或（修订后）修改该工具的相关法律文件名称及章和/或条款</t>
        </is>
      </c>
      <c r="D38" s="372" t="inlineStr">
        <is>
          <t>自由文本</t>
        </is>
      </c>
      <c r="E38" s="372" t="inlineStr">
        <is>
          <t>N/A</t>
        </is>
      </c>
      <c r="F38" s="383" t="n"/>
      <c r="G38" s="412" t="n"/>
      <c r="H38" s="412" t="n"/>
      <c r="I38" s="412" t="n"/>
      <c r="J38" s="412" t="n"/>
      <c r="K38" s="412" t="n"/>
      <c r="L38" s="412" t="n"/>
      <c r="M38" s="412" t="n"/>
      <c r="N38" s="412" t="n"/>
      <c r="O38" s="412" t="n"/>
      <c r="P38" s="412" t="n"/>
      <c r="Q38" s="412" t="n"/>
      <c r="R38" s="412" t="n"/>
      <c r="S38" s="412" t="n"/>
      <c r="T38" s="412" t="n"/>
    </row>
    <row r="39" ht="15" customHeight="1">
      <c r="A39" s="293" t="n"/>
      <c r="B39" s="371" t="inlineStr">
        <is>
          <t>法律文件链接</t>
        </is>
      </c>
      <c r="C39" s="371" t="inlineStr">
        <is>
          <t>设立或（修订后）修改该工具的相关法律文件网页链接</t>
        </is>
      </c>
      <c r="D39" s="372" t="inlineStr">
        <is>
          <t>自由文本</t>
        </is>
      </c>
      <c r="E39" s="372" t="inlineStr">
        <is>
          <t>N/A</t>
        </is>
      </c>
      <c r="F39" s="383" t="n"/>
      <c r="G39" s="412" t="n"/>
      <c r="H39" s="412" t="n"/>
      <c r="I39" s="412" t="n"/>
      <c r="J39" s="412" t="n"/>
      <c r="K39" s="412" t="n"/>
      <c r="L39" s="412" t="n"/>
      <c r="M39" s="412" t="n"/>
      <c r="N39" s="412" t="n"/>
      <c r="O39" s="412" t="n"/>
      <c r="P39" s="412" t="n"/>
      <c r="Q39" s="412" t="n"/>
      <c r="R39" s="412" t="n"/>
      <c r="S39" s="412" t="n"/>
      <c r="T39" s="412" t="n"/>
    </row>
    <row r="40" ht="15" customHeight="1">
      <c r="A40" s="282" t="n"/>
      <c r="B40" s="371" t="inlineStr">
        <is>
          <t>其他网页链接</t>
        </is>
      </c>
      <c r="C40" s="371" t="inlineStr">
        <is>
          <t>其他相关网站的网页链接</t>
        </is>
      </c>
      <c r="D40" s="372" t="inlineStr">
        <is>
          <t>自由文本</t>
        </is>
      </c>
      <c r="E40" s="372" t="inlineStr">
        <is>
          <t>N/A</t>
        </is>
      </c>
      <c r="F40" s="383" t="n"/>
      <c r="G40" s="412" t="n"/>
      <c r="H40" s="412" t="n"/>
      <c r="I40" s="412" t="n"/>
      <c r="J40" s="412" t="n"/>
      <c r="K40" s="412" t="n"/>
      <c r="L40" s="412" t="n"/>
      <c r="M40" s="412" t="n"/>
      <c r="N40" s="412" t="n"/>
      <c r="O40" s="412" t="n"/>
      <c r="P40" s="412" t="n"/>
      <c r="Q40" s="412" t="n"/>
      <c r="R40" s="412" t="n"/>
      <c r="S40" s="412" t="n"/>
      <c r="T40" s="412" t="n"/>
    </row>
    <row r="41" ht="15" customHeight="1">
      <c r="A41" s="375" t="inlineStr">
        <is>
          <t>温室气体排放基础</t>
        </is>
      </c>
      <c r="B41" s="371" t="inlineStr">
        <is>
          <t>温室气体排放覆盖（绝对量）</t>
        </is>
      </c>
      <c r="C41" s="371" t="inlineStr">
        <is>
          <t>该工具排放基数（覆盖的排放量）的绝对值量化</t>
        </is>
      </c>
      <c r="D41" s="372" t="inlineStr">
        <is>
          <t>数值</t>
        </is>
      </c>
      <c r="E41" s="372" t="inlineStr">
        <is>
          <t>单位：千吨CO2当量</t>
        </is>
      </c>
      <c r="F41" s="413" t="n"/>
      <c r="G41" s="414" t="n"/>
      <c r="H41" s="414" t="n"/>
      <c r="I41" s="415" t="n"/>
      <c r="J41" s="412" t="n"/>
      <c r="K41" s="412" t="n"/>
      <c r="L41" s="412" t="n"/>
      <c r="M41" s="412" t="n"/>
      <c r="N41" s="412" t="n"/>
      <c r="O41" s="412" t="n"/>
      <c r="P41" s="412" t="n"/>
      <c r="Q41" s="412" t="n"/>
      <c r="R41" s="412" t="n"/>
      <c r="S41" s="412" t="n"/>
      <c r="T41" s="412" t="n"/>
    </row>
    <row r="42" ht="15" customHeight="1">
      <c r="A42" s="282" t="n"/>
      <c r="B42" s="371" t="inlineStr">
        <is>
          <t>温室气体排放覆盖（占国内排放百分比）</t>
        </is>
      </c>
      <c r="C42" s="371" t="inlineStr">
        <is>
          <t>该工具排放基数相对于国内总排放量的量化</t>
        </is>
      </c>
      <c r="D42" s="372" t="inlineStr">
        <is>
          <t>数值</t>
        </is>
      </c>
      <c r="E42" s="372" t="inlineStr">
        <is>
          <t>占国内排放量的百分比</t>
        </is>
      </c>
      <c r="F42" s="413" t="n"/>
      <c r="G42" s="414" t="n"/>
      <c r="H42" s="414" t="n"/>
      <c r="I42" s="415" t="n"/>
      <c r="J42" s="412" t="n"/>
      <c r="K42" s="412" t="n"/>
      <c r="L42" s="412" t="n"/>
      <c r="M42" s="412" t="n"/>
      <c r="N42" s="412" t="n"/>
      <c r="O42" s="412" t="n"/>
      <c r="P42" s="412" t="n"/>
      <c r="Q42" s="412" t="n"/>
      <c r="R42" s="412" t="n"/>
      <c r="S42" s="412" t="n"/>
      <c r="T42" s="412" t="n"/>
    </row>
    <row r="43" ht="15" customHeight="1">
      <c r="A43" s="375" t="inlineStr">
        <is>
          <t>分类与指标</t>
        </is>
      </c>
      <c r="B43" s="371" t="inlineStr">
        <is>
          <t>经济行业</t>
        </is>
      </c>
      <c r="C43" s="371" t="inlineStr">
        <is>
          <t>基于受规制主体的分类。若受规制主体为企业，则按《所有经济活动的国际标准行业分类》（ISIC）划分行业</t>
        </is>
      </c>
      <c r="D43" s="372" t="inlineStr">
        <is>
          <t>分类</t>
        </is>
      </c>
      <c r="E43" s="372" t="inlineStr">
        <is>
          <t>ISIC两位数分类</t>
        </is>
      </c>
      <c r="F43" s="383" t="n"/>
      <c r="G43" s="412" t="n"/>
      <c r="H43" s="412" t="n"/>
      <c r="I43" s="412" t="n"/>
      <c r="J43" s="412" t="n"/>
      <c r="K43" s="412" t="n"/>
      <c r="L43" s="412" t="n"/>
      <c r="M43" s="412" t="n"/>
      <c r="N43" s="412" t="n"/>
      <c r="O43" s="412" t="n"/>
      <c r="P43" s="412" t="n"/>
      <c r="Q43" s="412" t="n"/>
      <c r="R43" s="412" t="n"/>
      <c r="S43" s="412" t="n"/>
      <c r="T43" s="412" t="n"/>
    </row>
    <row r="44" ht="15" customHeight="1">
      <c r="A44" s="293" t="n"/>
      <c r="B44" s="371" t="inlineStr">
        <is>
          <t>受影响的温室气体</t>
        </is>
      </c>
      <c r="C44" s="371" t="inlineStr">
        <is>
          <t>受规制的温室气体（若直接规制）；否则填写可能受该工具影响的温室气体。</t>
        </is>
      </c>
      <c r="D44" s="372" t="inlineStr">
        <is>
          <t>分类</t>
        </is>
      </c>
      <c r="E44" s="372" t="inlineStr">
        <is>
          <t>CO2; CH4; N2O; SF6; HFCs; PFCs; NF3</t>
        </is>
      </c>
      <c r="F44" s="383" t="n"/>
      <c r="G44" s="412" t="n"/>
      <c r="H44" s="412" t="n"/>
      <c r="I44" s="412" t="n"/>
      <c r="J44" s="412" t="n"/>
      <c r="K44" s="412" t="n"/>
      <c r="L44" s="412" t="n"/>
      <c r="M44" s="412" t="n"/>
      <c r="N44" s="412" t="n"/>
      <c r="O44" s="412" t="n"/>
      <c r="P44" s="412" t="n"/>
      <c r="Q44" s="412" t="n"/>
      <c r="R44" s="412" t="n"/>
      <c r="S44" s="412" t="n"/>
      <c r="T44" s="412" t="n"/>
    </row>
    <row r="45" ht="15" customHeight="1">
      <c r="A45" s="293" t="n"/>
      <c r="B45" s="371" t="inlineStr">
        <is>
          <t>减缓效果</t>
        </is>
      </c>
      <c r="C45" s="371" t="inlineStr">
        <is>
          <t>描述该工具对温室气体排放/碳汇的影响可能为正、为负还是未知</t>
        </is>
      </c>
      <c r="D45" s="372" t="inlineStr">
        <is>
          <t>分类</t>
        </is>
      </c>
      <c r="E45" s="372" t="inlineStr">
        <is>
          <t>正向；负向；中性；未知</t>
        </is>
      </c>
      <c r="F45" s="383" t="n"/>
      <c r="G45" s="412" t="n"/>
      <c r="H45" s="412" t="n"/>
      <c r="I45" s="412" t="n"/>
      <c r="J45" s="412" t="n"/>
      <c r="K45" s="412" t="n"/>
      <c r="L45" s="412" t="n"/>
      <c r="M45" s="412" t="n"/>
      <c r="N45" s="412" t="n"/>
      <c r="O45" s="412" t="n"/>
      <c r="P45" s="412" t="n"/>
      <c r="Q45" s="412" t="n"/>
      <c r="R45" s="412" t="n"/>
      <c r="S45" s="412" t="n"/>
      <c r="T45" s="412" t="n"/>
    </row>
    <row r="46" ht="15" customHeight="1">
      <c r="A46" s="282" t="n"/>
      <c r="B46" s="371" t="inlineStr">
        <is>
          <t>减缓协同效益</t>
        </is>
      </c>
      <c r="C46" s="371" t="inlineStr">
        <is>
          <t>实施气候变化减缓措施所产生、经IFCMA秘书处识别的减缓之外的其他积极成果或效益。</t>
        </is>
      </c>
      <c r="D46" s="372" t="inlineStr">
        <is>
          <t>分类</t>
        </is>
      </c>
      <c r="E46" s="372" t="inlineStr">
        <is>
          <t>节能；技术创新；能源安全；污染防治；生态保护；资源节约；循环经济；可再生能源发展；公众健康；适应气候变化；就业和减贫；产业发展；生物多样性保护；荒漠化防治；绿色消费；粮食安全</t>
        </is>
      </c>
      <c r="F46" s="383" t="n"/>
      <c r="G46" s="412" t="n"/>
      <c r="H46" s="412" t="n"/>
      <c r="I46" s="412" t="n"/>
      <c r="J46" s="412" t="n"/>
      <c r="K46" s="412" t="n"/>
      <c r="L46" s="412" t="n"/>
      <c r="M46" s="412" t="n"/>
      <c r="N46" s="412" t="n"/>
      <c r="O46" s="412" t="n"/>
      <c r="P46" s="412" t="n"/>
      <c r="Q46" s="412" t="n"/>
      <c r="R46" s="412" t="n"/>
      <c r="S46" s="412" t="n"/>
      <c r="T46" s="412" t="n"/>
    </row>
    <row r="47" ht="15" customHeight="1">
      <c r="A47" s="368" t="inlineStr">
        <is>
          <t>工具类型专属属性</t>
        </is>
      </c>
      <c r="B47" s="261" t="n"/>
      <c r="C47" s="261" t="n"/>
      <c r="D47" s="261" t="n"/>
      <c r="E47" s="262" t="n"/>
      <c r="F47" s="383" t="n"/>
      <c r="G47" s="412" t="n"/>
      <c r="H47" s="412" t="n"/>
      <c r="I47" s="412" t="n"/>
      <c r="J47" s="412" t="n"/>
      <c r="K47" s="412" t="n"/>
      <c r="L47" s="412" t="n"/>
      <c r="M47" s="412" t="n"/>
      <c r="N47" s="412" t="n"/>
      <c r="O47" s="412" t="n"/>
      <c r="P47" s="412" t="n"/>
      <c r="Q47" s="412" t="n"/>
      <c r="R47" s="412" t="n"/>
      <c r="S47" s="412" t="n"/>
      <c r="T47" s="412" t="n"/>
    </row>
    <row r="48" ht="15" customHeight="1">
      <c r="A48" s="375" t="inlineStr">
        <is>
          <t>税收</t>
        </is>
      </c>
      <c r="B48" s="380" t="inlineStr">
        <is>
          <t>税收及激励：年度收入</t>
        </is>
      </c>
      <c r="C48" s="380" t="inlineStr">
        <is>
          <t>所记录税收的税收收入</t>
        </is>
      </c>
      <c r="D48" s="380" t="inlineStr">
        <is>
          <t>数值</t>
        </is>
      </c>
      <c r="E48" s="380" t="inlineStr">
        <is>
          <t>单位：百万本币、美元或其他适用货币</t>
        </is>
      </c>
      <c r="F48" s="416" t="n"/>
      <c r="G48" s="417" t="n"/>
      <c r="H48" s="417" t="n"/>
      <c r="I48" s="417" t="n"/>
      <c r="J48" s="417" t="n"/>
      <c r="K48" s="417" t="n"/>
      <c r="L48" s="417" t="n"/>
      <c r="M48" s="417" t="n"/>
      <c r="N48" s="417" t="n"/>
      <c r="O48" s="417" t="n"/>
      <c r="P48" s="417" t="n"/>
      <c r="Q48" s="417" t="n"/>
      <c r="R48" s="417" t="n"/>
      <c r="S48" s="417" t="n"/>
      <c r="T48" s="417" t="n"/>
    </row>
    <row r="49" ht="15" customHeight="1">
      <c r="A49" s="293" t="n"/>
      <c r="B49" s="372" t="inlineStr">
        <is>
          <t>税收及激励：专项资金</t>
        </is>
      </c>
      <c r="C49" s="372" t="inlineStr">
        <is>
          <t>由该税收收入资助的政策（即使该政策未收录于本数据库，也在此记录）</t>
        </is>
      </c>
      <c r="D49" s="372" t="inlineStr">
        <is>
          <t>自由文本或二元</t>
        </is>
      </c>
      <c r="E49" s="372" t="inlineStr">
        <is>
          <t>受资助政策工具的工具ID；若受资助政策未收录于本数据库，则填“专项资金”</t>
        </is>
      </c>
      <c r="F49" s="383" t="n"/>
      <c r="G49" s="412" t="n"/>
      <c r="H49" s="412" t="n"/>
      <c r="I49" s="412" t="n"/>
      <c r="J49" s="412" t="n"/>
      <c r="K49" s="412" t="n"/>
      <c r="L49" s="412" t="n"/>
      <c r="M49" s="412" t="n"/>
      <c r="N49" s="412" t="n"/>
      <c r="O49" s="412" t="n"/>
      <c r="P49" s="412" t="n"/>
      <c r="Q49" s="412" t="n"/>
      <c r="R49" s="412" t="n"/>
      <c r="S49" s="412" t="n"/>
      <c r="T49" s="412" t="n"/>
    </row>
    <row r="50" ht="15" customHeight="1">
      <c r="A50" s="282" t="n"/>
      <c r="B50" s="372" t="inlineStr">
        <is>
          <t>税收及激励：年度收入减免</t>
        </is>
      </c>
      <c r="C50" s="372" t="inlineStr">
        <is>
          <t>若为税收优惠，填写因该税收优惠而造成的税收收入估计损失（按该工具的记录年份填写）</t>
        </is>
      </c>
      <c r="D50" s="372" t="inlineStr">
        <is>
          <t>数值</t>
        </is>
      </c>
      <c r="E50" s="372" t="inlineStr">
        <is>
          <t>单位：百万本币、美元或其他适用货币</t>
        </is>
      </c>
      <c r="F50" s="383" t="n"/>
      <c r="G50" s="412" t="n"/>
      <c r="H50" s="412" t="n"/>
      <c r="I50" s="412" t="n"/>
      <c r="J50" s="412" t="n"/>
      <c r="K50" s="412" t="n"/>
      <c r="L50" s="412" t="n"/>
      <c r="M50" s="412" t="n"/>
      <c r="N50" s="412" t="n"/>
      <c r="O50" s="412" t="n"/>
      <c r="P50" s="412" t="n"/>
      <c r="Q50" s="412" t="n"/>
      <c r="R50" s="412" t="n"/>
      <c r="S50" s="412" t="n"/>
      <c r="T50" s="412" t="n"/>
    </row>
    <row r="51" ht="15" customHeight="1">
      <c r="A51" s="375" t="inlineStr">
        <is>
          <t>补贴</t>
        </is>
      </c>
      <c r="B51" s="372" t="inlineStr">
        <is>
          <t>补贴：年度预算/支出</t>
        </is>
      </c>
      <c r="C51" s="372" t="inlineStr">
        <is>
          <t>数据收集年份之前一年安排的财政拨款或预算</t>
        </is>
      </c>
      <c r="D51" s="372" t="inlineStr">
        <is>
          <t>数值</t>
        </is>
      </c>
      <c r="E51" s="372" t="inlineStr">
        <is>
          <t>单位：百万本币、美元或其他适用货币</t>
        </is>
      </c>
      <c r="F51" s="383" t="n"/>
      <c r="G51" s="412" t="n"/>
      <c r="H51" s="412" t="n"/>
      <c r="I51" s="412" t="n"/>
      <c r="J51" s="412" t="n"/>
      <c r="K51" s="412" t="n"/>
      <c r="L51" s="412" t="n"/>
      <c r="M51" s="412" t="n"/>
      <c r="N51" s="412" t="n"/>
      <c r="O51" s="412" t="n"/>
      <c r="P51" s="412" t="n"/>
      <c r="Q51" s="412" t="n"/>
      <c r="R51" s="412" t="n"/>
      <c r="S51" s="412" t="n"/>
      <c r="T51" s="412" t="n"/>
    </row>
    <row r="52" ht="15" customHeight="1">
      <c r="A52" s="293" t="n"/>
      <c r="B52" s="372" t="inlineStr">
        <is>
          <t>补贴：限额</t>
        </is>
      </c>
      <c r="C52" s="372" t="inlineStr">
        <is>
          <t>该工具整个存续期内的财政拨款总额或预算总额、受补贴资产数量（容量上限）、补贴时间范围或补贴总额的其他限制</t>
        </is>
      </c>
      <c r="D52" s="372" t="inlineStr">
        <is>
          <t>数值</t>
        </is>
      </c>
      <c r="E52" s="372" t="inlineStr">
        <is>
          <t>单位：本币、美元或其他适用货币</t>
        </is>
      </c>
      <c r="F52" s="383" t="n"/>
      <c r="G52" s="412" t="n"/>
      <c r="H52" s="412" t="n"/>
      <c r="I52" s="412" t="n"/>
      <c r="J52" s="412" t="n"/>
      <c r="K52" s="412" t="n"/>
      <c r="L52" s="412" t="n"/>
      <c r="M52" s="412" t="n"/>
      <c r="N52" s="412" t="n"/>
      <c r="O52" s="412" t="n"/>
      <c r="P52" s="412" t="n"/>
      <c r="Q52" s="412" t="n"/>
      <c r="R52" s="412" t="n"/>
      <c r="S52" s="412" t="n"/>
      <c r="T52" s="412" t="n"/>
    </row>
    <row r="53" ht="15" customHeight="1">
      <c r="A53" s="293" t="n"/>
      <c r="B53" s="372" t="inlineStr">
        <is>
          <t>补贴：分配机制</t>
        </is>
      </c>
      <c r="C53" s="372" t="inlineStr">
        <is>
          <t>补贴发放的机制</t>
        </is>
      </c>
      <c r="D53" s="372" t="inlineStr">
        <is>
          <t>分类</t>
        </is>
      </c>
      <c r="E53" s="372" t="inlineStr">
        <is>
          <t>从清单中选择，例如：拍卖方式、默认分配、抽签等</t>
        </is>
      </c>
      <c r="F53" s="383" t="n"/>
      <c r="G53" s="412" t="n"/>
      <c r="H53" s="412" t="n"/>
      <c r="I53" s="412" t="n"/>
      <c r="J53" s="412" t="n"/>
      <c r="K53" s="412" t="n"/>
      <c r="L53" s="412" t="n"/>
      <c r="M53" s="412" t="n"/>
      <c r="N53" s="412" t="n"/>
      <c r="O53" s="412" t="n"/>
      <c r="P53" s="412" t="n"/>
      <c r="Q53" s="412" t="n"/>
      <c r="R53" s="412" t="n"/>
      <c r="S53" s="412" t="n"/>
      <c r="T53" s="412" t="n"/>
    </row>
    <row r="54" ht="15" customHeight="1">
      <c r="A54" s="293" t="n"/>
      <c r="B54" s="372" t="inlineStr">
        <is>
          <t>补贴：执行机制</t>
        </is>
      </c>
      <c r="C54" s="372" t="inlineStr">
        <is>
          <t>若设定了绩效要求，未达标时如何处罚</t>
        </is>
      </c>
      <c r="D54" s="372" t="inlineStr">
        <is>
          <t>分类，可补充详情</t>
        </is>
      </c>
      <c r="E54" s="372" t="inlineStr">
        <is>
          <t>行政处罚（如警告、撤销许可）；法律行动（如起诉）；罚款</t>
        </is>
      </c>
      <c r="F54" s="383" t="n"/>
      <c r="G54" s="412" t="n"/>
      <c r="H54" s="412" t="n"/>
      <c r="I54" s="412" t="n"/>
      <c r="J54" s="412" t="n"/>
      <c r="K54" s="412" t="n"/>
      <c r="L54" s="412" t="n"/>
      <c r="M54" s="412" t="n"/>
      <c r="N54" s="412" t="n"/>
      <c r="O54" s="412" t="n"/>
      <c r="P54" s="412" t="n"/>
      <c r="Q54" s="412" t="n"/>
      <c r="R54" s="412" t="n"/>
      <c r="S54" s="412" t="n"/>
      <c r="T54" s="412" t="n"/>
    </row>
    <row r="55" ht="15" customHeight="1">
      <c r="A55" s="293" t="n"/>
      <c r="B55" s="372" t="inlineStr">
        <is>
          <t>补贴：下限或上限</t>
        </is>
      </c>
      <c r="C55" s="372" t="inlineStr">
        <is>
          <t>每年（按该工具的记录年份）补贴设定的下限或上限，指明补贴金额必须落在的区间。</t>
        </is>
      </c>
      <c r="D55" s="372" t="inlineStr">
        <is>
          <t>数值</t>
        </is>
      </c>
      <c r="E55" s="372" t="inlineStr">
        <is>
          <t>以本币计</t>
        </is>
      </c>
      <c r="F55" s="383" t="n"/>
      <c r="G55" s="412" t="n"/>
      <c r="H55" s="412" t="n"/>
      <c r="I55" s="412" t="n"/>
      <c r="J55" s="412" t="n"/>
      <c r="K55" s="412" t="n"/>
      <c r="L55" s="412" t="n"/>
      <c r="M55" s="412" t="n"/>
      <c r="N55" s="412" t="n"/>
      <c r="O55" s="412" t="n"/>
      <c r="P55" s="412" t="n"/>
      <c r="Q55" s="412" t="n"/>
      <c r="R55" s="412" t="n"/>
      <c r="S55" s="412" t="n"/>
      <c r="T55" s="412" t="n"/>
    </row>
    <row r="56" ht="15" customHeight="1">
      <c r="A56" s="293" t="n"/>
      <c r="B56" s="372" t="inlineStr">
        <is>
          <t>补贴：支持期限</t>
        </is>
      </c>
      <c r="C56" s="372" t="inlineStr">
        <is>
          <t>提供支持的时长（合同期限、年度付款等）</t>
        </is>
      </c>
      <c r="D56" s="372" t="inlineStr">
        <is>
          <t>自由文本</t>
        </is>
      </c>
      <c r="E56" s="372" t="inlineStr">
        <is>
          <t>以年或月表示</t>
        </is>
      </c>
      <c r="F56" s="383" t="n"/>
      <c r="G56" s="412" t="n"/>
      <c r="H56" s="412" t="n"/>
      <c r="I56" s="412" t="n"/>
      <c r="J56" s="412" t="n"/>
      <c r="K56" s="412" t="n"/>
      <c r="L56" s="412" t="n"/>
      <c r="M56" s="412" t="n"/>
      <c r="N56" s="412" t="n"/>
      <c r="O56" s="412" t="n"/>
      <c r="P56" s="412" t="n"/>
      <c r="Q56" s="412" t="n"/>
      <c r="R56" s="412" t="n"/>
      <c r="S56" s="412" t="n"/>
      <c r="T56" s="412" t="n"/>
    </row>
    <row r="57" ht="15" customHeight="1">
      <c r="A57" s="282" t="n"/>
      <c r="B57" s="372" t="inlineStr">
        <is>
          <t>补贴：监测机制</t>
        </is>
      </c>
      <c r="C57" s="372" t="inlineStr">
        <is>
          <t>任何监测方案</t>
        </is>
      </c>
      <c r="D57" s="372" t="inlineStr">
        <is>
          <t>分类，可补充详情</t>
        </is>
      </c>
      <c r="E57" s="372" t="n"/>
      <c r="F57" s="383" t="n"/>
      <c r="G57" s="412" t="n"/>
      <c r="H57" s="412" t="n"/>
      <c r="I57" s="412" t="n"/>
      <c r="J57" s="412" t="n"/>
      <c r="K57" s="412" t="n"/>
      <c r="L57" s="412" t="n"/>
      <c r="M57" s="412" t="n"/>
      <c r="N57" s="412" t="n"/>
      <c r="O57" s="412" t="n"/>
      <c r="P57" s="412" t="n"/>
      <c r="Q57" s="412" t="n"/>
      <c r="R57" s="412" t="n"/>
      <c r="S57" s="412" t="n"/>
      <c r="T57" s="412" t="n"/>
    </row>
    <row r="58" ht="15" customHeight="1">
      <c r="A58" s="375" t="inlineStr">
        <is>
          <t>交易系统</t>
        </is>
      </c>
      <c r="B58" s="372" t="inlineStr">
        <is>
          <t>交易系统：类型</t>
        </is>
      </c>
      <c r="C58" s="372" t="inlineStr">
        <is>
          <t>现行交易系统，即交易配额还是信用</t>
        </is>
      </c>
      <c r="D58" s="372" t="inlineStr">
        <is>
          <t>分类</t>
        </is>
      </c>
      <c r="E58" s="372" t="inlineStr">
        <is>
          <t>从清单中选择，例如：配额、信用等</t>
        </is>
      </c>
      <c r="F58" s="383" t="n"/>
      <c r="G58" s="412" t="n"/>
      <c r="H58" s="412" t="n"/>
      <c r="I58" s="412" t="n"/>
      <c r="J58" s="412" t="n"/>
      <c r="K58" s="412" t="n"/>
      <c r="L58" s="412" t="n"/>
      <c r="M58" s="412" t="n"/>
      <c r="N58" s="412" t="n"/>
      <c r="O58" s="412" t="n"/>
      <c r="P58" s="412" t="n"/>
      <c r="Q58" s="412" t="n"/>
      <c r="R58" s="412" t="n"/>
      <c r="S58" s="412" t="n"/>
      <c r="T58" s="412" t="n"/>
    </row>
    <row r="59" ht="15" customHeight="1">
      <c r="A59" s="293" t="n"/>
      <c r="B59" s="372" t="inlineStr">
        <is>
          <t>交易系统：总量上限</t>
        </is>
      </c>
      <c r="C59" s="372" t="inlineStr">
        <is>
          <t>温室气体总量控制与交易或排放交易体系下，特定时期内允许的温室气体排放总量上限；若填写此格，则该工具属于配额类，否则属于信用类（与UNFCCC报告相关）</t>
        </is>
      </c>
      <c r="D59" s="372" t="inlineStr">
        <is>
          <t>自由文本</t>
        </is>
      </c>
      <c r="E59" s="372" t="inlineStr">
        <is>
          <t>排放交易体系填写CO2当量；若今后覆盖其他交易系统（如农业氮交易），可填写其他单位</t>
        </is>
      </c>
      <c r="F59" s="383" t="n"/>
      <c r="G59" s="412" t="n"/>
      <c r="H59" s="412" t="n"/>
      <c r="I59" s="412" t="n"/>
      <c r="J59" s="412" t="n"/>
      <c r="K59" s="412" t="n"/>
      <c r="L59" s="412" t="n"/>
      <c r="M59" s="412" t="n"/>
      <c r="N59" s="412" t="n"/>
      <c r="O59" s="412" t="n"/>
      <c r="P59" s="412" t="n"/>
      <c r="Q59" s="412" t="n"/>
      <c r="R59" s="412" t="n"/>
      <c r="S59" s="412" t="n"/>
      <c r="T59" s="412" t="n"/>
    </row>
    <row r="60" ht="15" customHeight="1">
      <c r="A60" s="293" t="n"/>
      <c r="B60" s="372" t="inlineStr">
        <is>
          <t>交易系统：配额分配机制</t>
        </is>
      </c>
      <c r="C60" s="372" t="inlineStr">
        <is>
          <t>交易系统内分配排放配额所采用的制度或方法，说明主体如何获得配额、配额规模以及可能的其他方面</t>
        </is>
      </c>
      <c r="D60" s="372" t="inlineStr">
        <is>
          <t>自由文本</t>
        </is>
      </c>
      <c r="E60" s="372" t="inlineStr">
        <is>
          <t>免费配额；拍卖；两者混合</t>
        </is>
      </c>
      <c r="F60" s="383" t="n"/>
      <c r="G60" s="412" t="n"/>
      <c r="H60" s="412" t="n"/>
      <c r="I60" s="412" t="n"/>
      <c r="J60" s="412" t="n"/>
      <c r="K60" s="412" t="n"/>
      <c r="L60" s="412" t="n"/>
      <c r="M60" s="412" t="n"/>
      <c r="N60" s="412" t="n"/>
      <c r="O60" s="412" t="n"/>
      <c r="P60" s="412" t="n"/>
      <c r="Q60" s="412" t="n"/>
      <c r="R60" s="412" t="n"/>
      <c r="S60" s="412" t="n"/>
      <c r="T60" s="412" t="n"/>
    </row>
    <row r="61" ht="15" customHeight="1">
      <c r="A61" s="293" t="n"/>
      <c r="B61" s="372" t="inlineStr">
        <is>
          <t>交易系统：免费配额</t>
        </is>
      </c>
      <c r="C61" s="372" t="inlineStr">
        <is>
          <t>免费配额占比</t>
        </is>
      </c>
      <c r="D61" s="372" t="inlineStr">
        <is>
          <t>数值</t>
        </is>
      </c>
      <c r="E61" s="372" t="inlineStr">
        <is>
          <t>以百分比表示</t>
        </is>
      </c>
      <c r="F61" s="383" t="n"/>
      <c r="G61" s="412" t="n"/>
      <c r="H61" s="412" t="n"/>
      <c r="I61" s="412" t="n"/>
      <c r="J61" s="412" t="n"/>
      <c r="K61" s="412" t="n"/>
      <c r="L61" s="412" t="n"/>
      <c r="M61" s="412" t="n"/>
      <c r="N61" s="412" t="n"/>
      <c r="O61" s="412" t="n"/>
      <c r="P61" s="412" t="n"/>
      <c r="Q61" s="412" t="n"/>
      <c r="R61" s="412" t="n"/>
      <c r="S61" s="412" t="n"/>
      <c r="T61" s="412" t="n"/>
    </row>
    <row r="62" ht="15" customHeight="1">
      <c r="A62" s="293" t="n"/>
      <c r="B62" s="372" t="inlineStr">
        <is>
          <t>交易系统：交易量</t>
        </is>
      </c>
      <c r="C62" s="372" t="inlineStr">
        <is>
          <t>收集年份前一年的交易量</t>
        </is>
      </c>
      <c r="D62" s="372" t="inlineStr">
        <is>
          <t>数值</t>
        </is>
      </c>
      <c r="E62" s="372" t="inlineStr">
        <is>
          <t>N/A</t>
        </is>
      </c>
      <c r="F62" s="383" t="n"/>
      <c r="G62" s="412" t="n"/>
      <c r="H62" s="412" t="n"/>
      <c r="I62" s="412" t="n"/>
      <c r="J62" s="412" t="n"/>
      <c r="K62" s="412" t="n"/>
      <c r="L62" s="412" t="n"/>
      <c r="M62" s="412" t="n"/>
      <c r="N62" s="412" t="n"/>
      <c r="O62" s="412" t="n"/>
      <c r="P62" s="412" t="n"/>
      <c r="Q62" s="412" t="n"/>
      <c r="R62" s="412" t="n"/>
      <c r="S62" s="412" t="n"/>
      <c r="T62" s="412" t="n"/>
    </row>
    <row r="63" ht="15" customHeight="1">
      <c r="A63" s="293" t="n"/>
      <c r="B63" s="372" t="inlineStr">
        <is>
          <t>交易系统：链接</t>
        </is>
      </c>
      <c r="C63" s="372" t="inlineStr">
        <is>
          <t>与其他排放交易体系的链接</t>
        </is>
      </c>
      <c r="D63" s="372" t="inlineStr">
        <is>
          <t>自由文本</t>
        </is>
      </c>
      <c r="E63" s="372" t="inlineStr">
        <is>
          <t>填写相关工具的工具ID（无链接填N/A）</t>
        </is>
      </c>
      <c r="F63" s="383" t="n"/>
      <c r="G63" s="412" t="n"/>
      <c r="H63" s="412" t="n"/>
      <c r="I63" s="412" t="n"/>
      <c r="J63" s="412" t="n"/>
      <c r="K63" s="412" t="n"/>
      <c r="L63" s="412" t="n"/>
      <c r="M63" s="412" t="n"/>
      <c r="N63" s="412" t="n"/>
      <c r="O63" s="412" t="n"/>
      <c r="P63" s="412" t="n"/>
      <c r="Q63" s="412" t="n"/>
      <c r="R63" s="412" t="n"/>
      <c r="S63" s="412" t="n"/>
      <c r="T63" s="412" t="n"/>
    </row>
    <row r="64" ht="15" customHeight="1">
      <c r="A64" s="293" t="n"/>
      <c r="B64" s="372" t="inlineStr">
        <is>
          <t>交易系统：市场稳定机制</t>
        </is>
      </c>
      <c r="C64" s="372" t="inlineStr">
        <is>
          <t>交易系统内是否存在任何旨在稳定市场、防止价格剧烈波动或应对供需失衡的机制或安排。例如：二级市场/抵消与信用</t>
        </is>
      </c>
      <c r="D64" s="372" t="inlineStr">
        <is>
          <t>二元，可补充详情</t>
        </is>
      </c>
      <c r="E64" s="372" t="inlineStr">
        <is>
          <t>是/否</t>
        </is>
      </c>
      <c r="F64" s="383" t="n"/>
      <c r="G64" s="412" t="n"/>
      <c r="H64" s="412" t="n"/>
      <c r="I64" s="412" t="n"/>
      <c r="J64" s="412" t="n"/>
      <c r="K64" s="412" t="n"/>
      <c r="L64" s="412" t="n"/>
      <c r="M64" s="412" t="n"/>
      <c r="N64" s="412" t="n"/>
      <c r="O64" s="412" t="n"/>
      <c r="P64" s="412" t="n"/>
      <c r="Q64" s="412" t="n"/>
      <c r="R64" s="412" t="n"/>
      <c r="S64" s="412" t="n"/>
      <c r="T64" s="412" t="n"/>
    </row>
    <row r="65" ht="15" customHeight="1">
      <c r="A65" s="293" t="n"/>
      <c r="B65" s="372" t="inlineStr">
        <is>
          <t>交易系统：年收入</t>
        </is>
      </c>
      <c r="C65" s="372" t="inlineStr">
        <is>
          <t>交易系统每年产生的收入，包括与排放交易相关的各类费用、罚款或其他资金流（指系统收入，而非政府收入）</t>
        </is>
      </c>
      <c r="D65" s="372" t="inlineStr">
        <is>
          <t>自由文本</t>
        </is>
      </c>
      <c r="E65" s="372" t="inlineStr">
        <is>
          <t>以本币计（收集年份前一年）</t>
        </is>
      </c>
      <c r="F65" s="383" t="n"/>
      <c r="G65" s="412" t="n"/>
      <c r="H65" s="412" t="n"/>
      <c r="I65" s="412" t="n"/>
      <c r="J65" s="412" t="n"/>
      <c r="K65" s="412" t="n"/>
      <c r="L65" s="412" t="n"/>
      <c r="M65" s="412" t="n"/>
      <c r="N65" s="412" t="n"/>
      <c r="O65" s="412" t="n"/>
      <c r="P65" s="412" t="n"/>
      <c r="Q65" s="412" t="n"/>
      <c r="R65" s="412" t="n"/>
      <c r="S65" s="412" t="n"/>
      <c r="T65" s="412" t="n"/>
    </row>
    <row r="66" ht="15" customHeight="1">
      <c r="A66" s="293" t="n"/>
      <c r="B66" s="372" t="inlineStr">
        <is>
          <t>交易系统：允许使用抵消</t>
        </is>
      </c>
      <c r="C66" s="372" t="inlineStr">
        <is>
          <t>允许使用何种抵消的规则或对相关规则的引用；若不允许使用抵消，则填“否”</t>
        </is>
      </c>
      <c r="D66" s="372" t="inlineStr">
        <is>
          <t>自由文本</t>
        </is>
      </c>
      <c r="E66" s="372" t="inlineStr">
        <is>
          <t>无则填“否”；否则描述适用规则</t>
        </is>
      </c>
      <c r="F66" s="383" t="n"/>
      <c r="G66" s="412" t="n"/>
      <c r="H66" s="412" t="n"/>
      <c r="I66" s="412" t="n"/>
      <c r="J66" s="412" t="n"/>
      <c r="K66" s="412" t="n"/>
      <c r="L66" s="412" t="n"/>
      <c r="M66" s="412" t="n"/>
      <c r="N66" s="412" t="n"/>
      <c r="O66" s="412" t="n"/>
      <c r="P66" s="412" t="n"/>
      <c r="Q66" s="412" t="n"/>
      <c r="R66" s="412" t="n"/>
      <c r="S66" s="412" t="n"/>
      <c r="T66" s="412" t="n"/>
    </row>
    <row r="67" ht="15" customHeight="1">
      <c r="A67" s="282" t="n"/>
      <c r="B67" s="372" t="inlineStr">
        <is>
          <t>交易系统：违规处罚</t>
        </is>
      </c>
      <c r="C67" s="372" t="inlineStr">
        <is>
          <t>对未遵守排放交易体系规定和要求的主体施加的后果或罚款</t>
        </is>
      </c>
      <c r="D67" s="372" t="inlineStr">
        <is>
          <t>分类，可补充详情</t>
        </is>
      </c>
      <c r="E67" s="372" t="inlineStr">
        <is>
          <t>行政处罚（如警告、撤销许可）；法律行动（如起诉）；罚款</t>
        </is>
      </c>
      <c r="F67" s="383" t="n"/>
      <c r="G67" s="412" t="n"/>
      <c r="H67" s="412" t="n"/>
      <c r="I67" s="412" t="n"/>
      <c r="J67" s="412" t="n"/>
      <c r="K67" s="412" t="n"/>
      <c r="L67" s="412" t="n"/>
      <c r="M67" s="412" t="n"/>
      <c r="N67" s="412" t="n"/>
      <c r="O67" s="412" t="n"/>
      <c r="P67" s="412" t="n"/>
      <c r="Q67" s="412" t="n"/>
      <c r="R67" s="412" t="n"/>
      <c r="S67" s="412" t="n"/>
      <c r="T67" s="412" t="n"/>
    </row>
    <row r="68" ht="15" customHeight="1">
      <c r="A68" s="375" t="inlineStr">
        <is>
          <t>规制工具</t>
        </is>
      </c>
      <c r="B68" s="371" t="inlineStr">
        <is>
          <t>合规监测</t>
        </is>
      </c>
      <c r="C68" s="371" t="inlineStr">
        <is>
          <t>记录是否设有监测和确保气候变化减缓政策合规性的方法、流程或制度</t>
        </is>
      </c>
      <c r="D68" s="371" t="inlineStr">
        <is>
          <t>分类（单选），可补充详情</t>
        </is>
      </c>
      <c r="E68" s="371" t="inlineStr">
        <is>
          <t>无合规监测；自我监测与报告；政府主管部门或第三方开展的检查或审计；其他</t>
        </is>
      </c>
      <c r="F68" s="383" t="n"/>
      <c r="G68" s="412" t="n"/>
      <c r="H68" s="412" t="n"/>
      <c r="I68" s="412" t="n"/>
      <c r="J68" s="412" t="n"/>
      <c r="K68" s="412" t="n"/>
      <c r="L68" s="412" t="n"/>
      <c r="M68" s="412" t="n"/>
      <c r="N68" s="412" t="n"/>
      <c r="O68" s="412" t="n"/>
      <c r="P68" s="412" t="n"/>
      <c r="Q68" s="412" t="n"/>
      <c r="R68" s="412" t="n"/>
      <c r="S68" s="412" t="n"/>
      <c r="T68" s="412" t="n"/>
    </row>
    <row r="69" ht="15" customHeight="1">
      <c r="A69" s="293" t="n"/>
      <c r="B69" s="371" t="inlineStr">
        <is>
          <t>合规监测详情</t>
        </is>
      </c>
      <c r="C69" s="371" t="inlineStr">
        <is>
          <t>记录合规监测方式的具体情况（即自我监测与报告；政府主管部门或第三方开展的检查或审计；其他）</t>
        </is>
      </c>
      <c r="D69" s="371" t="inlineStr">
        <is>
          <t>自由文本</t>
        </is>
      </c>
      <c r="E69" s="371" t="inlineStr">
        <is>
          <t>N/A</t>
        </is>
      </c>
      <c r="F69" s="383" t="n"/>
      <c r="G69" s="412" t="n"/>
      <c r="H69" s="412" t="n"/>
      <c r="I69" s="412" t="n"/>
      <c r="J69" s="412" t="n"/>
      <c r="K69" s="412" t="n"/>
      <c r="L69" s="412" t="n"/>
      <c r="M69" s="412" t="n"/>
      <c r="N69" s="412" t="n"/>
      <c r="O69" s="412" t="n"/>
      <c r="P69" s="412" t="n"/>
      <c r="Q69" s="412" t="n"/>
      <c r="R69" s="412" t="n"/>
      <c r="S69" s="412" t="n"/>
      <c r="T69" s="412" t="n"/>
    </row>
    <row r="70" ht="15" customHeight="1">
      <c r="A70" s="293" t="n"/>
      <c r="B70" s="371" t="inlineStr">
        <is>
          <t>合规执行</t>
        </is>
      </c>
      <c r="C70" s="371" t="inlineStr">
        <is>
          <t>对未遵守气候变化减缓政策规制要求的主体施加的后果</t>
        </is>
      </c>
      <c r="D70" s="371" t="inlineStr">
        <is>
          <t>分类（多选），可补充详情</t>
        </is>
      </c>
      <c r="E70" s="371" t="inlineStr">
        <is>
          <t>无合规执行；罚款；禁止；合规命令；其他</t>
        </is>
      </c>
      <c r="F70" s="383" t="n"/>
      <c r="G70" s="412" t="n"/>
      <c r="H70" s="412" t="n"/>
      <c r="I70" s="412" t="n"/>
      <c r="J70" s="412" t="n"/>
      <c r="K70" s="412" t="n"/>
      <c r="L70" s="412" t="n"/>
      <c r="M70" s="412" t="n"/>
      <c r="N70" s="412" t="n"/>
      <c r="O70" s="412" t="n"/>
      <c r="P70" s="412" t="n"/>
      <c r="Q70" s="412" t="n"/>
      <c r="R70" s="412" t="n"/>
      <c r="S70" s="412" t="n"/>
      <c r="T70" s="412" t="n"/>
    </row>
    <row r="71" ht="15" customHeight="1">
      <c r="A71" s="293" t="n"/>
      <c r="B71" s="371" t="inlineStr">
        <is>
          <t>合规执行详情</t>
        </is>
      </c>
      <c r="C71" s="371" t="inlineStr">
        <is>
          <t>记录执行方式和流程的具体情况（即罚款；禁止；合规命令；其他）</t>
        </is>
      </c>
      <c r="D71" s="371" t="inlineStr">
        <is>
          <t>自由文本</t>
        </is>
      </c>
      <c r="E71" s="371" t="inlineStr">
        <is>
          <t>N/A</t>
        </is>
      </c>
      <c r="F71" s="383" t="n"/>
      <c r="G71" s="412" t="n"/>
      <c r="H71" s="412" t="n"/>
      <c r="I71" s="412" t="n"/>
      <c r="J71" s="412" t="n"/>
      <c r="K71" s="412" t="n"/>
      <c r="L71" s="412" t="n"/>
      <c r="M71" s="412" t="n"/>
      <c r="N71" s="412" t="n"/>
      <c r="O71" s="412" t="n"/>
      <c r="P71" s="412" t="n"/>
      <c r="Q71" s="412" t="n"/>
      <c r="R71" s="412" t="n"/>
      <c r="S71" s="412" t="n"/>
      <c r="T71" s="412" t="n"/>
    </row>
    <row r="72" ht="15" customHeight="1">
      <c r="A72" s="293" t="n"/>
      <c r="B72" s="371" t="inlineStr">
        <is>
          <t>合规促进</t>
        </is>
      </c>
      <c r="C72" s="371" t="inlineStr">
        <is>
          <t>旨在鼓励和促进遵守气候变化减缓政策规制措施的举措或活动</t>
        </is>
      </c>
      <c r="D72" s="371" t="inlineStr">
        <is>
          <t>分类（多选），可补充详情</t>
        </is>
      </c>
      <c r="E72" s="371" t="inlineStr">
        <is>
          <t>无合规促进；规制激励（如加权、储存、汇集、交易）；信息与直接协助；资金支持；其他激励或支持</t>
        </is>
      </c>
      <c r="F72" s="383" t="n"/>
      <c r="G72" s="412" t="n"/>
      <c r="H72" s="412" t="n"/>
      <c r="I72" s="412" t="n"/>
      <c r="J72" s="412" t="n"/>
      <c r="K72" s="412" t="n"/>
      <c r="L72" s="412" t="n"/>
      <c r="M72" s="412" t="n"/>
      <c r="N72" s="412" t="n"/>
      <c r="O72" s="412" t="n"/>
      <c r="P72" s="412" t="n"/>
      <c r="Q72" s="412" t="n"/>
      <c r="R72" s="412" t="n"/>
      <c r="S72" s="412" t="n"/>
      <c r="T72" s="412" t="n"/>
    </row>
    <row r="73" ht="15" customHeight="1">
      <c r="A73" s="282" t="n"/>
      <c r="B73" s="371" t="inlineStr">
        <is>
          <t>合规促进详情</t>
        </is>
      </c>
      <c r="C73" s="371" t="inlineStr">
        <is>
          <t>记录合规促进方式和流程的具体情况（例如规制激励如加权、储存、汇集、交易等的详情；信息/直接协助；资金支持；其他合规促进流程）</t>
        </is>
      </c>
      <c r="D73" s="371" t="inlineStr">
        <is>
          <t>自由文本</t>
        </is>
      </c>
      <c r="E73" s="371" t="inlineStr">
        <is>
          <t>N/A</t>
        </is>
      </c>
      <c r="F73" s="383" t="n"/>
      <c r="G73" s="412" t="n"/>
      <c r="H73" s="412" t="n"/>
      <c r="I73" s="412" t="n"/>
      <c r="J73" s="412" t="n"/>
      <c r="K73" s="412" t="n"/>
      <c r="L73" s="412" t="n"/>
      <c r="M73" s="412" t="n"/>
      <c r="N73" s="412" t="n"/>
      <c r="O73" s="412" t="n"/>
      <c r="P73" s="412" t="n"/>
      <c r="Q73" s="412" t="n"/>
      <c r="R73" s="412" t="n"/>
      <c r="S73" s="412" t="n"/>
      <c r="T73" s="412" t="n"/>
    </row>
    <row r="74" ht="15" customHeight="1">
      <c r="A74" s="375" t="inlineStr">
        <is>
          <t>政府投资与消费</t>
        </is>
      </c>
      <c r="B74" s="371" t="inlineStr">
        <is>
          <t>公共投资：共同融资</t>
        </is>
      </c>
      <c r="C74" s="371" t="inlineStr">
        <is>
          <t>指明政府是全额资助该项目/技术，还是与其他方共同出资</t>
        </is>
      </c>
      <c r="D74" s="371" t="inlineStr">
        <is>
          <t>分类（单选）</t>
        </is>
      </c>
      <c r="E74" s="371" t="inlineStr">
        <is>
          <t>是；否</t>
        </is>
      </c>
      <c r="F74" s="383" t="n"/>
      <c r="G74" s="412" t="n"/>
      <c r="H74" s="412" t="n"/>
      <c r="I74" s="412" t="n"/>
      <c r="J74" s="412" t="n"/>
      <c r="K74" s="412" t="n"/>
      <c r="L74" s="412" t="n"/>
      <c r="M74" s="412" t="n"/>
      <c r="N74" s="412" t="n"/>
      <c r="O74" s="412" t="n"/>
      <c r="P74" s="412" t="n"/>
      <c r="Q74" s="412" t="n"/>
      <c r="R74" s="412" t="n"/>
      <c r="S74" s="412" t="n"/>
      <c r="T74" s="412" t="n"/>
    </row>
    <row r="75" ht="15" customHeight="1">
      <c r="A75" s="293" t="n"/>
      <c r="B75" s="371" t="inlineStr">
        <is>
          <t>公共投资：选择流程</t>
        </is>
      </c>
      <c r="C75" s="371" t="inlineStr">
        <is>
          <t>项目或投资如何被选定为投资对象的相关详情。若存在规范的遴选流程，填写遴选标准</t>
        </is>
      </c>
      <c r="D75" s="371" t="inlineStr">
        <is>
          <t>分类（单选），可补充详情</t>
        </is>
      </c>
      <c r="E75" s="371" t="inlineStr">
        <is>
          <t>是；否</t>
        </is>
      </c>
      <c r="F75" s="383" t="n"/>
      <c r="G75" s="412" t="n"/>
      <c r="H75" s="412" t="n"/>
      <c r="I75" s="412" t="n"/>
      <c r="J75" s="412" t="n"/>
      <c r="K75" s="412" t="n"/>
      <c r="L75" s="412" t="n"/>
      <c r="M75" s="412" t="n"/>
      <c r="N75" s="412" t="n"/>
      <c r="O75" s="412" t="n"/>
      <c r="P75" s="412" t="n"/>
      <c r="Q75" s="412" t="n"/>
      <c r="R75" s="412" t="n"/>
      <c r="S75" s="412" t="n"/>
      <c r="T75" s="412" t="n"/>
    </row>
    <row r="76" ht="15" customHeight="1">
      <c r="A76" s="293" t="n"/>
      <c r="B76" s="371" t="inlineStr">
        <is>
          <t>公共采购：招标流程</t>
        </is>
      </c>
      <c r="C76" s="371" t="inlineStr">
        <is>
          <t>指明招标/采购流程的类型</t>
        </is>
      </c>
      <c r="D76" s="371" t="inlineStr">
        <is>
          <t>分类（单选），可补充详情</t>
        </is>
      </c>
      <c r="E76" s="371" t="inlineStr">
        <is>
          <t>公开招标；直接采购；议价采购；加速公开招标</t>
        </is>
      </c>
      <c r="F76" s="383" t="n"/>
      <c r="G76" s="412" t="n"/>
      <c r="H76" s="412" t="n"/>
      <c r="I76" s="412" t="n"/>
      <c r="J76" s="412" t="n"/>
      <c r="K76" s="412" t="n"/>
      <c r="L76" s="412" t="n"/>
      <c r="M76" s="412" t="n"/>
      <c r="N76" s="412" t="n"/>
      <c r="O76" s="412" t="n"/>
      <c r="P76" s="412" t="n"/>
      <c r="Q76" s="412" t="n"/>
      <c r="R76" s="412" t="n"/>
      <c r="S76" s="412" t="n"/>
      <c r="T76" s="412" t="n"/>
    </row>
    <row r="77" ht="15" customHeight="1">
      <c r="A77" s="293" t="n"/>
      <c r="B77" s="371" t="inlineStr">
        <is>
          <t>公共采购：招标评标标准</t>
        </is>
      </c>
      <c r="C77" s="371" t="inlineStr">
        <is>
          <t>指明招标过程中是否对满足特定要求的投标人给予加分或优待</t>
        </is>
      </c>
      <c r="D77" s="371" t="inlineStr">
        <is>
          <t>自由文本</t>
        </is>
      </c>
      <c r="E77" s="371" t="inlineStr">
        <is>
          <t>N/A</t>
        </is>
      </c>
      <c r="F77" s="383" t="n"/>
      <c r="G77" s="412" t="n"/>
      <c r="H77" s="412" t="n"/>
      <c r="I77" s="412" t="n"/>
      <c r="J77" s="412" t="n"/>
      <c r="K77" s="412" t="n"/>
      <c r="L77" s="412" t="n"/>
      <c r="M77" s="412" t="n"/>
      <c r="N77" s="412" t="n"/>
      <c r="O77" s="412" t="n"/>
      <c r="P77" s="412" t="n"/>
      <c r="Q77" s="412" t="n"/>
      <c r="R77" s="412" t="n"/>
      <c r="S77" s="412" t="n"/>
      <c r="T77" s="412" t="n"/>
    </row>
    <row r="78" ht="15" customHeight="1">
      <c r="A78" s="293" t="n"/>
      <c r="B78" s="371" t="inlineStr">
        <is>
          <t>公共采购：合规监测</t>
        </is>
      </c>
      <c r="C78" s="371" t="inlineStr">
        <is>
          <t>监测和确保气候变化减缓政策合规性的现行方法、流程或制度</t>
        </is>
      </c>
      <c r="D78" s="371" t="inlineStr">
        <is>
          <t>分类（单选），可补充详情</t>
        </is>
      </c>
      <c r="E78" s="371" t="inlineStr">
        <is>
          <t>无合规监测；自我监测与报告；政府主管部门或第三方开展的检查或审计；其他</t>
        </is>
      </c>
      <c r="F78" s="383" t="n"/>
      <c r="G78" s="412" t="n"/>
      <c r="H78" s="412" t="n"/>
      <c r="I78" s="412" t="n"/>
      <c r="J78" s="412" t="n"/>
      <c r="K78" s="412" t="n"/>
      <c r="L78" s="412" t="n"/>
      <c r="M78" s="412" t="n"/>
      <c r="N78" s="412" t="n"/>
      <c r="O78" s="412" t="n"/>
      <c r="P78" s="412" t="n"/>
      <c r="Q78" s="412" t="n"/>
      <c r="R78" s="412" t="n"/>
      <c r="S78" s="412" t="n"/>
      <c r="T78" s="412" t="n"/>
    </row>
    <row r="79" ht="15" customHeight="1">
      <c r="A79" s="293" t="n"/>
      <c r="B79" s="371" t="inlineStr">
        <is>
          <t>公共采购：合规执行</t>
        </is>
      </c>
      <c r="C79" s="371" t="inlineStr">
        <is>
          <t>对未遵守气候变化减缓政策规制要求的主体施加的后果</t>
        </is>
      </c>
      <c r="D79" s="371" t="inlineStr">
        <is>
          <t>分类（多选），可补充详情</t>
        </is>
      </c>
      <c r="E79" s="371" t="inlineStr">
        <is>
          <t>无合规执行；罚款；禁止；合规命令；其他</t>
        </is>
      </c>
      <c r="F79" s="383" t="n"/>
      <c r="G79" s="412" t="n"/>
      <c r="H79" s="412" t="n"/>
      <c r="I79" s="412" t="n"/>
      <c r="J79" s="412" t="n"/>
      <c r="K79" s="412" t="n"/>
      <c r="L79" s="412" t="n"/>
      <c r="M79" s="412" t="n"/>
      <c r="N79" s="412" t="n"/>
      <c r="O79" s="412" t="n"/>
      <c r="P79" s="412" t="n"/>
      <c r="Q79" s="412" t="n"/>
      <c r="R79" s="412" t="n"/>
      <c r="S79" s="412" t="n"/>
      <c r="T79" s="412" t="n"/>
    </row>
    <row r="80" ht="15" customHeight="1">
      <c r="A80" s="293" t="n"/>
      <c r="B80" s="371" t="inlineStr">
        <is>
          <t>公共采购：全生命周期成本</t>
        </is>
      </c>
      <c r="C80" s="371"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0" s="371" t="inlineStr">
        <is>
          <t>分类（单选）</t>
        </is>
      </c>
      <c r="E80" s="371" t="inlineStr">
        <is>
          <t>是；否</t>
        </is>
      </c>
      <c r="F80" s="383" t="n"/>
      <c r="G80" s="412" t="n"/>
      <c r="H80" s="412" t="n"/>
      <c r="I80" s="412" t="n"/>
      <c r="J80" s="412" t="n"/>
      <c r="K80" s="412" t="n"/>
      <c r="L80" s="412" t="n"/>
      <c r="M80" s="412" t="n"/>
      <c r="N80" s="412" t="n"/>
      <c r="O80" s="412" t="n"/>
      <c r="P80" s="412" t="n"/>
      <c r="Q80" s="412" t="n"/>
      <c r="R80" s="412" t="n"/>
      <c r="S80" s="412" t="n"/>
      <c r="T80" s="412" t="n"/>
    </row>
    <row r="81" ht="15" customHeight="1">
      <c r="A81" s="282" t="n"/>
      <c r="B81" s="372" t="inlineStr">
        <is>
          <t>公共投资/采购：年度支出</t>
        </is>
      </c>
      <c r="C81" s="372" t="inlineStr">
        <is>
          <t>数据收集年份之前一年安排的财政拨款或预算</t>
        </is>
      </c>
      <c r="D81" s="372" t="inlineStr">
        <is>
          <t>数值</t>
        </is>
      </c>
      <c r="E81" s="372" t="inlineStr">
        <is>
          <t>单位：百万本币、美元或其他适用货币</t>
        </is>
      </c>
      <c r="F81" s="383" t="n"/>
      <c r="G81" s="412" t="n"/>
      <c r="H81" s="412" t="n"/>
      <c r="I81" s="412" t="n"/>
      <c r="J81" s="412" t="n"/>
      <c r="K81" s="412" t="n"/>
      <c r="L81" s="412" t="n"/>
      <c r="M81" s="412" t="n"/>
      <c r="N81" s="412" t="n"/>
      <c r="O81" s="412" t="n"/>
      <c r="P81" s="412" t="n"/>
      <c r="Q81" s="412" t="n"/>
      <c r="R81" s="412" t="n"/>
      <c r="S81" s="412" t="n"/>
      <c r="T81" s="412" t="n"/>
    </row>
    <row r="82" ht="15" customHeight="1">
      <c r="A82" s="375" t="inlineStr">
        <is>
          <t>信息工具</t>
        </is>
      </c>
      <c r="B82" s="371" t="inlineStr">
        <is>
          <t>工具联动</t>
        </is>
      </c>
      <c r="C82" s="371" t="inlineStr">
        <is>
          <t>记录该信息工具是否与其他工具直接联动</t>
        </is>
      </c>
      <c r="D82" s="371" t="inlineStr">
        <is>
          <t>自由文本</t>
        </is>
      </c>
      <c r="E82" s="371" t="inlineStr">
        <is>
          <t>N/A</t>
        </is>
      </c>
      <c r="F82" s="383" t="n"/>
      <c r="G82" s="412" t="n"/>
      <c r="H82" s="412" t="n"/>
      <c r="I82" s="412" t="n"/>
      <c r="J82" s="412" t="n"/>
      <c r="K82" s="412" t="n"/>
      <c r="L82" s="412" t="n"/>
      <c r="M82" s="412" t="n"/>
      <c r="N82" s="412" t="n"/>
      <c r="O82" s="412" t="n"/>
      <c r="P82" s="412" t="n"/>
      <c r="Q82" s="412" t="n"/>
      <c r="R82" s="412" t="n"/>
      <c r="S82" s="412" t="n"/>
      <c r="T82" s="412" t="n"/>
    </row>
    <row r="83" ht="15" customHeight="1">
      <c r="A83" s="293" t="n"/>
      <c r="B83" s="371" t="inlineStr">
        <is>
          <t>信息采集责任方</t>
        </is>
      </c>
      <c r="C83" s="371" t="inlineStr">
        <is>
          <t>负责采集所需信息的主体详情</t>
        </is>
      </c>
      <c r="D83" s="371" t="inlineStr">
        <is>
          <t>分类（单选）</t>
        </is>
      </c>
      <c r="E83" s="371" t="inlineStr">
        <is>
          <t>政府主管部门（检查或审计）；第三方（检查或审计）；受规制主体（自行报告）</t>
        </is>
      </c>
      <c r="F83" s="383" t="n"/>
      <c r="G83" s="412" t="n"/>
      <c r="H83" s="412" t="n"/>
      <c r="I83" s="412" t="n"/>
      <c r="J83" s="412" t="n"/>
      <c r="K83" s="412" t="n"/>
      <c r="L83" s="412" t="n"/>
      <c r="M83" s="412" t="n"/>
      <c r="N83" s="412" t="n"/>
      <c r="O83" s="412" t="n"/>
      <c r="P83" s="412" t="n"/>
      <c r="Q83" s="412" t="n"/>
      <c r="R83" s="412" t="n"/>
      <c r="S83" s="412" t="n"/>
      <c r="T83" s="412" t="n"/>
    </row>
    <row r="84" ht="15" customHeight="1">
      <c r="A84" s="293" t="n"/>
      <c r="B84" s="371" t="inlineStr">
        <is>
          <t>信息传输方式</t>
        </is>
      </c>
      <c r="C84" s="371" t="inlineStr">
        <is>
          <t>指明信息以何种方式传递给政府</t>
        </is>
      </c>
      <c r="D84" s="371" t="inlineStr">
        <is>
          <t>自由文本</t>
        </is>
      </c>
      <c r="E84" s="371" t="inlineStr">
        <is>
          <t>N/A</t>
        </is>
      </c>
      <c r="F84" s="383" t="n"/>
      <c r="G84" s="412" t="n"/>
      <c r="H84" s="412" t="n"/>
      <c r="I84" s="412" t="n"/>
      <c r="J84" s="412" t="n"/>
      <c r="K84" s="412" t="n"/>
      <c r="L84" s="412" t="n"/>
      <c r="M84" s="412" t="n"/>
      <c r="N84" s="412" t="n"/>
      <c r="O84" s="412" t="n"/>
      <c r="P84" s="412" t="n"/>
      <c r="Q84" s="412" t="n"/>
      <c r="R84" s="412" t="n"/>
      <c r="S84" s="412" t="n"/>
      <c r="T84" s="412" t="n"/>
    </row>
    <row r="85" ht="15" customHeight="1">
      <c r="A85" s="293" t="n"/>
      <c r="B85" s="371" t="inlineStr">
        <is>
          <t>信息提供频率</t>
        </is>
      </c>
      <c r="C85" s="371" t="inlineStr">
        <is>
          <t>指明信息须以何种频率提供</t>
        </is>
      </c>
      <c r="D85" s="371" t="inlineStr">
        <is>
          <t>分类（单选），可补充详情</t>
        </is>
      </c>
      <c r="E85" s="371" t="inlineStr">
        <is>
          <t>实时；每季度；每年；其他，详情：__</t>
        </is>
      </c>
      <c r="F85" s="383" t="n"/>
      <c r="G85" s="412" t="n"/>
      <c r="H85" s="412" t="n"/>
      <c r="I85" s="412" t="n"/>
      <c r="J85" s="412" t="n"/>
      <c r="K85" s="412" t="n"/>
      <c r="L85" s="412" t="n"/>
      <c r="M85" s="412" t="n"/>
      <c r="N85" s="412" t="n"/>
      <c r="O85" s="412" t="n"/>
      <c r="P85" s="412" t="n"/>
      <c r="Q85" s="412" t="n"/>
      <c r="R85" s="412" t="n"/>
      <c r="S85" s="412" t="n"/>
      <c r="T85" s="412" t="n"/>
    </row>
    <row r="86" ht="15" customHeight="1">
      <c r="A86" s="293" t="n"/>
      <c r="B86" s="371" t="inlineStr">
        <is>
          <t>信息公开可用性</t>
        </is>
      </c>
      <c r="C86" s="371" t="inlineStr">
        <is>
          <t>信息是否公开可得，以及若公开，可通过何种渠道获取</t>
        </is>
      </c>
      <c r="D86" s="371" t="inlineStr">
        <is>
          <t>自由文本</t>
        </is>
      </c>
      <c r="E86" s="371" t="inlineStr">
        <is>
          <t>N/A</t>
        </is>
      </c>
      <c r="F86" s="383" t="n"/>
      <c r="G86" s="412" t="n"/>
      <c r="H86" s="412" t="n"/>
      <c r="I86" s="412" t="n"/>
      <c r="J86" s="412" t="n"/>
      <c r="K86" s="412" t="n"/>
      <c r="L86" s="412" t="n"/>
      <c r="M86" s="412" t="n"/>
      <c r="N86" s="412" t="n"/>
      <c r="O86" s="412" t="n"/>
      <c r="P86" s="412" t="n"/>
      <c r="Q86" s="412" t="n"/>
      <c r="R86" s="412" t="n"/>
      <c r="S86" s="412" t="n"/>
      <c r="T86" s="412" t="n"/>
    </row>
    <row r="87" ht="15" customHeight="1">
      <c r="A87" s="293" t="n"/>
      <c r="B87" s="371" t="inlineStr">
        <is>
          <t>标签类型</t>
        </is>
      </c>
      <c r="C87" s="371" t="inlineStr">
        <is>
          <t>指明标签的授予和设计方式</t>
        </is>
      </c>
      <c r="D87" s="371" t="inlineStr">
        <is>
          <t>分类</t>
        </is>
      </c>
      <c r="E87" s="371" t="inlineStr">
        <is>
          <t>二元（基于单一阈值）；分类；连续</t>
        </is>
      </c>
      <c r="F87" s="383" t="n"/>
      <c r="G87" s="412" t="n"/>
      <c r="H87" s="412" t="n"/>
      <c r="I87" s="412" t="n"/>
      <c r="J87" s="412" t="n"/>
      <c r="K87" s="412" t="n"/>
      <c r="L87" s="412" t="n"/>
      <c r="M87" s="412" t="n"/>
      <c r="N87" s="412" t="n"/>
      <c r="O87" s="412" t="n"/>
      <c r="P87" s="412" t="n"/>
      <c r="Q87" s="412" t="n"/>
      <c r="R87" s="412" t="n"/>
      <c r="S87" s="412" t="n"/>
      <c r="T87" s="412" t="n"/>
    </row>
    <row r="88" ht="15" customHeight="1">
      <c r="A88" s="293" t="n"/>
      <c r="B88" s="371" t="inlineStr">
        <is>
          <t>合规监测</t>
        </is>
      </c>
      <c r="C88" s="371" t="inlineStr">
        <is>
          <t>监测和确保气候变化减缓政策合规性的现行方法、流程或制度</t>
        </is>
      </c>
      <c r="D88" s="371" t="inlineStr">
        <is>
          <t>分类（单选），可补充详情</t>
        </is>
      </c>
      <c r="E88" s="371" t="inlineStr">
        <is>
          <t>无合规监测；随机；按标准定向：__；固定时间间隔：__；不定期；事先通知的检查/审计；不事先通知的检查/审计</t>
        </is>
      </c>
      <c r="F88" s="383" t="n"/>
      <c r="G88" s="412" t="n"/>
      <c r="H88" s="412" t="n"/>
      <c r="I88" s="412" t="n"/>
      <c r="J88" s="412" t="n"/>
      <c r="K88" s="412" t="n"/>
      <c r="L88" s="412" t="n"/>
      <c r="M88" s="412" t="n"/>
      <c r="N88" s="412" t="n"/>
      <c r="O88" s="412" t="n"/>
      <c r="P88" s="412" t="n"/>
      <c r="Q88" s="412" t="n"/>
      <c r="R88" s="412" t="n"/>
      <c r="S88" s="412" t="n"/>
      <c r="T88" s="412" t="n"/>
    </row>
    <row r="89" ht="15" customHeight="1">
      <c r="A89" s="293" t="n"/>
      <c r="B89" s="371" t="inlineStr">
        <is>
          <t>合规执行</t>
        </is>
      </c>
      <c r="C89" s="371" t="inlineStr">
        <is>
          <t>对未遵守气候变化减缓政策规制要求的主体施加的后果</t>
        </is>
      </c>
      <c r="D89" s="371" t="inlineStr">
        <is>
          <t>分类（多选），可补充详情</t>
        </is>
      </c>
      <c r="E89" s="371" t="inlineStr">
        <is>
          <t>无合规执行；罚款；禁止；合规命令；其他</t>
        </is>
      </c>
      <c r="F89" s="383" t="n"/>
      <c r="G89" s="412" t="n"/>
      <c r="H89" s="412" t="n"/>
      <c r="I89" s="412" t="n"/>
      <c r="J89" s="412" t="n"/>
      <c r="K89" s="412" t="n"/>
      <c r="L89" s="412" t="n"/>
      <c r="M89" s="412" t="n"/>
      <c r="N89" s="412" t="n"/>
      <c r="O89" s="412" t="n"/>
      <c r="P89" s="412" t="n"/>
      <c r="Q89" s="412" t="n"/>
      <c r="R89" s="412" t="n"/>
      <c r="S89" s="412" t="n"/>
      <c r="T89" s="412" t="n"/>
    </row>
    <row r="90" ht="15" customHeight="1">
      <c r="A90" s="293" t="n"/>
      <c r="B90" s="371" t="inlineStr">
        <is>
          <t>合规促进</t>
        </is>
      </c>
      <c r="C90" s="371" t="inlineStr">
        <is>
          <t>旨在鼓励和促进遵守气候变化减缓政策规制措施的举措或活动</t>
        </is>
      </c>
      <c r="D90" s="371" t="inlineStr">
        <is>
          <t>分类（多选），可补充详情</t>
        </is>
      </c>
      <c r="E90" s="371" t="inlineStr">
        <is>
          <t>无合规促进；信息与直接协助；资金支持；其他激励或支持</t>
        </is>
      </c>
      <c r="F90" s="383" t="n"/>
      <c r="G90" s="412" t="n"/>
      <c r="H90" s="412" t="n"/>
      <c r="I90" s="412" t="n"/>
      <c r="J90" s="412" t="n"/>
      <c r="K90" s="412" t="n"/>
      <c r="L90" s="412" t="n"/>
      <c r="M90" s="412" t="n"/>
      <c r="N90" s="412" t="n"/>
      <c r="O90" s="412" t="n"/>
      <c r="P90" s="412" t="n"/>
      <c r="Q90" s="412" t="n"/>
      <c r="R90" s="412" t="n"/>
      <c r="S90" s="412" t="n"/>
      <c r="T90" s="412" t="n"/>
    </row>
    <row r="91" ht="15" customHeight="1">
      <c r="A91" s="282" t="n"/>
      <c r="B91" s="371" t="inlineStr">
        <is>
          <t>能力建设、培训/教育、宣传和奖励计划详情</t>
        </is>
      </c>
      <c r="C91" s="371" t="inlineStr">
        <is>
          <t>填写频率、目标群体和年度预算安排的详情</t>
        </is>
      </c>
      <c r="D91" s="371" t="inlineStr">
        <is>
          <t>自由文本</t>
        </is>
      </c>
      <c r="E91" s="371" t="inlineStr">
        <is>
          <t>N/A</t>
        </is>
      </c>
      <c r="F91" s="383" t="n"/>
      <c r="G91" s="412" t="n"/>
      <c r="H91" s="412" t="n"/>
      <c r="I91" s="412" t="n"/>
      <c r="J91" s="412" t="n"/>
      <c r="K91" s="412" t="n"/>
      <c r="L91" s="412" t="n"/>
      <c r="M91" s="412" t="n"/>
      <c r="N91" s="412" t="n"/>
      <c r="O91" s="412" t="n"/>
      <c r="P91" s="412" t="n"/>
      <c r="Q91" s="412" t="n"/>
      <c r="R91" s="412" t="n"/>
      <c r="S91" s="412" t="n"/>
      <c r="T91" s="412" t="n"/>
    </row>
    <row r="92" ht="15" customHeight="1">
      <c r="A92" s="375" t="inlineStr">
        <is>
          <t>自愿措施</t>
        </is>
      </c>
      <c r="B92" s="372" t="inlineStr">
        <is>
          <t>参与激励</t>
        </is>
      </c>
      <c r="C92" s="372" t="inlineStr">
        <is>
          <t>为鼓励自愿参与气候变化减缓活动或项目而提供的奖励、利益或正向激励</t>
        </is>
      </c>
      <c r="D92" s="372" t="inlineStr">
        <is>
          <t>分类（单选）</t>
        </is>
      </c>
      <c r="E92" s="372" t="inlineStr">
        <is>
          <t>资金性；规制性；声誉性；无</t>
        </is>
      </c>
      <c r="F92" s="383" t="n"/>
      <c r="G92" s="412" t="n"/>
      <c r="H92" s="412" t="n"/>
      <c r="I92" s="412" t="n"/>
      <c r="J92" s="412" t="n"/>
      <c r="K92" s="412" t="n"/>
      <c r="L92" s="412" t="n"/>
      <c r="M92" s="412" t="n"/>
      <c r="N92" s="412" t="n"/>
      <c r="O92" s="412" t="n"/>
      <c r="P92" s="412" t="n"/>
      <c r="Q92" s="412" t="n"/>
      <c r="R92" s="412" t="n"/>
      <c r="S92" s="412" t="n"/>
      <c r="T92" s="412" t="n"/>
    </row>
    <row r="93" ht="15" customHeight="1">
      <c r="A93" s="293" t="n"/>
      <c r="B93" s="372" t="inlineStr">
        <is>
          <t>监测</t>
        </is>
      </c>
      <c r="C93" s="372" t="inlineStr">
        <is>
          <t>跟踪和评估气候变化减缓相关自愿行动或倡议的现行流程和制度</t>
        </is>
      </c>
      <c r="D93" s="372" t="inlineStr">
        <is>
          <t>二元，可补充详情</t>
        </is>
      </c>
      <c r="E93" s="372" t="inlineStr">
        <is>
          <t>是/否，可补充详情</t>
        </is>
      </c>
      <c r="F93" s="383" t="n"/>
      <c r="G93" s="412" t="n"/>
      <c r="H93" s="412" t="n"/>
      <c r="I93" s="412" t="n"/>
      <c r="J93" s="412" t="n"/>
      <c r="K93" s="412" t="n"/>
      <c r="L93" s="412" t="n"/>
      <c r="M93" s="412" t="n"/>
      <c r="N93" s="412" t="n"/>
      <c r="O93" s="412" t="n"/>
      <c r="P93" s="412" t="n"/>
      <c r="Q93" s="412" t="n"/>
      <c r="R93" s="412" t="n"/>
      <c r="S93" s="412" t="n"/>
      <c r="T93" s="412" t="n"/>
    </row>
    <row r="94">
      <c r="A94" s="282" t="n"/>
      <c r="B94" s="372" t="inlineStr">
        <is>
          <t>违规制裁</t>
        </is>
      </c>
      <c r="C94" s="372" t="inlineStr">
        <is>
          <t>对未能履行气候变化减缓相关自愿承诺或义务的主体或个人施加的后果或处罚</t>
        </is>
      </c>
      <c r="D94" s="372" t="inlineStr">
        <is>
          <t>二元，可补充详情</t>
        </is>
      </c>
      <c r="E94" s="372" t="inlineStr">
        <is>
          <t>是/否，可补充详情</t>
        </is>
      </c>
      <c r="F94" s="383" t="n"/>
      <c r="G94" s="412" t="n"/>
      <c r="H94" s="412" t="n"/>
      <c r="I94" s="412" t="n"/>
      <c r="J94" s="412" t="n"/>
      <c r="K94" s="412" t="n"/>
      <c r="L94" s="412" t="n"/>
      <c r="M94" s="412" t="n"/>
      <c r="N94" s="412" t="n"/>
      <c r="O94" s="412" t="n"/>
      <c r="P94" s="412" t="n"/>
      <c r="Q94" s="412" t="n"/>
      <c r="R94" s="412" t="n"/>
      <c r="S94" s="412" t="n"/>
      <c r="T94" s="412" t="n"/>
    </row>
    <row r="95" ht="15" customHeight="1"/>
  </sheetData>
  <mergeCells count="15">
    <mergeCell ref="A4:A7"/>
    <mergeCell ref="A23:A37"/>
    <mergeCell ref="A48:A50"/>
    <mergeCell ref="A74:A81"/>
    <mergeCell ref="A2:E2"/>
    <mergeCell ref="A43:A46"/>
    <mergeCell ref="A51:A57"/>
    <mergeCell ref="A92:A94"/>
    <mergeCell ref="A82:A91"/>
    <mergeCell ref="A47:E47"/>
    <mergeCell ref="A41:A42"/>
    <mergeCell ref="A38:A40"/>
    <mergeCell ref="A68:A73"/>
    <mergeCell ref="A8:A22"/>
    <mergeCell ref="A58:A6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251" t="inlineStr">
        <is>
          <t>英文名</t>
        </is>
      </c>
      <c r="B1" s="251" t="inlineStr">
        <is>
          <t>本国工具名称</t>
        </is>
      </c>
      <c r="C1" s="251" t="inlineStr">
        <is>
          <t>状态</t>
        </is>
      </c>
      <c r="D1" s="251" t="inlineStr">
        <is>
          <t>开始年份</t>
        </is>
      </c>
      <c r="E1" s="251" t="inlineStr">
        <is>
          <t>结束年份</t>
        </is>
      </c>
      <c r="F1" s="251" t="inlineStr">
        <is>
          <t>工具类别</t>
        </is>
      </c>
      <c r="G1" s="251" t="inlineStr">
        <is>
          <t>工具组别</t>
        </is>
      </c>
      <c r="H1" s="251" t="inlineStr">
        <is>
          <t>排放部门</t>
        </is>
      </c>
      <c r="I1" s="251" t="inlineStr">
        <is>
          <t>子行业</t>
        </is>
      </c>
      <c r="J1" s="251" t="inlineStr">
        <is>
          <t>法律文件名称</t>
        </is>
      </c>
      <c r="K1" s="25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2026-09-17T02:58:16Z</dcterms:modified>
  <cp:lastModifiedBy>Danqing</cp:lastModifiedBy>
</cp:coreProperties>
</file>