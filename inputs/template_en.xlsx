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Summary" sheetId="1" state="visible" r:id="rId1"/>
    <sheet xmlns:r="http://schemas.openxmlformats.org/officeDocument/2006/relationships" name="Economic instruments" sheetId="2" state="visible" r:id="rId2"/>
    <sheet xmlns:r="http://schemas.openxmlformats.org/officeDocument/2006/relationships" name="Instruments overview" sheetId="3" state="visible" r:id="rId3"/>
    <sheet xmlns:r="http://schemas.openxmlformats.org/officeDocument/2006/relationships" name="Regulatory instruments" sheetId="4" state="visible" r:id="rId4"/>
    <sheet xmlns:r="http://schemas.openxmlformats.org/officeDocument/2006/relationships" name="Government I&amp;C" sheetId="5" state="visible" r:id="rId5"/>
    <sheet xmlns:r="http://schemas.openxmlformats.org/officeDocument/2006/relationships" name="Information instruments" sheetId="6" state="visible" r:id="rId6"/>
    <sheet xmlns:r="http://schemas.openxmlformats.org/officeDocument/2006/relationships" name="Cover" sheetId="7" state="visible" r:id="rId7"/>
    <sheet xmlns:r="http://schemas.openxmlformats.org/officeDocument/2006/relationships" name="Voluntary approaches" sheetId="8" state="visible" r:id="rId8"/>
    <sheet xmlns:r="http://schemas.openxmlformats.org/officeDocument/2006/relationships" name="Classification framework" sheetId="9" state="visible" r:id="rId9"/>
    <sheet xmlns:r="http://schemas.openxmlformats.org/officeDocument/2006/relationships" name="Categories and groups" sheetId="10" state="visible" r:id="rId10"/>
    <sheet xmlns:r="http://schemas.openxmlformats.org/officeDocument/2006/relationships" name="Attributes definitions" sheetId="11" state="visible" r:id="rId11"/>
    <sheet xmlns:r="http://schemas.openxmlformats.org/officeDocument/2006/relationships" name="Ended" sheetId="12" state="visible" r:id="rId12"/>
  </sheets>
  <definedNames/>
  <calcPr calcId="162913" fullCalcOnLoad="1"/>
</workbook>
</file>

<file path=xl/styles.xml><?xml version="1.0" encoding="utf-8"?>
<styleSheet xmlns="http://schemas.openxmlformats.org/spreadsheetml/2006/main">
  <numFmts count="0"/>
  <fonts count="94">
    <font>
      <name val="等线"/>
      <family val="2"/>
      <color theme="1"/>
      <sz val="11"/>
      <scheme val="minor"/>
    </font>
    <font>
      <name val="等线"/>
      <charset val="134"/>
      <b val="1"/>
      <color rgb="FFFFFFFF"/>
      <sz val="11"/>
      <scheme val="minor"/>
    </font>
    <font>
      <name val="等线"/>
      <charset val="134"/>
      <b val="1"/>
      <color theme="1"/>
      <sz val="10"/>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family val="3"/>
      <sz val="9"/>
      <scheme val="minor"/>
    </font>
    <font>
      <name val="等线"/>
      <charset val="134"/>
      <family val="3"/>
      <b val="1"/>
      <color rgb="FFFFFFFF"/>
      <sz val="11"/>
      <scheme val="minor"/>
    </font>
    <font>
      <name val="等线"/>
      <charset val="134"/>
      <family val="3"/>
      <b val="1"/>
      <color theme="1"/>
      <sz val="10"/>
      <scheme val="minor"/>
    </font>
    <font>
      <name val="等线"/>
      <charset val="134"/>
      <family val="3"/>
      <color rgb="FF000000"/>
      <sz val="10"/>
      <scheme val="minor"/>
    </font>
    <font>
      <name val="等线"/>
      <charset val="134"/>
      <family val="3"/>
      <color theme="1"/>
      <sz val="10"/>
      <scheme val="minor"/>
    </font>
    <font>
      <name val="等线"/>
      <charset val="134"/>
      <family val="3"/>
      <b val="1"/>
      <color rgb="FF000000"/>
      <sz val="10"/>
      <scheme val="minor"/>
    </font>
    <font>
      <name val="等线"/>
      <charset val="134"/>
      <family val="3"/>
      <b val="1"/>
      <color rgb="FF1F2329"/>
      <sz val="10"/>
      <scheme val="minor"/>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44749F"/>
      <sz val="12"/>
      <scheme val="minor"/>
    </font>
    <font>
      <sz val="10"/>
    </font>
    <font>
      <name val="Calibri"/>
      <b val="1"/>
      <color rgb="FFFFFFFF"/>
      <sz val="11"/>
    </font>
    <font>
      <name val="Calibri"/>
      <b val="1"/>
      <color theme="1"/>
      <sz val="10"/>
    </font>
    <font>
      <name val="Calibri"/>
      <b val="1"/>
      <color rgb="FF000000"/>
      <sz val="10"/>
    </font>
    <font>
      <name val="Calibri"/>
      <color rgb="FF000000"/>
      <sz val="10"/>
    </font>
    <font>
      <name val="Calibri"/>
      <color theme="1"/>
      <sz val="10"/>
    </font>
    <font>
      <name val="Calibri"/>
      <b val="1"/>
      <color rgb="FF1F2329"/>
      <sz val="10"/>
    </font>
    <font>
      <name val="Calibri"/>
      <color theme="1"/>
      <sz val="11"/>
    </font>
    <font>
      <name val="Calibri"/>
      <b val="1"/>
      <color theme="1"/>
      <sz val="18"/>
    </font>
    <font>
      <name val="Calibri"/>
      <b val="1"/>
      <color theme="1"/>
      <sz val="13"/>
    </font>
    <font>
      <name val="Calibri"/>
      <color theme="1"/>
      <sz val="12"/>
    </font>
    <font>
      <name val="Calibri"/>
      <b val="1"/>
      <color rgb="FF44749F"/>
      <sz val="13"/>
    </font>
    <font>
      <name val="Calibri"/>
      <b val="1"/>
      <color rgb="FF44749F"/>
      <sz val="12"/>
    </font>
    <font>
      <name val="Calibri"/>
      <sz val="10"/>
    </font>
    <font>
      <name val="Calibri"/>
      <family val="2"/>
      <b val="1"/>
      <color rgb="FF000000"/>
      <sz val="12"/>
    </font>
    <font>
      <name val="Calibri"/>
      <family val="2"/>
      <b val="1"/>
      <color theme="1"/>
      <sz val="12"/>
    </font>
    <font>
      <name val="Calibri"/>
      <b val="1"/>
      <color rgb="FF0E5C46"/>
      <sz val="13"/>
    </font>
    <font>
      <name val="Calibri"/>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charset val="134"/>
      <family val="3"/>
      <color theme="1"/>
      <sz val="9"/>
      <scheme val="minor"/>
    </font>
    <font>
      <name val="等线"/>
      <charset val="134"/>
      <family val="3"/>
      <b val="1"/>
      <color theme="1"/>
      <sz val="9"/>
      <scheme val="minor"/>
    </font>
    <font>
      <name val="等线"/>
      <charset val="134"/>
      <family val="3"/>
      <color rgb="FF1F2329"/>
      <sz val="10"/>
      <scheme val="minor"/>
    </font>
    <font>
      <name val="等线"/>
      <b val="1"/>
      <sz val="12"/>
    </font>
    <font>
      <name val="宋体"/>
      <sz val="12"/>
    </font>
    <font>
      <name val="等线"/>
      <sz val="12"/>
    </font>
    <font>
      <name val="等线"/>
      <color rgb="FF0E5C46"/>
      <sz val="21"/>
    </font>
    <font>
      <name val="等线"/>
      <color rgb="FF0E5C46"/>
      <sz val="10"/>
    </font>
    <font>
      <name val="等线"/>
      <b val="1"/>
      <color rgb="FF000000"/>
      <sz val="10"/>
    </font>
    <font>
      <name val="等线"/>
      <b val="1"/>
      <color rgb="FFFFFFFF"/>
      <sz val="10"/>
    </font>
    <font>
      <name val="等线"/>
      <b val="1"/>
      <color rgb="FF0E5C46"/>
      <sz val="12"/>
    </font>
    <font>
      <name val="Calibri"/>
      <b val="1"/>
      <color rgb="FFFFFFFF"/>
      <sz val="10"/>
    </font>
    <font>
      <name val="Calibri"/>
      <b val="1"/>
      <color rgb="FF000000"/>
      <sz val="12"/>
    </font>
    <font>
      <name val="Calibri"/>
      <sz val="11"/>
    </font>
    <font>
      <name val="Calibri"/>
      <b val="1"/>
      <color theme="1"/>
      <sz val="12"/>
    </font>
    <font>
      <name val="Calibri"/>
      <family val="2"/>
      <b val="1"/>
      <sz val="12"/>
    </font>
    <font>
      <name val="等线"/>
      <family val="2"/>
      <color rgb="FFFFFFFF"/>
      <sz val="11"/>
      <scheme val="minor"/>
    </font>
    <font>
      <name val="Calibri"/>
      <family val="2"/>
      <b val="1"/>
      <color rgb="FFFFFFFF"/>
      <sz val="12"/>
    </font>
    <font>
      <name val="Calibri"/>
      <color rgb="FFFFFFFF"/>
      <sz val="11"/>
    </font>
    <font>
      <b val="1"/>
      <sz val="12"/>
    </font>
    <font>
      <b val="1"/>
      <color rgb="FFFFFFFF"/>
      <sz val="12"/>
    </font>
    <font>
      <name val="Calibri"/>
      <b val="1"/>
      <color rgb="FFFFFFFF"/>
      <sz val="12"/>
    </font>
    <font>
      <name val="Calibri"/>
      <b val="1"/>
      <i val="1"/>
      <color theme="1"/>
      <sz val="12"/>
    </font>
    <font>
      <name val="Calibri"/>
      <color rgb="FF000000"/>
      <sz val="12"/>
    </font>
    <font>
      <name val="Calibri"/>
      <family val="2"/>
      <sz val="12"/>
    </font>
    <font>
      <name val="Calibri"/>
      <family val="2"/>
      <sz val="10"/>
    </font>
    <font>
      <name val="等线"/>
      <b val="1"/>
      <color rgb="FFFFFFFF"/>
      <sz val="12"/>
    </font>
    <font>
      <name val="Calibri"/>
      <sz val="12"/>
    </font>
    <font>
      <name val="Calibri"/>
      <color rgb="FFFFFFFF"/>
      <sz val="12"/>
    </font>
    <font>
      <name val="等线"/>
      <color rgb="FF0E5C46"/>
      <sz val="12"/>
    </font>
    <font>
      <name val="等线"/>
      <charset val="134"/>
      <color rgb="FF000000"/>
      <sz val="12"/>
      <scheme val="minor"/>
    </font>
    <font>
      <name val="等线"/>
      <charset val="134"/>
      <b val="1"/>
      <color rgb="FF000000"/>
      <sz val="12"/>
      <scheme val="minor"/>
    </font>
    <font>
      <name val="等线"/>
      <b val="1"/>
      <color rgb="FF000000"/>
      <sz val="12"/>
    </font>
    <font>
      <name val="等线"/>
      <family val="2"/>
      <color theme="10"/>
      <sz val="12"/>
      <u val="single"/>
      <scheme val="minor"/>
    </font>
    <font>
      <name val="等线"/>
      <charset val="134"/>
      <family val="3"/>
      <color rgb="FF1F2329"/>
      <sz val="12"/>
      <scheme val="minor"/>
    </font>
    <font>
      <name val="等线"/>
      <color rgb="FF0E5C46"/>
      <sz val="16"/>
    </font>
    <font>
      <name val="等线"/>
      <charset val="134"/>
      <color rgb="FF000000"/>
      <sz val="16"/>
      <scheme val="minor"/>
    </font>
    <font>
      <name val="等线"/>
      <charset val="134"/>
      <color theme="1"/>
      <sz val="16"/>
      <scheme val="minor"/>
    </font>
    <font>
      <name val="等线"/>
      <family val="2"/>
      <color theme="1"/>
      <sz val="16"/>
      <scheme val="minor"/>
    </font>
    <font>
      <name val="等线"/>
      <b val="1"/>
      <color rgb="FF0E5C46"/>
      <sz val="16"/>
    </font>
    <font>
      <name val="等线"/>
      <family val="2"/>
      <b val="1"/>
      <color theme="1"/>
      <sz val="16"/>
      <scheme val="minor"/>
    </font>
    <font>
      <name val="等线"/>
      <charset val="134"/>
      <b val="1"/>
      <color rgb="FF000000"/>
      <sz val="16"/>
      <scheme val="minor"/>
    </font>
    <font>
      <name val="等线"/>
      <charset val="134"/>
      <b val="1"/>
      <color theme="1"/>
      <sz val="16"/>
      <scheme val="minor"/>
    </font>
    <font>
      <name val="Calibri"/>
      <b val="1"/>
      <color rgb="FF0E5C46"/>
      <sz val="16"/>
    </font>
    <font>
      <name val="Calibri"/>
      <b val="1"/>
      <color rgb="FF000000"/>
      <sz val="16"/>
    </font>
    <font>
      <name val="Calibri"/>
      <b val="1"/>
      <color theme="1"/>
      <sz val="16"/>
    </font>
    <font>
      <name val="Calibri"/>
      <family val="2"/>
      <color rgb="FF000000"/>
      <sz val="12"/>
    </font>
    <font>
      <name val="Calibri"/>
      <color theme="10"/>
      <sz val="12"/>
      <u val="single"/>
    </font>
  </fonts>
  <fills count="46">
    <fill>
      <patternFill/>
    </fill>
    <fill>
      <patternFill patternType="gray125"/>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7EDAFB"/>
        <bgColor indexed="64"/>
      </patternFill>
    </fill>
    <fill>
      <patternFill patternType="solid">
        <fgColor rgb="FF8EE085"/>
        <bgColor indexed="64"/>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00B050"/>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
      <patternFill patternType="solid">
        <fgColor theme="9"/>
        <bgColor indexed="64"/>
      </patternFill>
    </fill>
    <fill>
      <patternFill patternType="solid">
        <fgColor rgb="FFF79646"/>
      </patternFill>
    </fill>
    <fill>
      <patternFill patternType="solid">
        <fgColor theme="5" tint="0.3999755851924192"/>
        <bgColor indexed="64"/>
      </patternFill>
    </fill>
    <fill>
      <patternFill patternType="solid">
        <fgColor theme="4" tint="0.3999755851924192"/>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C000"/>
      </patternFill>
    </fill>
    <fill>
      <patternFill patternType="solid">
        <fgColor theme="5" tint="0.3999755851924192"/>
      </patternFill>
    </fill>
  </fills>
  <borders count="90">
    <border>
      <left/>
      <right/>
      <top/>
      <bottom/>
      <diagonal/>
    </border>
    <border>
      <left style="thin">
        <color rgb="FF7F7F7F"/>
      </left>
      <right style="thin">
        <color rgb="FF7F7F7F"/>
      </right>
      <top style="thin">
        <color rgb="FF7F7F7F"/>
      </top>
      <bottom style="thin">
        <color rgb="FF7F7F7F"/>
      </bottom>
      <diagonal/>
    </border>
    <border>
      <left style="thin">
        <color rgb="FFE2E8E5"/>
      </left>
      <right style="thin">
        <color rgb="FFE2E8E5"/>
      </right>
      <top style="thin">
        <color rgb="FFE2E8E5"/>
      </top>
      <bottom style="thin">
        <color rgb="FFE2E8E5"/>
      </bottom>
      <diagonal/>
    </border>
    <border>
      <left style="thin">
        <color rgb="FFDEE0E3"/>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7F7F7F"/>
      </left>
      <right/>
      <top style="thin">
        <color rgb="FFDEE0E3"/>
      </top>
      <bottom style="thin">
        <color rgb="FF7F7F7F"/>
      </bottom>
      <diagonal/>
    </border>
    <border>
      <left/>
      <right/>
      <top style="thin">
        <color rgb="FFDEE0E3"/>
      </top>
      <bottom style="thin">
        <color rgb="FF7F7F7F"/>
      </bottom>
      <diagonal/>
    </border>
    <border>
      <left/>
      <right style="thin">
        <color rgb="FFDEE0E3"/>
      </right>
      <top style="thin">
        <color rgb="FFDEE0E3"/>
      </top>
      <bottom style="thin">
        <color rgb="FF7F7F7F"/>
      </bottom>
      <diagonal/>
    </border>
    <border>
      <left style="thin">
        <color rgb="FF7F7F7F"/>
      </left>
      <right style="thin">
        <color rgb="FFDEE0E3"/>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DEE0E3"/>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DEE0E3"/>
      </left>
      <right/>
      <top style="thin">
        <color rgb="FFDEE0E3"/>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DEE0E3"/>
      </top>
      <bottom style="thin">
        <color rgb="FF7F7F7F"/>
      </bottom>
      <diagonal/>
    </border>
    <border>
      <left/>
      <right style="thin">
        <color rgb="FF7F7F7F"/>
      </right>
      <top style="thin">
        <color rgb="FFDEE0E3"/>
      </top>
      <bottom style="thin">
        <color rgb="FF7F7F7F"/>
      </bottom>
      <diagonal/>
    </border>
    <border>
      <left style="thin">
        <color rgb="FF000000"/>
      </left>
      <right/>
      <top style="thin">
        <color rgb="FFDEE0E3"/>
      </top>
      <bottom style="thin">
        <color rgb="FFDEE0E3"/>
      </bottom>
      <diagonal/>
    </border>
    <border>
      <left style="thin">
        <color rgb="FFDEE0E3"/>
      </left>
      <right/>
      <top style="thin">
        <color rgb="FF7F7F7F"/>
      </top>
      <bottom style="thin">
        <color rgb="FF7F7F7F"/>
      </bottom>
      <diagonal/>
    </border>
    <border>
      <left style="thin">
        <color rgb="FF000000"/>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DEE0E3"/>
      </right>
      <top style="thin">
        <color rgb="FF7F7F7F"/>
      </top>
      <bottom/>
      <diagonal/>
    </border>
    <border>
      <left style="thin">
        <color rgb="FFDEE0E3"/>
      </left>
      <right style="thin">
        <color rgb="FFDEE0E3"/>
      </right>
      <top style="thin">
        <color rgb="FFDEE0E3"/>
      </top>
      <bottom style="thin">
        <color rgb="FF7F7F7F"/>
      </bottom>
      <diagonal/>
    </border>
    <border>
      <left/>
      <right/>
      <top style="thin">
        <color rgb="FFDEE0E3"/>
      </top>
      <bottom/>
      <diagonal/>
    </border>
    <border>
      <left/>
      <right style="thin">
        <color rgb="FFDEE0E3"/>
      </right>
      <top style="thin">
        <color rgb="FFDEE0E3"/>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7F7F7F"/>
      </right>
      <top style="thin">
        <color rgb="FFDEE0E3"/>
      </top>
      <bottom style="thin">
        <color rgb="FF7F7F7F"/>
      </bottom>
      <diagonal/>
    </border>
    <border>
      <left/>
      <right style="thin">
        <color rgb="FF7F7F7F"/>
      </right>
      <top style="thin">
        <color rgb="FFDEE0E3"/>
      </top>
      <bottom/>
      <diagonal/>
    </border>
    <border>
      <left style="thin">
        <color rgb="FF7F7F7F"/>
      </left>
      <right style="thin">
        <color rgb="FF7F7F7F"/>
      </right>
      <top style="thin">
        <color rgb="FFDEE0E3"/>
      </top>
      <bottom style="thin">
        <color rgb="FF7F7F7F"/>
      </bottom>
      <diagonal/>
    </border>
    <border>
      <left style="thin">
        <color rgb="FF000000"/>
      </left>
      <right style="thin">
        <color rgb="FFDEE0E3"/>
      </right>
      <top style="thin">
        <color rgb="FFDEE0E3"/>
      </top>
      <bottom style="thin">
        <color rgb="FFDEE0E3"/>
      </bottom>
      <diagonal/>
    </border>
    <border>
      <left style="thin">
        <color rgb="FFDEE0E3"/>
      </left>
      <right style="thin">
        <color rgb="FFDEE0E3"/>
      </right>
      <top style="thin">
        <color rgb="FF7F7F7F"/>
      </top>
      <bottom style="thin">
        <color rgb="FF7F7F7F"/>
      </bottom>
      <diagonal/>
    </border>
    <border>
      <left style="thin">
        <color rgb="FF000000"/>
      </left>
      <right style="thin">
        <color rgb="FF7F7F7F"/>
      </right>
      <top style="thin">
        <color rgb="FF7F7F7F"/>
      </top>
      <bottom style="thin">
        <color rgb="FF7F7F7F"/>
      </bottom>
      <diagonal/>
    </border>
    <border>
      <left/>
      <right style="thin">
        <color rgb="FF7F7F7F"/>
      </right>
      <top/>
      <bottom style="thin">
        <color rgb="FF7F7F7F"/>
      </bottom>
      <diagonal/>
    </border>
    <border>
      <left/>
      <right style="thin">
        <color rgb="FF7F7F7F"/>
      </right>
      <top/>
      <bottom/>
      <diagonal/>
    </border>
    <border>
      <left style="thin">
        <color rgb="FF000000"/>
      </left>
      <right style="thin">
        <color rgb="FF000000"/>
      </right>
      <top style="thin">
        <color rgb="FFDEE0E3"/>
      </top>
      <bottom style="thin">
        <color rgb="FF000000"/>
      </bottom>
      <diagonal/>
    </border>
    <border>
      <left/>
      <right/>
      <top style="thin">
        <color rgb="FFDEE0E3"/>
      </top>
      <bottom style="thin">
        <color rgb="FF000000"/>
      </bottom>
      <diagonal/>
    </border>
    <border>
      <left/>
      <right style="thin">
        <color rgb="FF000000"/>
      </right>
      <top style="thin">
        <color rgb="FFDEE0E3"/>
      </top>
      <bottom style="thin">
        <color rgb="FF000000"/>
      </bottom>
      <diagonal/>
    </border>
    <border>
      <left style="thin">
        <color rgb="FF000000"/>
      </left>
      <right/>
      <top style="thin">
        <color rgb="FFDEE0E3"/>
      </top>
      <bottom/>
      <diagonal/>
    </border>
    <border>
      <left/>
      <right style="thin">
        <color rgb="FF000000"/>
      </right>
      <top style="thin">
        <color rgb="FFDEE0E3"/>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border>
      <left/>
      <right/>
      <top style="thin">
        <color rgb="FFE2E8E5"/>
      </top>
      <bottom/>
      <diagonal/>
    </border>
    <border>
      <left/>
      <right style="thin">
        <color rgb="FFE2E8E5"/>
      </right>
      <top style="thin">
        <color rgb="FFE2E8E5"/>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DEE0E3"/>
      </left>
      <right style="thin">
        <color rgb="FFDEE0E3"/>
      </right>
      <top style="thin">
        <color rgb="FFDEE0E3"/>
      </top>
      <bottom style="thin">
        <color rgb="FFDEE0E3"/>
      </bottom>
      <diagonal/>
    </border>
    <border>
      <left/>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
      <left/>
      <right/>
      <top/>
      <bottom style="thin">
        <color rgb="FF7F7F7F"/>
      </bottom>
      <diagonal/>
    </border>
    <border>
      <left style="thin">
        <color rgb="FFDEE0E3"/>
      </left>
      <right/>
      <top style="thin">
        <color rgb="FFE2E8E5"/>
      </top>
      <bottom style="thin">
        <color rgb="FFE2E8E5"/>
      </bottom>
      <diagonal/>
    </border>
    <border>
      <left style="thin">
        <color rgb="FFE2E8E5"/>
      </left>
      <right/>
      <top style="thin">
        <color rgb="FFE2E8E5"/>
      </top>
      <bottom style="thin">
        <color rgb="FFE2E8E5"/>
      </bottom>
      <diagonal/>
    </border>
    <border>
      <left style="thin">
        <color auto="1"/>
      </left>
      <right style="thin">
        <color rgb="FFDEE0E3"/>
      </right>
      <top/>
      <bottom/>
      <diagonal/>
    </border>
    <border>
      <left style="thin">
        <color auto="1"/>
      </left>
      <right style="thin">
        <color rgb="FFDEE0E3"/>
      </right>
      <top/>
      <bottom style="thin">
        <color rgb="FFDEE0E3"/>
      </bottom>
      <diagonal/>
    </border>
    <border>
      <left/>
      <right style="thin">
        <color rgb="FFDEE0E3"/>
      </right>
      <top/>
      <bottom/>
      <diagonal/>
    </border>
    <border>
      <left/>
      <right/>
      <top/>
      <bottom style="thin">
        <color rgb="FFDEE0E3"/>
      </bottom>
      <diagonal/>
    </border>
    <border>
      <left/>
      <right style="thin">
        <color rgb="FFDEE0E3"/>
      </right>
      <top/>
      <bottom style="thin">
        <color rgb="FFDEE0E3"/>
      </bottom>
      <diagonal/>
    </border>
    <border>
      <left style="thin">
        <color indexed="64"/>
      </left>
      <right style="thin">
        <color rgb="FFDEE0E3"/>
      </right>
      <top style="thin">
        <color indexed="64"/>
      </top>
      <bottom style="thin">
        <color indexed="64"/>
      </bottom>
      <diagonal/>
    </border>
    <border>
      <left/>
      <right style="thin">
        <color rgb="FFDEE0E3"/>
      </right>
      <top style="thin">
        <color indexed="64"/>
      </top>
      <bottom style="thin">
        <color indexed="64"/>
      </bottom>
      <diagonal/>
    </border>
    <border>
      <left/>
      <right style="thin">
        <color rgb="FFDEE0E3"/>
      </right>
      <top style="thin">
        <color indexed="64"/>
      </top>
      <bottom/>
      <diagonal/>
    </border>
  </borders>
  <cellStyleXfs count="1">
    <xf numFmtId="0" fontId="0" fillId="0" borderId="0"/>
  </cellStyleXfs>
  <cellXfs count="558">
    <xf numFmtId="0" fontId="0" fillId="0" borderId="0" pivotButton="0" quotePrefix="0" xfId="0"/>
    <xf numFmtId="0" fontId="3" fillId="9" borderId="15" applyAlignment="1" pivotButton="0" quotePrefix="0" xfId="0">
      <alignment horizontal="center" vertical="center"/>
    </xf>
    <xf numFmtId="0" fontId="4" fillId="9" borderId="15"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0" borderId="9"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2" fillId="3" borderId="3" applyAlignment="1" pivotButton="0" quotePrefix="0" xfId="0">
      <alignment horizontal="center" vertical="center"/>
    </xf>
    <xf numFmtId="0" fontId="2" fillId="3" borderId="18" applyAlignment="1" pivotButton="0" quotePrefix="0" xfId="0">
      <alignment horizontal="center" vertical="center"/>
    </xf>
    <xf numFmtId="0" fontId="2" fillId="3" borderId="7" applyAlignment="1" pivotButton="0" quotePrefix="0" xfId="0">
      <alignment horizontal="center" vertical="center"/>
    </xf>
    <xf numFmtId="0" fontId="2" fillId="3" borderId="19" applyAlignment="1" pivotButton="0" quotePrefix="0" xfId="0">
      <alignment horizontal="center" vertical="center"/>
    </xf>
    <xf numFmtId="0" fontId="2" fillId="4" borderId="6" applyAlignment="1" pivotButton="0" quotePrefix="0" xfId="0">
      <alignment horizontal="center" vertical="center"/>
    </xf>
    <xf numFmtId="0" fontId="2" fillId="4" borderId="7" applyAlignment="1" pivotButton="0" quotePrefix="0" xfId="0">
      <alignment horizontal="center" vertical="center"/>
    </xf>
    <xf numFmtId="0" fontId="2" fillId="4" borderId="19" applyAlignment="1" pivotButton="0" quotePrefix="0" xfId="0">
      <alignment horizontal="center" vertical="center"/>
    </xf>
    <xf numFmtId="0" fontId="2" fillId="5" borderId="6" applyAlignment="1" pivotButton="0" quotePrefix="0" xfId="0">
      <alignment horizontal="center" vertical="center"/>
    </xf>
    <xf numFmtId="0" fontId="2" fillId="5" borderId="7" applyAlignment="1" pivotButton="0" quotePrefix="0" xfId="0">
      <alignment horizontal="center" vertical="center"/>
    </xf>
    <xf numFmtId="0" fontId="2" fillId="5" borderId="19" applyAlignment="1" pivotButton="0" quotePrefix="0" xfId="0">
      <alignment horizontal="center" vertical="center"/>
    </xf>
    <xf numFmtId="0" fontId="2" fillId="6" borderId="10" applyAlignment="1" pivotButton="0" quotePrefix="0" xfId="0">
      <alignment horizontal="center" vertical="center"/>
    </xf>
    <xf numFmtId="0" fontId="2" fillId="6" borderId="11" applyAlignment="1" pivotButton="0" quotePrefix="0" xfId="0">
      <alignment horizontal="center" vertical="center"/>
    </xf>
    <xf numFmtId="0" fontId="2" fillId="6" borderId="13" applyAlignment="1" pivotButton="0" quotePrefix="0" xfId="0">
      <alignment horizontal="center" vertical="center"/>
    </xf>
    <xf numFmtId="0" fontId="2" fillId="7" borderId="10" applyAlignment="1" pivotButton="0" quotePrefix="0" xfId="0">
      <alignment horizontal="center" vertical="center"/>
    </xf>
    <xf numFmtId="0" fontId="2" fillId="7" borderId="11" applyAlignment="1" pivotButton="0" quotePrefix="0" xfId="0">
      <alignment horizontal="center" vertical="center"/>
    </xf>
    <xf numFmtId="0" fontId="2" fillId="7" borderId="13" applyAlignment="1" pivotButton="0" quotePrefix="0" xfId="0">
      <alignment horizontal="center" vertical="center"/>
    </xf>
    <xf numFmtId="0" fontId="2" fillId="8" borderId="10" applyAlignment="1" pivotButton="0" quotePrefix="0" xfId="0">
      <alignment horizontal="center" vertical="center"/>
    </xf>
    <xf numFmtId="0" fontId="2" fillId="8" borderId="13" applyAlignment="1" pivotButton="0" quotePrefix="0" xfId="0">
      <alignment horizontal="center" vertical="center"/>
    </xf>
    <xf numFmtId="0" fontId="2" fillId="3" borderId="10" applyAlignment="1" pivotButton="0" quotePrefix="0" xfId="0">
      <alignment horizontal="center" vertical="center"/>
    </xf>
    <xf numFmtId="0" fontId="2" fillId="3" borderId="11" applyAlignment="1" pivotButton="0" quotePrefix="0" xfId="0">
      <alignment horizontal="center" vertical="center"/>
    </xf>
    <xf numFmtId="0" fontId="2" fillId="3" borderId="12" applyAlignment="1" pivotButton="0" quotePrefix="0" xfId="0">
      <alignment horizontal="center" vertical="center"/>
    </xf>
    <xf numFmtId="0" fontId="2" fillId="5" borderId="14" applyAlignment="1" pivotButton="0" quotePrefix="0" xfId="0">
      <alignment horizontal="center" vertical="center"/>
    </xf>
    <xf numFmtId="0" fontId="2" fillId="5" borderId="8" applyAlignment="1" pivotButton="0" quotePrefix="0" xfId="0">
      <alignment horizontal="center"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5" fillId="12" borderId="2" applyAlignment="1" pivotButton="0" quotePrefix="0" xfId="0">
      <alignment horizontal="center" vertical="center"/>
    </xf>
    <xf numFmtId="0" fontId="5" fillId="13" borderId="2" applyAlignment="1" pivotButton="0" quotePrefix="0" xfId="0">
      <alignment horizontal="center" vertical="center"/>
    </xf>
    <xf numFmtId="0" fontId="2" fillId="11" borderId="2" applyAlignment="1" pivotButton="0" quotePrefix="0" xfId="0">
      <alignment horizontal="center" vertical="center"/>
    </xf>
    <xf numFmtId="0" fontId="5" fillId="15" borderId="2" applyAlignment="1" pivotButton="0" quotePrefix="0" xfId="0">
      <alignment horizontal="center" vertical="center"/>
    </xf>
    <xf numFmtId="0" fontId="2" fillId="3" borderId="20" applyAlignment="1" pivotButton="0" quotePrefix="0" xfId="0">
      <alignment horizontal="center" vertical="center"/>
    </xf>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5" borderId="3"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6" borderId="3" applyAlignment="1" pivotButton="0" quotePrefix="0" xfId="0">
      <alignment horizontal="center" vertical="center"/>
    </xf>
    <xf numFmtId="0" fontId="2" fillId="6" borderId="4" applyAlignment="1" pivotButton="0" quotePrefix="0" xfId="0">
      <alignment horizontal="center" vertical="center"/>
    </xf>
    <xf numFmtId="0" fontId="2" fillId="6" borderId="5" applyAlignment="1" pivotButton="0" quotePrefix="0" xfId="0">
      <alignment horizontal="center" vertical="center"/>
    </xf>
    <xf numFmtId="0" fontId="2" fillId="8" borderId="3" applyAlignment="1" pivotButton="0" quotePrefix="0" xfId="0">
      <alignment horizontal="center" vertical="center"/>
    </xf>
    <xf numFmtId="0" fontId="2" fillId="8" borderId="5" applyAlignment="1" pivotButton="0" quotePrefix="0" xfId="0">
      <alignment horizontal="center" vertical="center"/>
    </xf>
    <xf numFmtId="0" fontId="2" fillId="3" borderId="22" applyAlignment="1" pivotButton="0" quotePrefix="0" xfId="0">
      <alignment horizontal="center" vertical="center"/>
    </xf>
    <xf numFmtId="0" fontId="2" fillId="3" borderId="13"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4" borderId="13" applyAlignment="1" pivotButton="0" quotePrefix="0" xfId="0">
      <alignment horizontal="center" vertical="center"/>
    </xf>
    <xf numFmtId="0" fontId="2" fillId="5" borderId="10"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5" borderId="21" applyAlignment="1" pivotButton="0" quotePrefix="0" xfId="0">
      <alignment horizontal="center" vertical="center"/>
    </xf>
    <xf numFmtId="0" fontId="2" fillId="5" borderId="12" applyAlignment="1" pivotButton="0" quotePrefix="0" xfId="0">
      <alignment horizontal="center" vertical="center"/>
    </xf>
    <xf numFmtId="0" fontId="5" fillId="16" borderId="1" applyAlignment="1" pivotButton="0" quotePrefix="0" xfId="0">
      <alignment horizontal="center" vertical="center"/>
    </xf>
    <xf numFmtId="0" fontId="9" fillId="9" borderId="15" applyAlignment="1" pivotButton="0" quotePrefix="0" xfId="0">
      <alignment horizontal="center" vertical="center"/>
    </xf>
    <xf numFmtId="0" fontId="10" fillId="10"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5" borderId="1" applyAlignment="1" pivotButton="0" quotePrefix="0" xfId="0">
      <alignment horizontal="center" vertical="center"/>
    </xf>
    <xf numFmtId="0" fontId="7" fillId="2" borderId="16" applyAlignment="1" pivotButton="0" quotePrefix="0" xfId="0">
      <alignment horizontal="center" vertical="center"/>
    </xf>
    <xf numFmtId="0" fontId="7" fillId="2" borderId="17" applyAlignment="1" pivotButton="0" quotePrefix="0" xfId="0">
      <alignment horizontal="center" vertical="center"/>
    </xf>
    <xf numFmtId="0" fontId="8" fillId="3" borderId="10" applyAlignment="1" pivotButton="0" quotePrefix="0" xfId="0">
      <alignment horizontal="center" vertical="center"/>
    </xf>
    <xf numFmtId="0" fontId="8" fillId="3" borderId="22" applyAlignment="1" pivotButton="0" quotePrefix="0" xfId="0">
      <alignment horizontal="center" vertical="center"/>
    </xf>
    <xf numFmtId="0" fontId="8" fillId="3" borderId="11" applyAlignment="1" pivotButton="0" quotePrefix="0" xfId="0">
      <alignment horizontal="center" vertical="center"/>
    </xf>
    <xf numFmtId="0" fontId="8" fillId="3" borderId="13" applyAlignment="1" pivotButton="0" quotePrefix="0" xfId="0">
      <alignment horizontal="center" vertical="center"/>
    </xf>
    <xf numFmtId="0" fontId="8" fillId="4" borderId="10" applyAlignment="1" pivotButton="0" quotePrefix="0" xfId="0">
      <alignment horizontal="center" vertical="center"/>
    </xf>
    <xf numFmtId="0" fontId="8" fillId="4" borderId="11" applyAlignment="1" pivotButton="0" quotePrefix="0" xfId="0">
      <alignment horizontal="center" vertical="center"/>
    </xf>
    <xf numFmtId="0" fontId="8" fillId="4" borderId="13" applyAlignment="1" pivotButton="0" quotePrefix="0" xfId="0">
      <alignment horizontal="center" vertical="center"/>
    </xf>
    <xf numFmtId="0" fontId="8" fillId="5" borderId="10" applyAlignment="1" pivotButton="0" quotePrefix="0" xfId="0">
      <alignment horizontal="center" vertical="center"/>
    </xf>
    <xf numFmtId="0" fontId="8" fillId="5" borderId="11" applyAlignment="1" pivotButton="0" quotePrefix="0" xfId="0">
      <alignment horizontal="center" vertical="center"/>
    </xf>
    <xf numFmtId="0" fontId="8" fillId="5" borderId="13" applyAlignment="1" pivotButton="0" quotePrefix="0" xfId="0">
      <alignment horizontal="center" vertical="center"/>
    </xf>
    <xf numFmtId="0" fontId="8" fillId="6" borderId="10" applyAlignment="1" pivotButton="0" quotePrefix="0" xfId="0">
      <alignment horizontal="center" vertical="center"/>
    </xf>
    <xf numFmtId="0" fontId="8" fillId="6" borderId="11" applyAlignment="1" pivotButton="0" quotePrefix="0" xfId="0">
      <alignment horizontal="center" vertical="center"/>
    </xf>
    <xf numFmtId="0" fontId="8" fillId="6" borderId="13" applyAlignment="1" pivotButton="0" quotePrefix="0" xfId="0">
      <alignment horizontal="center" vertical="center"/>
    </xf>
    <xf numFmtId="0" fontId="8" fillId="8" borderId="10" applyAlignment="1" pivotButton="0" quotePrefix="0" xfId="0">
      <alignment horizontal="center" vertical="center"/>
    </xf>
    <xf numFmtId="0" fontId="8" fillId="8" borderId="13" applyAlignment="1" pivotButton="0" quotePrefix="0" xfId="0">
      <alignment horizontal="center" vertical="center"/>
    </xf>
    <xf numFmtId="0" fontId="8" fillId="3" borderId="12" applyAlignment="1" pivotButton="0" quotePrefix="0" xfId="0">
      <alignment horizontal="center" vertical="center"/>
    </xf>
    <xf numFmtId="0" fontId="8" fillId="5" borderId="21" applyAlignment="1" pivotButton="0" quotePrefix="0" xfId="0">
      <alignment horizontal="center" vertical="center"/>
    </xf>
    <xf numFmtId="0" fontId="8" fillId="5" borderId="12" applyAlignment="1" pivotButton="0" quotePrefix="0" xfId="0">
      <alignment horizontal="center" vertical="center"/>
    </xf>
    <xf numFmtId="0" fontId="1" fillId="2" borderId="15" applyAlignment="1" pivotButton="0" quotePrefix="0" xfId="0">
      <alignment horizontal="center" vertical="center"/>
    </xf>
    <xf numFmtId="0" fontId="0" fillId="0" borderId="17" pivotButton="0" quotePrefix="0" xfId="0"/>
    <xf numFmtId="0" fontId="2" fillId="3" borderId="31" applyAlignment="1" pivotButton="0" quotePrefix="0" xfId="0">
      <alignment horizontal="center" vertical="center"/>
    </xf>
    <xf numFmtId="0" fontId="0" fillId="0" borderId="7" pivotButton="0" quotePrefix="0" xfId="0"/>
    <xf numFmtId="0" fontId="0" fillId="0" borderId="19" pivotButton="0" quotePrefix="0" xfId="0"/>
    <xf numFmtId="0" fontId="2" fillId="4" borderId="33" applyAlignment="1" pivotButton="0" quotePrefix="0" xfId="0">
      <alignment horizontal="center" vertical="center"/>
    </xf>
    <xf numFmtId="0" fontId="2" fillId="5" borderId="33" applyAlignment="1" pivotButton="0" quotePrefix="0" xfId="0">
      <alignment horizontal="center" vertical="center"/>
    </xf>
    <xf numFmtId="0" fontId="2" fillId="6" borderId="1" applyAlignment="1" pivotButton="0" quotePrefix="0" xfId="0">
      <alignment horizontal="center" vertical="center"/>
    </xf>
    <xf numFmtId="0" fontId="0" fillId="0" borderId="11" pivotButton="0" quotePrefix="0" xfId="0"/>
    <xf numFmtId="0" fontId="0" fillId="0" borderId="13" pivotButton="0" quotePrefix="0" xfId="0"/>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3" borderId="9" applyAlignment="1" pivotButton="0" quotePrefix="0" xfId="0">
      <alignment horizontal="center" vertical="center"/>
    </xf>
    <xf numFmtId="0" fontId="0" fillId="0" borderId="12" pivotButton="0" quotePrefix="0" xfId="0"/>
    <xf numFmtId="0" fontId="2" fillId="5" borderId="26" applyAlignment="1" pivotButton="0" quotePrefix="0" xfId="0">
      <alignment horizontal="center" vertical="center"/>
    </xf>
    <xf numFmtId="0" fontId="0" fillId="0" borderId="8" pivotButton="0" quotePrefix="0" xfId="0"/>
    <xf numFmtId="0" fontId="2" fillId="3" borderId="34" applyAlignment="1" pivotButton="0" quotePrefix="0" xfId="0">
      <alignment horizontal="center" vertical="center"/>
    </xf>
    <xf numFmtId="0" fontId="0" fillId="0" borderId="4" pivotButton="0" quotePrefix="0" xfId="0"/>
    <xf numFmtId="0" fontId="0" fillId="0" borderId="5" pivotButton="0" quotePrefix="0" xfId="0"/>
    <xf numFmtId="0" fontId="2" fillId="4" borderId="2" applyAlignment="1" pivotButton="0" quotePrefix="0" xfId="0">
      <alignment horizontal="center" vertical="center"/>
    </xf>
    <xf numFmtId="0" fontId="2" fillId="5" borderId="2" applyAlignment="1" pivotButton="0" quotePrefix="0" xfId="0">
      <alignment horizontal="center" vertical="center"/>
    </xf>
    <xf numFmtId="0" fontId="2" fillId="6" borderId="2" applyAlignment="1" pivotButton="0" quotePrefix="0" xfId="0">
      <alignment horizontal="center" vertical="center"/>
    </xf>
    <xf numFmtId="0" fontId="2" fillId="8" borderId="2" applyAlignment="1" pivotButton="0" quotePrefix="0" xfId="0">
      <alignment horizontal="center" vertical="center"/>
    </xf>
    <xf numFmtId="0" fontId="2" fillId="3" borderId="2" applyAlignment="1" pivotButton="0" quotePrefix="0" xfId="0">
      <alignment horizontal="center" vertical="center"/>
    </xf>
    <xf numFmtId="0" fontId="2" fillId="3" borderId="36"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35" applyAlignment="1" pivotButton="0" quotePrefix="0" xfId="0">
      <alignment horizontal="center" vertical="center"/>
    </xf>
    <xf numFmtId="0" fontId="7" fillId="2" borderId="15" applyAlignment="1" pivotButton="0" quotePrefix="0" xfId="0">
      <alignment horizontal="center" vertical="center"/>
    </xf>
    <xf numFmtId="0" fontId="8" fillId="3" borderId="36"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8" borderId="1" applyAlignment="1" pivotButton="0" quotePrefix="0" xfId="0">
      <alignment horizontal="center" vertical="center"/>
    </xf>
    <xf numFmtId="0" fontId="8" fillId="3" borderId="9" applyAlignment="1" pivotButton="0" quotePrefix="0" xfId="0">
      <alignment horizontal="center" vertical="center"/>
    </xf>
    <xf numFmtId="0" fontId="8" fillId="5" borderId="35" applyAlignment="1" pivotButton="0" quotePrefix="0" xfId="0">
      <alignment horizontal="center" vertical="center"/>
    </xf>
    <xf numFmtId="0" fontId="5" fillId="14" borderId="0" applyAlignment="1" pivotButton="0" quotePrefix="0" xfId="0">
      <alignment horizontal="center" vertical="center"/>
    </xf>
    <xf numFmtId="0" fontId="0" fillId="0" borderId="37" pivotButton="0" quotePrefix="0" xfId="0"/>
    <xf numFmtId="0" fontId="8" fillId="17" borderId="39" applyAlignment="1" pivotButton="0" quotePrefix="0" xfId="0">
      <alignment vertical="top" wrapText="1"/>
    </xf>
    <xf numFmtId="0" fontId="0" fillId="0" borderId="40" applyAlignment="1" pivotButton="0" quotePrefix="0" xfId="0">
      <alignment vertical="top" wrapText="1"/>
    </xf>
    <xf numFmtId="0" fontId="0" fillId="0" borderId="41" applyAlignment="1" pivotButton="0" quotePrefix="0" xfId="0">
      <alignment vertical="top" wrapText="1"/>
    </xf>
    <xf numFmtId="0" fontId="8" fillId="18" borderId="42" applyAlignment="1" pivotButton="0" quotePrefix="0" xfId="0">
      <alignment vertical="top" wrapText="1"/>
    </xf>
    <xf numFmtId="0" fontId="0" fillId="0" borderId="27" applyAlignment="1" pivotButton="0" quotePrefix="0" xfId="0">
      <alignment vertical="top" wrapText="1"/>
    </xf>
    <xf numFmtId="0" fontId="11" fillId="9" borderId="15" applyAlignment="1" pivotButton="0" quotePrefix="0" xfId="0">
      <alignment vertical="top" wrapText="1"/>
    </xf>
    <xf numFmtId="0" fontId="8" fillId="0" borderId="15" applyAlignment="1" pivotButton="0" quotePrefix="0" xfId="0">
      <alignment vertical="top" wrapText="1"/>
    </xf>
    <xf numFmtId="0" fontId="12" fillId="0" borderId="15" applyAlignment="1" pivotButton="0" quotePrefix="0" xfId="0">
      <alignment vertical="top" wrapText="1"/>
    </xf>
    <xf numFmtId="0" fontId="0" fillId="0" borderId="40" pivotButton="0" quotePrefix="0" xfId="0"/>
    <xf numFmtId="0" fontId="0" fillId="0" borderId="41" pivotButton="0" quotePrefix="0" xfId="0"/>
    <xf numFmtId="0" fontId="0" fillId="0" borderId="27" pivotButton="0" quotePrefix="0" xfId="0"/>
    <xf numFmtId="0" fontId="13" fillId="0" borderId="2" applyAlignment="1" pivotButton="0" quotePrefix="0" xfId="0">
      <alignment vertical="center"/>
    </xf>
    <xf numFmtId="0" fontId="5" fillId="0" borderId="2" applyAlignment="1" pivotButton="0" quotePrefix="0" xfId="0">
      <alignment vertical="center"/>
    </xf>
    <xf numFmtId="0" fontId="14" fillId="0" borderId="2" applyAlignment="1" pivotButton="0" quotePrefix="0" xfId="0">
      <alignment vertical="center"/>
    </xf>
    <xf numFmtId="0" fontId="15" fillId="0" borderId="2" applyAlignment="1" pivotButton="0" quotePrefix="0" xfId="0">
      <alignment horizontal="left" vertical="center"/>
    </xf>
    <xf numFmtId="0" fontId="15" fillId="0" borderId="2" applyAlignment="1" pivotButton="0" quotePrefix="0" xfId="0">
      <alignment vertical="center"/>
    </xf>
    <xf numFmtId="0" fontId="16" fillId="0" borderId="15" applyAlignment="1" pivotButton="0" quotePrefix="0" xfId="0">
      <alignment horizontal="center" vertical="center"/>
    </xf>
    <xf numFmtId="0" fontId="16" fillId="0" borderId="44" applyAlignment="1" pivotButton="0" quotePrefix="0" xfId="0">
      <alignment horizontal="center" vertical="center"/>
    </xf>
    <xf numFmtId="0" fontId="11" fillId="0" borderId="15" applyAlignment="1" pivotButton="0" quotePrefix="0" xfId="0">
      <alignment horizontal="center" vertical="center"/>
    </xf>
    <xf numFmtId="0" fontId="8" fillId="0" borderId="15" applyAlignment="1" pivotButton="0" quotePrefix="0" xfId="0">
      <alignment vertical="center"/>
    </xf>
    <xf numFmtId="0" fontId="8" fillId="0" borderId="44" applyAlignment="1" pivotButton="0" quotePrefix="0" xfId="0">
      <alignment vertical="center"/>
    </xf>
    <xf numFmtId="0" fontId="0" fillId="0" borderId="44" pivotButton="0" quotePrefix="0" xfId="0"/>
    <xf numFmtId="0" fontId="17" fillId="0" borderId="44" applyAlignment="1" pivotButton="0" quotePrefix="0" xfId="0">
      <alignment horizontal="center" vertical="center"/>
    </xf>
    <xf numFmtId="0" fontId="0" fillId="0" borderId="46" pivotButton="0" quotePrefix="0" xfId="0"/>
    <xf numFmtId="0" fontId="0" fillId="0" borderId="47" pivotButton="0" quotePrefix="0" xfId="0"/>
    <xf numFmtId="0" fontId="18" fillId="0" borderId="0" pivotButton="0" quotePrefix="0" xfId="0"/>
    <xf numFmtId="0" fontId="8" fillId="0" borderId="48" applyAlignment="1" pivotButton="0" quotePrefix="0" xfId="0">
      <alignment vertical="center"/>
    </xf>
    <xf numFmtId="0" fontId="0" fillId="0" borderId="48" pivotButton="0" quotePrefix="0" xfId="0"/>
    <xf numFmtId="0" fontId="16" fillId="0" borderId="48" applyAlignment="1" pivotButton="0" quotePrefix="0" xfId="0">
      <alignment horizontal="center" vertical="center"/>
    </xf>
    <xf numFmtId="0" fontId="19" fillId="2" borderId="15" applyAlignment="1" pivotButton="0" quotePrefix="0" xfId="0">
      <alignment horizontal="center" vertical="center"/>
    </xf>
    <xf numFmtId="0" fontId="20" fillId="3" borderId="31" applyAlignment="1" pivotButton="0" quotePrefix="0" xfId="0">
      <alignment horizontal="center" vertical="center"/>
    </xf>
    <xf numFmtId="0" fontId="20" fillId="4" borderId="33" applyAlignment="1" pivotButton="0" quotePrefix="0" xfId="0">
      <alignment horizontal="center" vertical="center"/>
    </xf>
    <xf numFmtId="0" fontId="20" fillId="5" borderId="33" applyAlignment="1" pivotButton="0" quotePrefix="0" xfId="0">
      <alignment horizontal="center" vertical="center"/>
    </xf>
    <xf numFmtId="0" fontId="20" fillId="6" borderId="1" applyAlignment="1" pivotButton="0" quotePrefix="0" xfId="0">
      <alignment horizontal="center" vertical="center"/>
    </xf>
    <xf numFmtId="0" fontId="20" fillId="7" borderId="1" applyAlignment="1" pivotButton="0" quotePrefix="0" xfId="0">
      <alignment horizontal="center" vertical="center"/>
    </xf>
    <xf numFmtId="0" fontId="20" fillId="8" borderId="1" applyAlignment="1" pivotButton="0" quotePrefix="0" xfId="0">
      <alignment horizontal="center" vertical="center"/>
    </xf>
    <xf numFmtId="0" fontId="20" fillId="3" borderId="9" applyAlignment="1" pivotButton="0" quotePrefix="0" xfId="0">
      <alignment horizontal="center" vertical="center"/>
    </xf>
    <xf numFmtId="0" fontId="20" fillId="5" borderId="26" applyAlignment="1" pivotButton="0" quotePrefix="0" xfId="0">
      <alignment horizontal="center" vertical="center"/>
    </xf>
    <xf numFmtId="0" fontId="21" fillId="9" borderId="15" applyAlignment="1" pivotButton="0" quotePrefix="0" xfId="0">
      <alignment horizontal="center" vertical="center"/>
    </xf>
    <xf numFmtId="0" fontId="22" fillId="9" borderId="15" applyAlignment="1" pivotButton="0" quotePrefix="0" xfId="0">
      <alignment horizontal="center" vertical="center"/>
    </xf>
    <xf numFmtId="0" fontId="23" fillId="10" borderId="1" applyAlignment="1" pivotButton="0" quotePrefix="0" xfId="0">
      <alignment horizontal="center" vertical="center"/>
    </xf>
    <xf numFmtId="0" fontId="23" fillId="11" borderId="1" applyAlignment="1" pivotButton="0" quotePrefix="0" xfId="0">
      <alignment horizontal="center" vertical="center"/>
    </xf>
    <xf numFmtId="0" fontId="23" fillId="12" borderId="1" applyAlignment="1" pivotButton="0" quotePrefix="0" xfId="0">
      <alignment horizontal="center" vertical="center"/>
    </xf>
    <xf numFmtId="0" fontId="23" fillId="13" borderId="1" applyAlignment="1" pivotButton="0" quotePrefix="0" xfId="0">
      <alignment horizontal="center" vertical="center"/>
    </xf>
    <xf numFmtId="0" fontId="23" fillId="14" borderId="1" applyAlignment="1" pivotButton="0" quotePrefix="0" xfId="0">
      <alignment horizontal="center" vertical="center"/>
    </xf>
    <xf numFmtId="0" fontId="23" fillId="15" borderId="1" applyAlignment="1" pivotButton="0" quotePrefix="0" xfId="0">
      <alignment horizontal="center" vertical="center"/>
    </xf>
    <xf numFmtId="0" fontId="23" fillId="10" borderId="9" applyAlignment="1" pivotButton="0" quotePrefix="0" xfId="0">
      <alignment horizontal="center" vertical="center"/>
    </xf>
    <xf numFmtId="0" fontId="20" fillId="17" borderId="39" applyAlignment="1" pivotButton="0" quotePrefix="0" xfId="0">
      <alignment vertical="top" wrapText="1"/>
    </xf>
    <xf numFmtId="0" fontId="20" fillId="18" borderId="42" applyAlignment="1" pivotButton="0" quotePrefix="0" xfId="0">
      <alignment vertical="top" wrapText="1"/>
    </xf>
    <xf numFmtId="0" fontId="21" fillId="9" borderId="15" applyAlignment="1" pivotButton="0" quotePrefix="0" xfId="0">
      <alignment vertical="top" wrapText="1"/>
    </xf>
    <xf numFmtId="0" fontId="20" fillId="0" borderId="15" applyAlignment="1" pivotButton="0" quotePrefix="0" xfId="0">
      <alignment vertical="top" wrapText="1"/>
    </xf>
    <xf numFmtId="0" fontId="24" fillId="0" borderId="15" applyAlignment="1" pivotButton="0" quotePrefix="0" xfId="0">
      <alignment vertical="top" wrapText="1"/>
    </xf>
    <xf numFmtId="0" fontId="20" fillId="3" borderId="34" applyAlignment="1" pivotButton="0" quotePrefix="0" xfId="0">
      <alignment horizontal="center" vertical="center"/>
    </xf>
    <xf numFmtId="0" fontId="20" fillId="4" borderId="2" applyAlignment="1" pivotButton="0" quotePrefix="0" xfId="0">
      <alignment horizontal="center" vertical="center"/>
    </xf>
    <xf numFmtId="0" fontId="20" fillId="5" borderId="2" applyAlignment="1" pivotButton="0" quotePrefix="0" xfId="0">
      <alignment horizontal="center" vertical="center"/>
    </xf>
    <xf numFmtId="0" fontId="20" fillId="6" borderId="2" applyAlignment="1" pivotButton="0" quotePrefix="0" xfId="0">
      <alignment horizontal="center" vertical="center"/>
    </xf>
    <xf numFmtId="0" fontId="20" fillId="8" borderId="2" applyAlignment="1" pivotButton="0" quotePrefix="0" xfId="0">
      <alignment horizontal="center" vertical="center"/>
    </xf>
    <xf numFmtId="0" fontId="20" fillId="3" borderId="2" applyAlignment="1" pivotButton="0" quotePrefix="0" xfId="0">
      <alignment horizontal="center" vertical="center"/>
    </xf>
    <xf numFmtId="0" fontId="23" fillId="10" borderId="2" applyAlignment="1" pivotButton="0" quotePrefix="0" xfId="0">
      <alignment horizontal="center" vertical="center"/>
    </xf>
    <xf numFmtId="0" fontId="23" fillId="11" borderId="2" applyAlignment="1" pivotButton="0" quotePrefix="0" xfId="0">
      <alignment horizontal="center" vertical="center"/>
    </xf>
    <xf numFmtId="0" fontId="23" fillId="12" borderId="2" applyAlignment="1" pivotButton="0" quotePrefix="0" xfId="0">
      <alignment horizontal="center" vertical="center"/>
    </xf>
    <xf numFmtId="0" fontId="23" fillId="13" borderId="2" applyAlignment="1" pivotButton="0" quotePrefix="0" xfId="0">
      <alignment horizontal="center" vertical="center"/>
    </xf>
    <xf numFmtId="0" fontId="20" fillId="11" borderId="2" applyAlignment="1" pivotButton="0" quotePrefix="0" xfId="0">
      <alignment horizontal="center" vertical="center"/>
    </xf>
    <xf numFmtId="0" fontId="23" fillId="15" borderId="2" applyAlignment="1" pivotButton="0" quotePrefix="0" xfId="0">
      <alignment horizontal="center" vertical="center"/>
    </xf>
    <xf numFmtId="0" fontId="20" fillId="3" borderId="36" applyAlignment="1" pivotButton="0" quotePrefix="0" xfId="0">
      <alignment horizontal="center" vertical="center"/>
    </xf>
    <xf numFmtId="0" fontId="20" fillId="4" borderId="1" applyAlignment="1" pivotButton="0" quotePrefix="0" xfId="0">
      <alignment horizontal="center" vertical="center"/>
    </xf>
    <xf numFmtId="0" fontId="20" fillId="5" borderId="1" applyAlignment="1" pivotButton="0" quotePrefix="0" xfId="0">
      <alignment horizontal="center" vertical="center"/>
    </xf>
    <xf numFmtId="0" fontId="20" fillId="5" borderId="35" applyAlignment="1" pivotButton="0" quotePrefix="0" xfId="0">
      <alignment horizontal="center" vertical="center"/>
    </xf>
    <xf numFmtId="0" fontId="25" fillId="0" borderId="37" pivotButton="0" quotePrefix="0" xfId="0"/>
    <xf numFmtId="0" fontId="25" fillId="0" borderId="12" pivotButton="0" quotePrefix="0" xfId="0"/>
    <xf numFmtId="0" fontId="25" fillId="0" borderId="11" pivotButton="0" quotePrefix="0" xfId="0"/>
    <xf numFmtId="0" fontId="23" fillId="14" borderId="0" applyAlignment="1" pivotButton="0" quotePrefix="0" xfId="0">
      <alignment horizontal="center" vertical="center"/>
    </xf>
    <xf numFmtId="0" fontId="23" fillId="16" borderId="1" applyAlignment="1" pivotButton="0" quotePrefix="0" xfId="0">
      <alignment horizontal="center" vertical="center"/>
    </xf>
    <xf numFmtId="0" fontId="26" fillId="0" borderId="2" applyAlignment="1" pivotButton="0" quotePrefix="0" xfId="0">
      <alignment vertical="center"/>
    </xf>
    <xf numFmtId="0" fontId="23" fillId="0" borderId="2" applyAlignment="1" pivotButton="0" quotePrefix="0" xfId="0">
      <alignment vertical="center"/>
    </xf>
    <xf numFmtId="0" fontId="25" fillId="0" borderId="0" pivotButton="0" quotePrefix="0" xfId="0"/>
    <xf numFmtId="0" fontId="27" fillId="0" borderId="2" applyAlignment="1" pivotButton="0" quotePrefix="0" xfId="0">
      <alignment vertical="center"/>
    </xf>
    <xf numFmtId="0" fontId="28" fillId="0" borderId="2" applyAlignment="1" pivotButton="0" quotePrefix="0" xfId="0">
      <alignment horizontal="left" vertical="center"/>
    </xf>
    <xf numFmtId="0" fontId="28" fillId="0" borderId="2" applyAlignment="1" pivotButton="0" quotePrefix="0" xfId="0">
      <alignment vertical="center"/>
    </xf>
    <xf numFmtId="0" fontId="29" fillId="0" borderId="15" applyAlignment="1" pivotButton="0" quotePrefix="0" xfId="0">
      <alignment horizontal="center" vertical="center"/>
    </xf>
    <xf numFmtId="0" fontId="29" fillId="0" borderId="44" applyAlignment="1" pivotButton="0" quotePrefix="0" xfId="0">
      <alignment horizontal="center" vertical="center"/>
    </xf>
    <xf numFmtId="0" fontId="21" fillId="0" borderId="15" applyAlignment="1" pivotButton="0" quotePrefix="0" xfId="0">
      <alignment horizontal="center" vertical="center"/>
    </xf>
    <xf numFmtId="0" fontId="20" fillId="0" borderId="15" applyAlignment="1" pivotButton="0" quotePrefix="0" xfId="0">
      <alignment vertical="center"/>
    </xf>
    <xf numFmtId="0" fontId="20" fillId="0" borderId="44" applyAlignment="1" pivotButton="0" quotePrefix="0" xfId="0">
      <alignment vertical="center"/>
    </xf>
    <xf numFmtId="0" fontId="25" fillId="0" borderId="44" pivotButton="0" quotePrefix="0" xfId="0"/>
    <xf numFmtId="0" fontId="30" fillId="0" borderId="44" applyAlignment="1" pivotButton="0" quotePrefix="0" xfId="0">
      <alignment horizontal="center" vertical="center"/>
    </xf>
    <xf numFmtId="0" fontId="20" fillId="0" borderId="48" applyAlignment="1" pivotButton="0" quotePrefix="0" xfId="0">
      <alignment vertical="center"/>
    </xf>
    <xf numFmtId="0" fontId="25" fillId="0" borderId="48" pivotButton="0" quotePrefix="0" xfId="0"/>
    <xf numFmtId="0" fontId="31" fillId="0" borderId="0" pivotButton="0" quotePrefix="0" xfId="0"/>
    <xf numFmtId="0" fontId="29" fillId="0" borderId="48" applyAlignment="1" pivotButton="0" quotePrefix="0" xfId="0">
      <alignment horizontal="center" vertical="center"/>
    </xf>
    <xf numFmtId="0" fontId="32" fillId="0" borderId="15" applyAlignment="1" pivotButton="0" quotePrefix="0" xfId="0">
      <alignment horizontal="center" vertical="center"/>
    </xf>
    <xf numFmtId="0" fontId="33" fillId="0" borderId="0" applyAlignment="1" pivotButton="0" quotePrefix="0" xfId="0">
      <alignment horizontal="center" vertical="center"/>
    </xf>
    <xf numFmtId="0" fontId="20" fillId="0" borderId="0" applyAlignment="1" pivotButton="0" quotePrefix="0" xfId="0">
      <alignment vertical="center"/>
    </xf>
    <xf numFmtId="0" fontId="29" fillId="0" borderId="0" applyAlignment="1" pivotButton="0" quotePrefix="0" xfId="0">
      <alignment horizontal="center" vertical="center"/>
    </xf>
    <xf numFmtId="0" fontId="34" fillId="0" borderId="15" applyAlignment="1" pivotButton="0" quotePrefix="0" xfId="0">
      <alignment horizontal="center" vertical="center"/>
    </xf>
    <xf numFmtId="0" fontId="34" fillId="0" borderId="44" applyAlignment="1" pivotButton="0" quotePrefix="0" xfId="0">
      <alignment horizontal="center" vertical="center"/>
    </xf>
    <xf numFmtId="0" fontId="35" fillId="0" borderId="44" applyAlignment="1" pivotButton="0" quotePrefix="0" xfId="0">
      <alignment horizontal="center" vertical="center"/>
    </xf>
    <xf numFmtId="0" fontId="34" fillId="0" borderId="0" applyAlignment="1" pivotButton="0" quotePrefix="0" xfId="0">
      <alignment horizontal="center" vertical="center"/>
    </xf>
    <xf numFmtId="0" fontId="0" fillId="0" borderId="51" pivotButton="0" quotePrefix="0" xfId="0"/>
    <xf numFmtId="0" fontId="0" fillId="0" borderId="52" pivotButton="0" quotePrefix="0" xfId="0"/>
    <xf numFmtId="0" fontId="36" fillId="19" borderId="53" pivotButton="0" quotePrefix="0" xfId="0"/>
    <xf numFmtId="0" fontId="4" fillId="0" borderId="53" applyAlignment="1" pivotButton="0" quotePrefix="0" xfId="0">
      <alignment vertical="center"/>
    </xf>
    <xf numFmtId="0" fontId="37" fillId="0" borderId="53" applyAlignment="1" pivotButton="0" quotePrefix="0" xfId="0">
      <alignment vertical="center"/>
    </xf>
    <xf numFmtId="0" fontId="5" fillId="0" borderId="53" applyAlignment="1" pivotButton="0" quotePrefix="0" xfId="0">
      <alignment vertical="center"/>
    </xf>
    <xf numFmtId="0" fontId="4" fillId="0" borderId="53" pivotButton="0" quotePrefix="0" xfId="0"/>
    <xf numFmtId="0" fontId="38" fillId="0" borderId="53" pivotButton="0" quotePrefix="0" xfId="0"/>
    <xf numFmtId="0" fontId="9" fillId="0" borderId="15" applyAlignment="1" pivotButton="0" quotePrefix="0" xfId="0">
      <alignment horizontal="left" vertical="center" wrapText="1"/>
    </xf>
    <xf numFmtId="0" fontId="0" fillId="0" borderId="54" pivotButton="0" quotePrefix="0" xfId="0"/>
    <xf numFmtId="0" fontId="38" fillId="0" borderId="55" pivotButton="0" quotePrefix="0" xfId="0"/>
    <xf numFmtId="0" fontId="0" fillId="0" borderId="56" pivotButton="0" quotePrefix="0" xfId="0"/>
    <xf numFmtId="0" fontId="3" fillId="0" borderId="15" applyAlignment="1" pivotButton="0" quotePrefix="0" xfId="0">
      <alignment horizontal="center"/>
    </xf>
    <xf numFmtId="0" fontId="3" fillId="5" borderId="15" applyAlignment="1" pivotButton="0" quotePrefix="0" xfId="0">
      <alignment horizontal="left"/>
    </xf>
    <xf numFmtId="0" fontId="4" fillId="0" borderId="15" pivotButton="0" quotePrefix="0" xfId="0"/>
    <xf numFmtId="0" fontId="11" fillId="20" borderId="15" applyAlignment="1" pivotButton="0" quotePrefix="0" xfId="0">
      <alignment horizontal="left"/>
    </xf>
    <xf numFmtId="0" fontId="3" fillId="21" borderId="15" applyAlignment="1" pivotButton="0" quotePrefix="0" xfId="0">
      <alignment horizontal="left"/>
    </xf>
    <xf numFmtId="0" fontId="3" fillId="22" borderId="15" applyAlignment="1" pivotButton="0" quotePrefix="0" xfId="0">
      <alignment horizontal="left"/>
    </xf>
    <xf numFmtId="0" fontId="3" fillId="20" borderId="15" applyAlignment="1" pivotButton="0" quotePrefix="0" xfId="0">
      <alignment horizontal="left"/>
    </xf>
    <xf numFmtId="0" fontId="3" fillId="23" borderId="15" applyAlignment="1" pivotButton="0" quotePrefix="0" xfId="0">
      <alignment horizontal="left"/>
    </xf>
    <xf numFmtId="0" fontId="3" fillId="24" borderId="15" applyAlignment="1" pivotButton="0" quotePrefix="0" xfId="0">
      <alignment horizontal="left"/>
    </xf>
    <xf numFmtId="0" fontId="3" fillId="0" borderId="15" applyAlignment="1" pivotButton="0" quotePrefix="0" xfId="0">
      <alignment horizontal="left"/>
    </xf>
    <xf numFmtId="0" fontId="4" fillId="0" borderId="15" applyAlignment="1" pivotButton="0" quotePrefix="0" xfId="0">
      <alignment horizontal="left"/>
    </xf>
    <xf numFmtId="0" fontId="11" fillId="0" borderId="53" pivotButton="0" quotePrefix="0" xfId="0"/>
    <xf numFmtId="0" fontId="39" fillId="0" borderId="53" pivotButton="0" quotePrefix="0" xfId="0"/>
    <xf numFmtId="0" fontId="40" fillId="0" borderId="53" applyAlignment="1" pivotButton="0" quotePrefix="0" xfId="0">
      <alignment horizontal="left" vertical="center" wrapText="1"/>
    </xf>
    <xf numFmtId="0" fontId="41" fillId="0" borderId="53" applyAlignment="1" pivotButton="0" quotePrefix="0" xfId="0">
      <alignment vertical="center" wrapText="1"/>
    </xf>
    <xf numFmtId="0" fontId="42" fillId="0" borderId="53" applyAlignment="1" pivotButton="0" quotePrefix="0" xfId="0">
      <alignment horizontal="center" vertical="center" wrapText="1"/>
    </xf>
    <xf numFmtId="0" fontId="43" fillId="0" borderId="53" applyAlignment="1" pivotButton="0" quotePrefix="0" xfId="0">
      <alignment horizontal="center" vertical="center" wrapText="1"/>
    </xf>
    <xf numFmtId="0" fontId="44" fillId="0" borderId="53" applyAlignment="1" pivotButton="0" quotePrefix="0" xfId="0">
      <alignment horizontal="center" vertical="center" wrapText="1"/>
    </xf>
    <xf numFmtId="0" fontId="43" fillId="0" borderId="53" applyAlignment="1" pivotButton="0" quotePrefix="0" xfId="0">
      <alignment vertical="center" wrapText="1"/>
    </xf>
    <xf numFmtId="0" fontId="44" fillId="0" borderId="53" applyAlignment="1" pivotButton="0" quotePrefix="0" xfId="0">
      <alignment vertical="center" wrapText="1"/>
    </xf>
    <xf numFmtId="0" fontId="40" fillId="0" borderId="53" applyAlignment="1" pivotButton="0" quotePrefix="0" xfId="0">
      <alignment vertical="center" wrapText="1"/>
    </xf>
    <xf numFmtId="0" fontId="41" fillId="0" borderId="53" applyAlignment="1" pivotButton="0" quotePrefix="0" xfId="0">
      <alignment vertical="center"/>
    </xf>
    <xf numFmtId="0" fontId="40" fillId="0" borderId="44" applyAlignment="1" pivotButton="0" quotePrefix="0" xfId="0">
      <alignment horizontal="center" vertical="center" wrapText="1"/>
    </xf>
    <xf numFmtId="0" fontId="10" fillId="0" borderId="5" applyAlignment="1" pivotButton="0" quotePrefix="0" xfId="0">
      <alignment vertical="center" wrapText="1"/>
    </xf>
    <xf numFmtId="0" fontId="10" fillId="0" borderId="53" applyAlignment="1" pivotButton="0" quotePrefix="0" xfId="0">
      <alignment vertical="center" wrapText="1"/>
    </xf>
    <xf numFmtId="0" fontId="41" fillId="11" borderId="44" applyAlignment="1" pivotButton="0" quotePrefix="0" xfId="0">
      <alignment horizontal="center" vertical="center" wrapText="1"/>
    </xf>
    <xf numFmtId="0" fontId="41" fillId="11" borderId="44" applyAlignment="1" pivotButton="0" quotePrefix="0" xfId="0">
      <alignment vertical="center" wrapText="1"/>
    </xf>
    <xf numFmtId="0" fontId="0" fillId="0" borderId="57" pivotButton="0" quotePrefix="0" xfId="0"/>
    <xf numFmtId="0" fontId="0" fillId="0" borderId="58" pivotButton="0" quotePrefix="0" xfId="0"/>
    <xf numFmtId="0" fontId="41" fillId="13" borderId="44" applyAlignment="1" pivotButton="0" quotePrefix="0" xfId="0">
      <alignment horizontal="center" vertical="center" wrapText="1"/>
    </xf>
    <xf numFmtId="0" fontId="41" fillId="13" borderId="44" applyAlignment="1" pivotButton="0" quotePrefix="0" xfId="0">
      <alignment vertical="center" wrapText="1"/>
    </xf>
    <xf numFmtId="0" fontId="41" fillId="16" borderId="44" applyAlignment="1" pivotButton="0" quotePrefix="0" xfId="0">
      <alignment horizontal="center" vertical="center" wrapText="1"/>
    </xf>
    <xf numFmtId="0" fontId="41" fillId="16" borderId="44" applyAlignment="1" pivotButton="0" quotePrefix="0" xfId="0">
      <alignment vertical="center" wrapText="1"/>
    </xf>
    <xf numFmtId="0" fontId="41" fillId="25" borderId="44" applyAlignment="1" pivotButton="0" quotePrefix="0" xfId="0">
      <alignment horizontal="center" vertical="center" wrapText="1"/>
    </xf>
    <xf numFmtId="0" fontId="41" fillId="25" borderId="44" applyAlignment="1" pivotButton="0" quotePrefix="0" xfId="0">
      <alignment vertical="center" wrapText="1"/>
    </xf>
    <xf numFmtId="0" fontId="41" fillId="26" borderId="44" applyAlignment="1" pivotButton="0" quotePrefix="0" xfId="0">
      <alignment horizontal="center" vertical="center" wrapText="1"/>
    </xf>
    <xf numFmtId="0" fontId="41" fillId="26" borderId="44" applyAlignment="1" pivotButton="0" quotePrefix="0" xfId="0">
      <alignment vertical="center" wrapText="1"/>
    </xf>
    <xf numFmtId="0" fontId="10" fillId="0" borderId="59" applyAlignment="1" pivotButton="0" quotePrefix="0" xfId="0">
      <alignment vertical="center" wrapText="1"/>
    </xf>
    <xf numFmtId="0" fontId="10" fillId="0" borderId="53" applyAlignment="1" pivotButton="0" quotePrefix="0" xfId="0">
      <alignment wrapText="1"/>
    </xf>
    <xf numFmtId="0" fontId="40" fillId="0" borderId="15" applyAlignment="1" pivotButton="0" quotePrefix="0" xfId="0">
      <alignment horizontal="center" vertical="center"/>
    </xf>
    <xf numFmtId="0" fontId="10" fillId="0" borderId="53" applyAlignment="1" pivotButton="0" quotePrefix="0" xfId="0">
      <alignment vertical="center"/>
    </xf>
    <xf numFmtId="0" fontId="45" fillId="13" borderId="15" applyAlignment="1" pivotButton="0" quotePrefix="0" xfId="0">
      <alignment horizontal="left" vertical="center"/>
    </xf>
    <xf numFmtId="0" fontId="40" fillId="0" borderId="15" applyAlignment="1" pivotButton="0" quotePrefix="0" xfId="0">
      <alignment horizontal="left" vertical="center"/>
    </xf>
    <xf numFmtId="0" fontId="41" fillId="0" borderId="15" applyAlignment="1" pivotButton="0" quotePrefix="0" xfId="0">
      <alignment horizontal="left" vertical="center"/>
    </xf>
    <xf numFmtId="0" fontId="41" fillId="0" borderId="15" applyAlignment="1" pivotButton="0" quotePrefix="0" xfId="0">
      <alignment vertical="center"/>
    </xf>
    <xf numFmtId="0" fontId="44" fillId="0" borderId="15" applyAlignment="1" pivotButton="0" quotePrefix="0" xfId="0">
      <alignment vertical="center"/>
    </xf>
    <xf numFmtId="0" fontId="10" fillId="0" borderId="53" applyAlignment="1" pivotButton="0" quotePrefix="0" xfId="0">
      <alignment horizontal="center" vertical="center"/>
    </xf>
    <xf numFmtId="0" fontId="10" fillId="0" borderId="53" applyAlignment="1" pivotButton="0" quotePrefix="0" xfId="0">
      <alignment horizontal="left" vertical="center"/>
    </xf>
    <xf numFmtId="0" fontId="41" fillId="0" borderId="15" applyAlignment="1" pivotButton="0" quotePrefix="0" xfId="0">
      <alignment horizontal="center" vertical="center"/>
    </xf>
    <xf numFmtId="0" fontId="8" fillId="27" borderId="53" applyAlignment="1" pivotButton="0" quotePrefix="0" xfId="0">
      <alignment horizontal="center" vertical="center"/>
    </xf>
    <xf numFmtId="0" fontId="8" fillId="0" borderId="53" pivotButton="0" quotePrefix="0" xfId="0"/>
    <xf numFmtId="0" fontId="8" fillId="0" borderId="53" applyAlignment="1" pivotButton="0" quotePrefix="0" xfId="0">
      <alignment vertical="center"/>
    </xf>
    <xf numFmtId="14" fontId="8" fillId="0" borderId="53" applyAlignment="1" pivotButton="0" quotePrefix="0" xfId="0">
      <alignment horizontal="center"/>
    </xf>
    <xf numFmtId="0" fontId="46" fillId="0" borderId="53" applyAlignment="1" pivotButton="0" quotePrefix="0" xfId="0">
      <alignment vertical="center"/>
    </xf>
    <xf numFmtId="0" fontId="12" fillId="19" borderId="53" applyAlignment="1" pivotButton="0" quotePrefix="0" xfId="0">
      <alignment vertical="center"/>
    </xf>
    <xf numFmtId="14" fontId="8" fillId="0" borderId="53" pivotButton="0" quotePrefix="0" xfId="0"/>
    <xf numFmtId="14" fontId="47" fillId="0" borderId="53" applyAlignment="1" pivotButton="0" quotePrefix="0" xfId="0">
      <alignment horizontal="center" vertical="center"/>
    </xf>
    <xf numFmtId="0" fontId="47" fillId="0" borderId="53" applyAlignment="1" pivotButton="0" quotePrefix="0" xfId="0">
      <alignment vertical="center"/>
    </xf>
    <xf numFmtId="0" fontId="12" fillId="0" borderId="53" applyAlignment="1" pivotButton="0" quotePrefix="0" xfId="0">
      <alignment vertical="center"/>
    </xf>
    <xf numFmtId="0" fontId="8" fillId="0" borderId="53" applyAlignment="1" pivotButton="0" quotePrefix="0" xfId="0">
      <alignment horizontal="left" vertical="center"/>
    </xf>
    <xf numFmtId="14" fontId="8" fillId="0" borderId="53" applyAlignment="1" pivotButton="0" quotePrefix="0" xfId="0">
      <alignment vertical="center"/>
    </xf>
    <xf numFmtId="0" fontId="10" fillId="0" borderId="53" pivotButton="0" quotePrefix="0" xfId="0"/>
    <xf numFmtId="14" fontId="10" fillId="0" borderId="53" applyAlignment="1" pivotButton="0" quotePrefix="0" xfId="0">
      <alignment horizontal="center"/>
    </xf>
    <xf numFmtId="0" fontId="48" fillId="19" borderId="53" applyAlignment="1" pivotButton="0" quotePrefix="0" xfId="0">
      <alignment vertical="center"/>
    </xf>
    <xf numFmtId="14" fontId="10" fillId="0" borderId="53" pivotButton="0" quotePrefix="0" xfId="0"/>
    <xf numFmtId="14" fontId="46" fillId="0" borderId="53" applyAlignment="1" pivotButton="0" quotePrefix="0" xfId="0">
      <alignment horizontal="center" vertical="center"/>
    </xf>
    <xf numFmtId="0" fontId="48" fillId="0" borderId="53" applyAlignment="1" pivotButton="0" quotePrefix="0" xfId="0">
      <alignment vertical="center"/>
    </xf>
    <xf numFmtId="14" fontId="10" fillId="0" borderId="53" applyAlignment="1" pivotButton="0" quotePrefix="0" xfId="0">
      <alignment vertical="center"/>
    </xf>
    <xf numFmtId="0" fontId="0" fillId="0" borderId="64" pivotButton="0" quotePrefix="0" xfId="0"/>
    <xf numFmtId="0" fontId="49" fillId="0" borderId="63" applyAlignment="1" pivotButton="0" quotePrefix="0" xfId="0">
      <alignment vertical="center" wrapText="1"/>
    </xf>
    <xf numFmtId="0" fontId="50" fillId="0" borderId="63" applyAlignment="1" pivotButton="0" quotePrefix="0" xfId="0">
      <alignment horizontal="center" vertical="center" wrapText="1"/>
    </xf>
    <xf numFmtId="0" fontId="51" fillId="0" borderId="63" applyAlignment="1" pivotButton="0" quotePrefix="0" xfId="0">
      <alignment vertical="center" wrapText="1"/>
    </xf>
    <xf numFmtId="0" fontId="57" fillId="29" borderId="39" applyAlignment="1" pivotButton="0" quotePrefix="0" xfId="0">
      <alignment vertical="top" wrapText="1"/>
    </xf>
    <xf numFmtId="0" fontId="57" fillId="29" borderId="42" applyAlignment="1" pivotButton="0" quotePrefix="0" xfId="0">
      <alignment vertical="top" wrapText="1"/>
    </xf>
    <xf numFmtId="0" fontId="21" fillId="35" borderId="15" applyAlignment="1" pivotButton="0" quotePrefix="0" xfId="0">
      <alignment vertical="top" wrapText="1"/>
    </xf>
    <xf numFmtId="0" fontId="52" fillId="19" borderId="53" pivotButton="0" quotePrefix="0" xfId="0"/>
    <xf numFmtId="0" fontId="53" fillId="0" borderId="53" applyAlignment="1" pivotButton="0" quotePrefix="0" xfId="0">
      <alignment vertical="center"/>
    </xf>
    <xf numFmtId="0" fontId="3" fillId="28" borderId="15" applyAlignment="1" pivotButton="0" quotePrefix="0" xfId="0">
      <alignment horizontal="left"/>
    </xf>
    <xf numFmtId="0" fontId="11" fillId="28" borderId="15" applyAlignment="1" pivotButton="0" quotePrefix="0" xfId="0">
      <alignment horizontal="left"/>
    </xf>
    <xf numFmtId="0" fontId="55" fillId="29" borderId="15" applyAlignment="1" pivotButton="0" quotePrefix="0" xfId="0">
      <alignment horizontal="left"/>
    </xf>
    <xf numFmtId="0" fontId="3" fillId="30" borderId="15" applyAlignment="1" pivotButton="0" quotePrefix="0" xfId="0">
      <alignment horizontal="left"/>
    </xf>
    <xf numFmtId="0" fontId="3" fillId="31" borderId="15" applyAlignment="1" pivotButton="0" quotePrefix="0" xfId="0">
      <alignment horizontal="left"/>
    </xf>
    <xf numFmtId="0" fontId="3" fillId="32" borderId="15" applyAlignment="1" pivotButton="0" quotePrefix="0" xfId="0">
      <alignment horizontal="left"/>
    </xf>
    <xf numFmtId="0" fontId="3" fillId="33" borderId="15" applyAlignment="1" pivotButton="0" quotePrefix="0" xfId="0">
      <alignment horizontal="left"/>
    </xf>
    <xf numFmtId="0" fontId="3" fillId="34" borderId="15" applyAlignment="1" pivotButton="0" quotePrefix="0" xfId="0">
      <alignment horizontal="left"/>
    </xf>
    <xf numFmtId="0" fontId="54" fillId="0" borderId="15" pivotButton="0" quotePrefix="0" xfId="0"/>
    <xf numFmtId="0" fontId="56" fillId="0" borderId="53" applyAlignment="1" pivotButton="0" quotePrefix="0" xfId="0">
      <alignment horizontal="center" vertical="center" wrapText="1"/>
    </xf>
    <xf numFmtId="0" fontId="0" fillId="0" borderId="59" pivotButton="0" quotePrefix="0" xfId="0"/>
    <xf numFmtId="0" fontId="45" fillId="36" borderId="15" applyAlignment="1" pivotButton="0" quotePrefix="0" xfId="0">
      <alignment horizontal="left" vertical="center"/>
    </xf>
    <xf numFmtId="0" fontId="55" fillId="29" borderId="53" applyAlignment="1" pivotButton="0" quotePrefix="0" xfId="0">
      <alignment horizontal="center" vertical="center"/>
    </xf>
    <xf numFmtId="0" fontId="38" fillId="0" borderId="65" pivotButton="0" quotePrefix="0" xfId="0"/>
    <xf numFmtId="0" fontId="4" fillId="0" borderId="65" applyAlignment="1" pivotButton="0" quotePrefix="0" xfId="0">
      <alignment vertical="center"/>
    </xf>
    <xf numFmtId="0" fontId="9" fillId="0" borderId="66" applyAlignment="1" pivotButton="0" quotePrefix="0" xfId="0">
      <alignment horizontal="left" vertical="center" wrapText="1"/>
    </xf>
    <xf numFmtId="0" fontId="0" fillId="0" borderId="67" pivotButton="0" quotePrefix="0" xfId="0"/>
    <xf numFmtId="0" fontId="0" fillId="0" borderId="68" pivotButton="0" quotePrefix="0" xfId="0"/>
    <xf numFmtId="0" fontId="4" fillId="0" borderId="5" applyAlignment="1" pivotButton="0" quotePrefix="0" xfId="0">
      <alignment vertical="center"/>
    </xf>
    <xf numFmtId="0" fontId="4" fillId="0" borderId="59" applyAlignment="1" pivotButton="0" quotePrefix="0" xfId="0">
      <alignment vertical="center"/>
    </xf>
    <xf numFmtId="0" fontId="0" fillId="0" borderId="28" pivotButton="0" quotePrefix="0" xfId="0"/>
    <xf numFmtId="0" fontId="3" fillId="0" borderId="69" applyAlignment="1" pivotButton="0" quotePrefix="0" xfId="0">
      <alignment horizontal="center"/>
    </xf>
    <xf numFmtId="0" fontId="0" fillId="0" borderId="70" pivotButton="0" quotePrefix="0" xfId="0"/>
    <xf numFmtId="0" fontId="0" fillId="0" borderId="71" pivotButton="0" quotePrefix="0" xfId="0"/>
    <xf numFmtId="0" fontId="5" fillId="0" borderId="5" applyAlignment="1" pivotButton="0" quotePrefix="0" xfId="0">
      <alignment vertical="center"/>
    </xf>
    <xf numFmtId="0" fontId="3" fillId="28" borderId="69" applyAlignment="1" pivotButton="0" quotePrefix="0" xfId="0">
      <alignment horizontal="left"/>
    </xf>
    <xf numFmtId="0" fontId="4" fillId="0" borderId="69" pivotButton="0" quotePrefix="0" xfId="0"/>
    <xf numFmtId="0" fontId="11" fillId="28" borderId="69" applyAlignment="1" pivotButton="0" quotePrefix="0" xfId="0">
      <alignment horizontal="left"/>
    </xf>
    <xf numFmtId="0" fontId="55" fillId="29" borderId="69" applyAlignment="1" pivotButton="0" quotePrefix="0" xfId="0">
      <alignment horizontal="left"/>
    </xf>
    <xf numFmtId="0" fontId="3" fillId="30" borderId="69" applyAlignment="1" pivotButton="0" quotePrefix="0" xfId="0">
      <alignment horizontal="left"/>
    </xf>
    <xf numFmtId="0" fontId="3" fillId="31" borderId="69" applyAlignment="1" pivotButton="0" quotePrefix="0" xfId="0">
      <alignment horizontal="left"/>
    </xf>
    <xf numFmtId="0" fontId="3" fillId="32" borderId="69" applyAlignment="1" pivotButton="0" quotePrefix="0" xfId="0">
      <alignment horizontal="left"/>
    </xf>
    <xf numFmtId="0" fontId="3" fillId="33" borderId="69" applyAlignment="1" pivotButton="0" quotePrefix="0" xfId="0">
      <alignment horizontal="left"/>
    </xf>
    <xf numFmtId="0" fontId="3" fillId="34" borderId="69" applyAlignment="1" pivotButton="0" quotePrefix="0" xfId="0">
      <alignment horizontal="left"/>
    </xf>
    <xf numFmtId="0" fontId="3" fillId="0" borderId="69" applyAlignment="1" pivotButton="0" quotePrefix="0" xfId="0">
      <alignment horizontal="left"/>
    </xf>
    <xf numFmtId="0" fontId="54" fillId="0" borderId="69" pivotButton="0" quotePrefix="0" xfId="0"/>
    <xf numFmtId="0" fontId="4" fillId="0" borderId="69" applyAlignment="1" pivotButton="0" quotePrefix="0" xfId="0">
      <alignment horizontal="left"/>
    </xf>
    <xf numFmtId="0" fontId="56" fillId="0" borderId="65" applyAlignment="1" pivotButton="0" quotePrefix="0" xfId="0">
      <alignment horizontal="center" vertical="center" wrapText="1"/>
    </xf>
    <xf numFmtId="0" fontId="41" fillId="0" borderId="65" applyAlignment="1" pivotButton="0" quotePrefix="0" xfId="0">
      <alignment vertical="center" wrapText="1"/>
    </xf>
    <xf numFmtId="0" fontId="43" fillId="0" borderId="69" applyAlignment="1" pivotButton="0" quotePrefix="0" xfId="0">
      <alignment horizontal="center" vertical="center" wrapText="1"/>
    </xf>
    <xf numFmtId="0" fontId="41" fillId="0" borderId="5" applyAlignment="1" pivotButton="0" quotePrefix="0" xfId="0">
      <alignment vertical="center" wrapText="1"/>
    </xf>
    <xf numFmtId="0" fontId="44" fillId="0" borderId="69" applyAlignment="1" pivotButton="0" quotePrefix="0" xfId="0">
      <alignment horizontal="center" vertical="center" wrapText="1"/>
    </xf>
    <xf numFmtId="0" fontId="43" fillId="0" borderId="69" applyAlignment="1" pivotButton="0" quotePrefix="0" xfId="0">
      <alignment vertical="center" wrapText="1"/>
    </xf>
    <xf numFmtId="0" fontId="44" fillId="0" borderId="69" applyAlignment="1" pivotButton="0" quotePrefix="0" xfId="0">
      <alignment vertical="center" wrapText="1"/>
    </xf>
    <xf numFmtId="0" fontId="0" fillId="0" borderId="72" pivotButton="0" quotePrefix="0" xfId="0"/>
    <xf numFmtId="0" fontId="49" fillId="0" borderId="69" applyAlignment="1" pivotButton="0" quotePrefix="0" xfId="0">
      <alignment vertical="center" wrapText="1"/>
    </xf>
    <xf numFmtId="0" fontId="50" fillId="0" borderId="69" applyAlignment="1" pivotButton="0" quotePrefix="0" xfId="0">
      <alignment horizontal="center" vertical="center" wrapText="1"/>
    </xf>
    <xf numFmtId="0" fontId="51" fillId="0" borderId="69" applyAlignment="1" pivotButton="0" quotePrefix="0" xfId="0">
      <alignment vertical="center" wrapText="1"/>
    </xf>
    <xf numFmtId="0" fontId="41" fillId="0" borderId="59" applyAlignment="1" pivotButton="0" quotePrefix="0" xfId="0">
      <alignment vertical="center" wrapText="1"/>
    </xf>
    <xf numFmtId="0" fontId="40" fillId="0" borderId="69" applyAlignment="1" pivotButton="0" quotePrefix="0" xfId="0">
      <alignment horizontal="center" vertical="center" wrapText="1"/>
    </xf>
    <xf numFmtId="0" fontId="41" fillId="11" borderId="69" applyAlignment="1" pivotButton="0" quotePrefix="0" xfId="0">
      <alignment horizontal="center" vertical="center" wrapText="1"/>
    </xf>
    <xf numFmtId="0" fontId="41" fillId="11" borderId="69" applyAlignment="1" pivotButton="0" quotePrefix="0" xfId="0">
      <alignment vertical="center" wrapText="1"/>
    </xf>
    <xf numFmtId="0" fontId="0" fillId="0" borderId="73" pivotButton="0" quotePrefix="0" xfId="0"/>
    <xf numFmtId="0" fontId="41" fillId="13" borderId="69" applyAlignment="1" pivotButton="0" quotePrefix="0" xfId="0">
      <alignment horizontal="center" vertical="center" wrapText="1"/>
    </xf>
    <xf numFmtId="0" fontId="41" fillId="13" borderId="69" applyAlignment="1" pivotButton="0" quotePrefix="0" xfId="0">
      <alignment vertical="center" wrapText="1"/>
    </xf>
    <xf numFmtId="0" fontId="41" fillId="16" borderId="69" applyAlignment="1" pivotButton="0" quotePrefix="0" xfId="0">
      <alignment horizontal="center" vertical="center" wrapText="1"/>
    </xf>
    <xf numFmtId="0" fontId="41" fillId="16" borderId="69" applyAlignment="1" pivotButton="0" quotePrefix="0" xfId="0">
      <alignment vertical="center" wrapText="1"/>
    </xf>
    <xf numFmtId="0" fontId="41" fillId="25" borderId="69" applyAlignment="1" pivotButton="0" quotePrefix="0" xfId="0">
      <alignment horizontal="center" vertical="center" wrapText="1"/>
    </xf>
    <xf numFmtId="0" fontId="41" fillId="25" borderId="69" applyAlignment="1" pivotButton="0" quotePrefix="0" xfId="0">
      <alignment vertical="center" wrapText="1"/>
    </xf>
    <xf numFmtId="0" fontId="41" fillId="26" borderId="69" applyAlignment="1" pivotButton="0" quotePrefix="0" xfId="0">
      <alignment horizontal="center" vertical="center" wrapText="1"/>
    </xf>
    <xf numFmtId="0" fontId="41" fillId="26" borderId="69" applyAlignment="1" pivotButton="0" quotePrefix="0" xfId="0">
      <alignment vertical="center" wrapText="1"/>
    </xf>
    <xf numFmtId="0" fontId="58" fillId="0" borderId="15" applyAlignment="1" pivotButton="0" quotePrefix="0" xfId="0">
      <alignment horizontal="center" vertical="center"/>
    </xf>
    <xf numFmtId="0" fontId="33" fillId="0" borderId="44" applyAlignment="1" pivotButton="0" quotePrefix="0" xfId="0">
      <alignment vertical="center"/>
    </xf>
    <xf numFmtId="0" fontId="60" fillId="0" borderId="0" applyAlignment="1" pivotButton="0" quotePrefix="0" xfId="0">
      <alignment horizontal="center" vertical="center"/>
    </xf>
    <xf numFmtId="0" fontId="33" fillId="0" borderId="0" applyAlignment="1" pivotButton="0" quotePrefix="0" xfId="0">
      <alignment vertical="center"/>
    </xf>
    <xf numFmtId="0" fontId="61" fillId="0" borderId="44" applyAlignment="1" pivotButton="0" quotePrefix="0" xfId="0">
      <alignment horizontal="center" vertical="center"/>
    </xf>
    <xf numFmtId="0" fontId="3" fillId="37" borderId="69" applyAlignment="1" pivotButton="0" quotePrefix="0" xfId="0">
      <alignment horizontal="left"/>
    </xf>
    <xf numFmtId="0" fontId="57" fillId="29" borderId="15" applyAlignment="1" pivotButton="0" quotePrefix="0" xfId="0">
      <alignment horizontal="center" vertical="center"/>
    </xf>
    <xf numFmtId="0" fontId="62" fillId="29" borderId="0" applyAlignment="1" pivotButton="0" quotePrefix="0" xfId="0">
      <alignment horizontal="center" vertical="center"/>
    </xf>
    <xf numFmtId="0" fontId="3" fillId="38" borderId="69" applyAlignment="1" pivotButton="0" quotePrefix="0" xfId="0">
      <alignment horizontal="left"/>
    </xf>
    <xf numFmtId="0" fontId="63" fillId="2" borderId="15" applyAlignment="1" pivotButton="0" quotePrefix="0" xfId="0">
      <alignment horizontal="center" vertical="center"/>
    </xf>
    <xf numFmtId="0" fontId="33" fillId="3" borderId="31" applyAlignment="1" pivotButton="0" quotePrefix="0" xfId="0">
      <alignment horizontal="center" vertical="center"/>
    </xf>
    <xf numFmtId="0" fontId="33" fillId="4" borderId="6" applyAlignment="1" pivotButton="0" quotePrefix="0" xfId="0">
      <alignment horizontal="center" vertical="center"/>
    </xf>
    <xf numFmtId="0" fontId="61" fillId="5" borderId="7" applyAlignment="1" pivotButton="0" quotePrefix="0" xfId="0">
      <alignment horizontal="center"/>
    </xf>
    <xf numFmtId="0" fontId="61" fillId="39" borderId="79" applyAlignment="1" pivotButton="0" quotePrefix="0" xfId="0">
      <alignment horizontal="center"/>
    </xf>
    <xf numFmtId="0" fontId="0" fillId="0" borderId="79" pivotButton="0" quotePrefix="0" xfId="0"/>
    <xf numFmtId="0" fontId="61" fillId="40" borderId="11" applyAlignment="1" pivotButton="0" quotePrefix="0" xfId="0">
      <alignment horizontal="center"/>
    </xf>
    <xf numFmtId="0" fontId="61" fillId="41" borderId="13" applyAlignment="1" pivotButton="0" quotePrefix="0" xfId="0">
      <alignment horizontal="center"/>
    </xf>
    <xf numFmtId="0" fontId="61" fillId="39" borderId="10" applyAlignment="1" pivotButton="0" quotePrefix="0" xfId="0">
      <alignment horizontal="center"/>
    </xf>
    <xf numFmtId="0" fontId="61" fillId="5" borderId="79" applyAlignment="1" pivotButton="0" quotePrefix="0" xfId="0">
      <alignment horizontal="center"/>
    </xf>
    <xf numFmtId="0" fontId="61" fillId="0" borderId="7" pivotButton="0" quotePrefix="0" xfId="0"/>
    <xf numFmtId="0" fontId="32" fillId="9" borderId="15" applyAlignment="1" pivotButton="0" quotePrefix="0" xfId="0">
      <alignment horizontal="center" vertical="center"/>
    </xf>
    <xf numFmtId="0" fontId="33" fillId="10" borderId="1" applyAlignment="1" pivotButton="0" quotePrefix="0" xfId="0">
      <alignment horizontal="center" vertical="center"/>
    </xf>
    <xf numFmtId="0" fontId="33" fillId="11" borderId="1" applyAlignment="1" pivotButton="0" quotePrefix="0" xfId="0">
      <alignment horizontal="center" vertical="center"/>
    </xf>
    <xf numFmtId="0" fontId="33" fillId="12" borderId="1" applyAlignment="1" pivotButton="0" quotePrefix="0" xfId="0">
      <alignment horizontal="center" vertical="center"/>
    </xf>
    <xf numFmtId="0" fontId="33" fillId="13" borderId="1" applyAlignment="1" pivotButton="0" quotePrefix="0" xfId="0">
      <alignment horizontal="center" vertical="center"/>
    </xf>
    <xf numFmtId="0" fontId="33" fillId="14" borderId="1" applyAlignment="1" pivotButton="0" quotePrefix="0" xfId="0">
      <alignment horizontal="center" vertical="center"/>
    </xf>
    <xf numFmtId="0" fontId="33" fillId="15" borderId="1" applyAlignment="1" pivotButton="0" quotePrefix="0" xfId="0">
      <alignment horizontal="center" vertical="center"/>
    </xf>
    <xf numFmtId="0" fontId="33" fillId="10" borderId="9" applyAlignment="1" pivotButton="0" quotePrefix="0" xfId="0">
      <alignment horizontal="center" vertical="center"/>
    </xf>
    <xf numFmtId="0" fontId="33" fillId="0" borderId="0" applyAlignment="1" pivotButton="0" quotePrefix="0" xfId="0">
      <alignment horizontal="center"/>
    </xf>
    <xf numFmtId="0" fontId="64" fillId="0" borderId="0" applyAlignment="1" pivotButton="0" quotePrefix="0" xfId="0">
      <alignment horizontal="center" vertical="center"/>
    </xf>
    <xf numFmtId="0" fontId="33" fillId="3" borderId="34" applyAlignment="1" pivotButton="0" quotePrefix="0" xfId="0">
      <alignment horizontal="center" vertical="center"/>
    </xf>
    <xf numFmtId="0" fontId="33" fillId="4" borderId="80" applyAlignment="1" pivotButton="0" quotePrefix="0" xfId="0">
      <alignment horizontal="center" vertical="center"/>
    </xf>
    <xf numFmtId="0" fontId="61" fillId="41" borderId="51" applyAlignment="1" pivotButton="0" quotePrefix="0" xfId="0">
      <alignment horizontal="center"/>
    </xf>
    <xf numFmtId="0" fontId="61" fillId="39" borderId="51" applyAlignment="1" pivotButton="0" quotePrefix="0" xfId="0">
      <alignment horizontal="center"/>
    </xf>
    <xf numFmtId="0" fontId="61" fillId="40" borderId="51" applyAlignment="1" pivotButton="0" quotePrefix="0" xfId="0">
      <alignment horizontal="center"/>
    </xf>
    <xf numFmtId="0" fontId="61" fillId="5" borderId="52" applyAlignment="1" pivotButton="0" quotePrefix="0" xfId="0">
      <alignment horizontal="center"/>
    </xf>
    <xf numFmtId="0" fontId="61" fillId="39" borderId="81" applyAlignment="1" pivotButton="0" quotePrefix="0" xfId="0">
      <alignment horizontal="center"/>
    </xf>
    <xf numFmtId="0" fontId="61" fillId="5" borderId="51" applyAlignment="1" pivotButton="0" quotePrefix="0" xfId="0">
      <alignment horizontal="center"/>
    </xf>
    <xf numFmtId="0" fontId="61" fillId="0" borderId="51" pivotButton="0" quotePrefix="0" xfId="0"/>
    <xf numFmtId="0" fontId="33" fillId="10" borderId="2" applyAlignment="1" pivotButton="0" quotePrefix="0" xfId="0">
      <alignment horizontal="center" vertical="center"/>
    </xf>
    <xf numFmtId="0" fontId="33" fillId="11" borderId="2" applyAlignment="1" pivotButton="0" quotePrefix="0" xfId="0">
      <alignment horizontal="center" vertical="center"/>
    </xf>
    <xf numFmtId="0" fontId="33" fillId="42" borderId="2" applyAlignment="1" pivotButton="0" quotePrefix="0" xfId="0">
      <alignment horizontal="center" vertical="center"/>
    </xf>
    <xf numFmtId="0" fontId="33" fillId="13" borderId="2" applyAlignment="1" pivotButton="0" quotePrefix="0" xfId="0">
      <alignment horizontal="center" vertical="center"/>
    </xf>
    <xf numFmtId="0" fontId="33" fillId="15" borderId="2" applyAlignment="1" pivotButton="0" quotePrefix="0" xfId="0">
      <alignment horizontal="center" vertical="center"/>
    </xf>
    <xf numFmtId="0" fontId="33" fillId="43" borderId="2" applyAlignment="1" pivotButton="0" quotePrefix="0" xfId="0">
      <alignment horizontal="center" vertical="center"/>
    </xf>
    <xf numFmtId="0" fontId="33" fillId="12" borderId="2" applyAlignment="1" pivotButton="0" quotePrefix="0" xfId="0">
      <alignment horizontal="center" vertical="center"/>
    </xf>
    <xf numFmtId="0" fontId="33" fillId="3" borderId="36" applyAlignment="1" pivotButton="0" quotePrefix="0" xfId="0">
      <alignment horizontal="center" vertical="center"/>
    </xf>
    <xf numFmtId="0" fontId="33" fillId="4" borderId="10" applyAlignment="1" pivotButton="0" quotePrefix="0" xfId="0">
      <alignment horizontal="center" vertical="center"/>
    </xf>
    <xf numFmtId="0" fontId="61" fillId="5" borderId="11" applyAlignment="1" pivotButton="0" quotePrefix="0" xfId="0">
      <alignment horizontal="center"/>
    </xf>
    <xf numFmtId="0" fontId="61" fillId="39" borderId="11" applyAlignment="1" pivotButton="0" quotePrefix="0" xfId="0">
      <alignment horizontal="center"/>
    </xf>
    <xf numFmtId="0" fontId="61" fillId="5" borderId="13" applyAlignment="1" pivotButton="0" quotePrefix="0" xfId="0">
      <alignment horizontal="center"/>
    </xf>
    <xf numFmtId="0" fontId="61" fillId="0" borderId="11" pivotButton="0" quotePrefix="0" xfId="0"/>
    <xf numFmtId="0" fontId="33" fillId="43" borderId="1" applyAlignment="1" pivotButton="0" quotePrefix="0" xfId="0">
      <alignment horizontal="center" vertical="center"/>
    </xf>
    <xf numFmtId="0" fontId="33" fillId="5" borderId="11" applyAlignment="1" pivotButton="0" quotePrefix="0" xfId="0">
      <alignment horizontal="center" vertical="center"/>
    </xf>
    <xf numFmtId="0" fontId="33" fillId="39" borderId="11" applyAlignment="1" pivotButton="0" quotePrefix="0" xfId="0">
      <alignment horizontal="center"/>
    </xf>
    <xf numFmtId="0" fontId="33" fillId="40" borderId="79" applyAlignment="1" pivotButton="0" quotePrefix="0" xfId="0">
      <alignment horizontal="center"/>
    </xf>
    <xf numFmtId="0" fontId="33" fillId="5" borderId="79" applyAlignment="1" pivotButton="0" quotePrefix="0" xfId="0">
      <alignment horizontal="center"/>
    </xf>
    <xf numFmtId="0" fontId="33" fillId="5" borderId="12" applyAlignment="1" pivotButton="0" quotePrefix="0" xfId="0">
      <alignment horizontal="center"/>
    </xf>
    <xf numFmtId="0" fontId="33" fillId="14" borderId="0" applyAlignment="1" pivotButton="0" quotePrefix="0" xfId="0">
      <alignment horizontal="center" vertical="center"/>
    </xf>
    <xf numFmtId="0" fontId="33" fillId="16" borderId="1" applyAlignment="1" pivotButton="0" quotePrefix="0" xfId="0">
      <alignment horizontal="center" vertical="center"/>
    </xf>
    <xf numFmtId="0" fontId="65" fillId="44" borderId="11" applyAlignment="1" pivotButton="0" quotePrefix="0" xfId="0">
      <alignment horizontal="center"/>
    </xf>
    <xf numFmtId="0" fontId="65" fillId="45" borderId="0" applyAlignment="1" pivotButton="0" quotePrefix="0" xfId="0">
      <alignment horizontal="center"/>
    </xf>
    <xf numFmtId="0" fontId="65" fillId="44" borderId="0" applyAlignment="1" pivotButton="0" quotePrefix="0" xfId="0">
      <alignment horizontal="center"/>
    </xf>
    <xf numFmtId="0" fontId="66" fillId="29" borderId="69" applyAlignment="1" pivotButton="0" quotePrefix="0" xfId="0">
      <alignment horizontal="center" vertical="center" wrapText="1"/>
    </xf>
    <xf numFmtId="0" fontId="66" fillId="29" borderId="15" applyAlignment="1" pivotButton="0" quotePrefix="0" xfId="0">
      <alignment horizontal="center" vertical="center"/>
    </xf>
    <xf numFmtId="0" fontId="67" fillId="29" borderId="69" applyAlignment="1" pivotButton="0" quotePrefix="0" xfId="0">
      <alignment horizontal="center" vertical="center"/>
    </xf>
    <xf numFmtId="0" fontId="23" fillId="0" borderId="5" applyAlignment="1" pivotButton="0" quotePrefix="0" xfId="0">
      <alignment vertical="center"/>
    </xf>
    <xf numFmtId="0" fontId="23" fillId="0" borderId="53" applyAlignment="1" pivotButton="0" quotePrefix="0" xfId="0">
      <alignment vertical="center"/>
    </xf>
    <xf numFmtId="0" fontId="68" fillId="36" borderId="69" applyAlignment="1" pivotButton="0" quotePrefix="0" xfId="0">
      <alignment horizontal="left" vertical="center"/>
    </xf>
    <xf numFmtId="0" fontId="33" fillId="0" borderId="69" applyAlignment="1" pivotButton="0" quotePrefix="0" xfId="0">
      <alignment horizontal="center" vertical="center"/>
    </xf>
    <xf numFmtId="0" fontId="28" fillId="0" borderId="69" applyAlignment="1" pivotButton="0" quotePrefix="0" xfId="0">
      <alignment horizontal="left" vertical="center"/>
    </xf>
    <xf numFmtId="0" fontId="28" fillId="0" borderId="69" applyAlignment="1" pivotButton="0" quotePrefix="0" xfId="0">
      <alignment vertical="center"/>
    </xf>
    <xf numFmtId="0" fontId="60" fillId="0" borderId="69" applyAlignment="1" pivotButton="0" quotePrefix="0" xfId="0">
      <alignment horizontal="center" vertical="center"/>
    </xf>
    <xf numFmtId="0" fontId="69" fillId="0" borderId="69" applyAlignment="1" pivotButton="0" quotePrefix="0" xfId="0">
      <alignment vertical="center"/>
    </xf>
    <xf numFmtId="0" fontId="61" fillId="0" borderId="69" applyAlignment="1" pivotButton="0" quotePrefix="0" xfId="0">
      <alignment horizontal="center" vertical="center"/>
    </xf>
    <xf numFmtId="0" fontId="23" fillId="0" borderId="5" applyAlignment="1" pivotButton="0" quotePrefix="0" xfId="0">
      <alignment horizontal="center" vertical="center"/>
    </xf>
    <xf numFmtId="0" fontId="23" fillId="0" borderId="53" applyAlignment="1" pivotButton="0" quotePrefix="0" xfId="0">
      <alignment horizontal="center" vertical="center"/>
    </xf>
    <xf numFmtId="0" fontId="23" fillId="0" borderId="53" applyAlignment="1" pivotButton="0" quotePrefix="0" xfId="0">
      <alignment horizontal="left" vertical="center"/>
    </xf>
    <xf numFmtId="0" fontId="70" fillId="0" borderId="69" applyAlignment="1" pivotButton="0" quotePrefix="0" xfId="0">
      <alignment vertical="center"/>
    </xf>
    <xf numFmtId="0" fontId="71" fillId="0" borderId="5" applyAlignment="1" pivotButton="0" quotePrefix="0" xfId="0">
      <alignment vertical="center"/>
    </xf>
    <xf numFmtId="0" fontId="71" fillId="0" borderId="53" applyAlignment="1" pivotButton="0" quotePrefix="0" xfId="0">
      <alignment vertical="center"/>
    </xf>
    <xf numFmtId="0" fontId="28" fillId="0" borderId="5" applyAlignment="1" pivotButton="0" quotePrefix="0" xfId="0">
      <alignment vertical="center"/>
    </xf>
    <xf numFmtId="0" fontId="35" fillId="0" borderId="15" applyAlignment="1" pivotButton="0" quotePrefix="0" xfId="0">
      <alignment horizontal="center" vertical="center"/>
    </xf>
    <xf numFmtId="0" fontId="67" fillId="29" borderId="15" applyAlignment="1" pivotButton="0" quotePrefix="0" xfId="0">
      <alignment horizontal="center" vertical="center"/>
    </xf>
    <xf numFmtId="0" fontId="72" fillId="29" borderId="53" applyAlignment="1" pivotButton="0" quotePrefix="0" xfId="0">
      <alignment horizontal="center" vertical="center"/>
    </xf>
    <xf numFmtId="0" fontId="60" fillId="0" borderId="2" applyAlignment="1" pivotButton="0" quotePrefix="0" xfId="0">
      <alignment vertical="center"/>
    </xf>
    <xf numFmtId="0" fontId="28" fillId="0" borderId="0" pivotButton="0" quotePrefix="0" xfId="0"/>
    <xf numFmtId="0" fontId="60" fillId="0" borderId="15" applyAlignment="1" pivotButton="0" quotePrefix="0" xfId="0">
      <alignment vertical="center"/>
    </xf>
    <xf numFmtId="0" fontId="28" fillId="0" borderId="44" pivotButton="0" quotePrefix="0" xfId="0"/>
    <xf numFmtId="0" fontId="73" fillId="0" borderId="0" pivotButton="0" quotePrefix="0" xfId="0"/>
    <xf numFmtId="0" fontId="35" fillId="0" borderId="0" applyAlignment="1" pivotButton="0" quotePrefix="0" xfId="0">
      <alignment horizontal="center" vertical="center"/>
    </xf>
    <xf numFmtId="0" fontId="74" fillId="0" borderId="0" applyAlignment="1" pivotButton="0" quotePrefix="0" xfId="0">
      <alignment horizontal="center" vertical="center"/>
    </xf>
    <xf numFmtId="0" fontId="75" fillId="19" borderId="53" pivotButton="0" quotePrefix="0" xfId="0"/>
    <xf numFmtId="0" fontId="76" fillId="0" borderId="53" applyAlignment="1" pivotButton="0" quotePrefix="0" xfId="0">
      <alignment vertical="center"/>
    </xf>
    <xf numFmtId="0" fontId="75" fillId="0" borderId="53" applyAlignment="1" pivotButton="0" quotePrefix="0" xfId="0">
      <alignment vertical="center"/>
    </xf>
    <xf numFmtId="0" fontId="15" fillId="0" borderId="53" applyAlignment="1" pivotButton="0" quotePrefix="0" xfId="0">
      <alignment vertical="center"/>
    </xf>
    <xf numFmtId="0" fontId="76" fillId="0" borderId="53" pivotButton="0" quotePrefix="0" xfId="0"/>
    <xf numFmtId="0" fontId="77" fillId="0" borderId="65" pivotButton="0" quotePrefix="0" xfId="0"/>
    <xf numFmtId="0" fontId="76" fillId="0" borderId="65" applyAlignment="1" pivotButton="0" quotePrefix="0" xfId="0">
      <alignment vertical="center"/>
    </xf>
    <xf numFmtId="0" fontId="44" fillId="0" borderId="66" applyAlignment="1" pivotButton="0" quotePrefix="0" xfId="0">
      <alignment horizontal="left" vertical="center" wrapText="1"/>
    </xf>
    <xf numFmtId="0" fontId="76" fillId="0" borderId="5" applyAlignment="1" pivotButton="0" quotePrefix="0" xfId="0">
      <alignment vertical="center"/>
    </xf>
    <xf numFmtId="0" fontId="76" fillId="0" borderId="59" applyAlignment="1" pivotButton="0" quotePrefix="0" xfId="0">
      <alignment vertical="center"/>
    </xf>
    <xf numFmtId="0" fontId="77" fillId="0" borderId="69" applyAlignment="1" pivotButton="0" quotePrefix="0" xfId="0">
      <alignment horizontal="center"/>
    </xf>
    <xf numFmtId="0" fontId="15" fillId="0" borderId="5" applyAlignment="1" pivotButton="0" quotePrefix="0" xfId="0">
      <alignment vertical="center"/>
    </xf>
    <xf numFmtId="0" fontId="77" fillId="28" borderId="69" applyAlignment="1" pivotButton="0" quotePrefix="0" xfId="0">
      <alignment horizontal="left"/>
    </xf>
    <xf numFmtId="0" fontId="76" fillId="0" borderId="69" pivotButton="0" quotePrefix="0" xfId="0"/>
    <xf numFmtId="0" fontId="43" fillId="28" borderId="69" applyAlignment="1" pivotButton="0" quotePrefix="0" xfId="0">
      <alignment horizontal="left"/>
    </xf>
    <xf numFmtId="0" fontId="72" fillId="29" borderId="69" applyAlignment="1" pivotButton="0" quotePrefix="0" xfId="0">
      <alignment horizontal="left"/>
    </xf>
    <xf numFmtId="0" fontId="77" fillId="30" borderId="69" applyAlignment="1" pivotButton="0" quotePrefix="0" xfId="0">
      <alignment horizontal="left"/>
    </xf>
    <xf numFmtId="0" fontId="77" fillId="31" borderId="69" applyAlignment="1" pivotButton="0" quotePrefix="0" xfId="0">
      <alignment horizontal="left"/>
    </xf>
    <xf numFmtId="0" fontId="77" fillId="32" borderId="69" applyAlignment="1" pivotButton="0" quotePrefix="0" xfId="0">
      <alignment horizontal="left"/>
    </xf>
    <xf numFmtId="0" fontId="77" fillId="33" borderId="69" applyAlignment="1" pivotButton="0" quotePrefix="0" xfId="0">
      <alignment horizontal="left"/>
    </xf>
    <xf numFmtId="0" fontId="77" fillId="34" borderId="69" applyAlignment="1" pivotButton="0" quotePrefix="0" xfId="0">
      <alignment horizontal="left"/>
    </xf>
    <xf numFmtId="0" fontId="77" fillId="38" borderId="69" applyAlignment="1" pivotButton="0" quotePrefix="0" xfId="0">
      <alignment horizontal="left"/>
    </xf>
    <xf numFmtId="0" fontId="77" fillId="0" borderId="69" applyAlignment="1" pivotButton="0" quotePrefix="0" xfId="0">
      <alignment horizontal="left"/>
    </xf>
    <xf numFmtId="0" fontId="78" fillId="0" borderId="69" pivotButton="0" quotePrefix="0" xfId="0"/>
    <xf numFmtId="0" fontId="76" fillId="0" borderId="69" applyAlignment="1" pivotButton="0" quotePrefix="0" xfId="0">
      <alignment horizontal="left"/>
    </xf>
    <xf numFmtId="0" fontId="77" fillId="0" borderId="53" pivotButton="0" quotePrefix="0" xfId="0"/>
    <xf numFmtId="0" fontId="43" fillId="0" borderId="53" pivotButton="0" quotePrefix="0" xfId="0"/>
    <xf numFmtId="0" fontId="79" fillId="0" borderId="53" pivotButton="0" quotePrefix="0" xfId="0"/>
    <xf numFmtId="0" fontId="41" fillId="0" borderId="53" applyAlignment="1" pivotButton="0" quotePrefix="0" xfId="0">
      <alignment wrapText="1"/>
    </xf>
    <xf numFmtId="0" fontId="28" fillId="0" borderId="53" applyAlignment="1" pivotButton="0" quotePrefix="0" xfId="0">
      <alignment vertical="center"/>
    </xf>
    <xf numFmtId="0" fontId="28" fillId="0" borderId="5" applyAlignment="1" pivotButton="0" quotePrefix="0" xfId="0">
      <alignment horizontal="center" vertical="center"/>
    </xf>
    <xf numFmtId="0" fontId="28" fillId="0" borderId="53" applyAlignment="1" pivotButton="0" quotePrefix="0" xfId="0">
      <alignment horizontal="center" vertical="center"/>
    </xf>
    <xf numFmtId="0" fontId="28" fillId="0" borderId="53" applyAlignment="1" pivotButton="0" quotePrefix="0" xfId="0">
      <alignment horizontal="left" vertical="center"/>
    </xf>
    <xf numFmtId="0" fontId="70" fillId="0" borderId="5" applyAlignment="1" pivotButton="0" quotePrefix="0" xfId="0">
      <alignment vertical="center"/>
    </xf>
    <xf numFmtId="0" fontId="70" fillId="0" borderId="53" applyAlignment="1" pivotButton="0" quotePrefix="0" xfId="0">
      <alignment vertical="center"/>
    </xf>
    <xf numFmtId="0" fontId="41" fillId="0" borderId="53" pivotButton="0" quotePrefix="0" xfId="0"/>
    <xf numFmtId="14" fontId="41" fillId="0" borderId="53" applyAlignment="1" pivotButton="0" quotePrefix="0" xfId="0">
      <alignment horizontal="center"/>
    </xf>
    <xf numFmtId="0" fontId="80" fillId="19" borderId="53" applyAlignment="1" pivotButton="0" quotePrefix="0" xfId="0">
      <alignment vertical="center"/>
    </xf>
    <xf numFmtId="14" fontId="41" fillId="0" borderId="53" pivotButton="0" quotePrefix="0" xfId="0"/>
    <xf numFmtId="14" fontId="41" fillId="0" borderId="53" applyAlignment="1" pivotButton="0" quotePrefix="0" xfId="0">
      <alignment horizontal="center" vertical="center"/>
    </xf>
    <xf numFmtId="0" fontId="80" fillId="0" borderId="53" applyAlignment="1" pivotButton="0" quotePrefix="0" xfId="0">
      <alignment vertical="center"/>
    </xf>
    <xf numFmtId="0" fontId="41" fillId="0" borderId="53" applyAlignment="1" pivotButton="0" quotePrefix="0" xfId="0">
      <alignment horizontal="left" vertical="center"/>
    </xf>
    <xf numFmtId="14" fontId="41" fillId="0" borderId="53" applyAlignment="1" pivotButton="0" quotePrefix="0" xfId="0">
      <alignment vertical="center"/>
    </xf>
    <xf numFmtId="0" fontId="81" fillId="19" borderId="53" pivotButton="0" quotePrefix="0" xfId="0"/>
    <xf numFmtId="0" fontId="82" fillId="0" borderId="53" applyAlignment="1" pivotButton="0" quotePrefix="0" xfId="0">
      <alignment vertical="center"/>
    </xf>
    <xf numFmtId="0" fontId="81" fillId="0" borderId="53" applyAlignment="1" pivotButton="0" quotePrefix="0" xfId="0">
      <alignment vertical="center"/>
    </xf>
    <xf numFmtId="0" fontId="83" fillId="0" borderId="53" applyAlignment="1" pivotButton="0" quotePrefix="0" xfId="0">
      <alignment vertical="center"/>
    </xf>
    <xf numFmtId="0" fontId="84" fillId="0" borderId="4" pivotButton="0" quotePrefix="0" xfId="0"/>
    <xf numFmtId="0" fontId="84" fillId="0" borderId="5" pivotButton="0" quotePrefix="0" xfId="0"/>
    <xf numFmtId="0" fontId="85" fillId="19" borderId="53" pivotButton="0" quotePrefix="0" xfId="0"/>
    <xf numFmtId="0" fontId="86" fillId="0" borderId="4" pivotButton="0" quotePrefix="0" xfId="0"/>
    <xf numFmtId="0" fontId="86" fillId="0" borderId="5" pivotButton="0" quotePrefix="0" xfId="0"/>
    <xf numFmtId="0" fontId="87" fillId="0" borderId="53" applyAlignment="1" pivotButton="0" quotePrefix="0" xfId="0">
      <alignment vertical="center"/>
    </xf>
    <xf numFmtId="0" fontId="85" fillId="0" borderId="53" applyAlignment="1" pivotButton="0" quotePrefix="0" xfId="0">
      <alignment vertical="center"/>
    </xf>
    <xf numFmtId="0" fontId="88" fillId="0" borderId="53" applyAlignment="1" pivotButton="0" quotePrefix="0" xfId="0">
      <alignment vertical="center"/>
    </xf>
    <xf numFmtId="0" fontId="69" fillId="0" borderId="83" applyAlignment="1" pivotButton="0" quotePrefix="0" xfId="0">
      <alignment horizontal="left" vertical="center" wrapText="1"/>
    </xf>
    <xf numFmtId="0" fontId="0" fillId="0" borderId="85" pivotButton="0" quotePrefix="0" xfId="0"/>
    <xf numFmtId="0" fontId="0" fillId="0" borderId="86" pivotButton="0" quotePrefix="0" xfId="0"/>
    <xf numFmtId="0" fontId="69" fillId="0" borderId="87" applyAlignment="1" pivotButton="0" quotePrefix="0" xfId="0">
      <alignment horizontal="left" vertical="center" wrapText="1"/>
    </xf>
    <xf numFmtId="0" fontId="0" fillId="0" borderId="88" pivotButton="0" quotePrefix="0" xfId="0"/>
    <xf numFmtId="0" fontId="89" fillId="19" borderId="53" pivotButton="0" quotePrefix="0" xfId="0"/>
    <xf numFmtId="0" fontId="90" fillId="0" borderId="53" applyAlignment="1" pivotButton="0" quotePrefix="0" xfId="0">
      <alignment vertical="center"/>
    </xf>
    <xf numFmtId="0" fontId="89" fillId="0" borderId="53" applyAlignment="1" pivotButton="0" quotePrefix="0" xfId="0">
      <alignment vertical="center"/>
    </xf>
    <xf numFmtId="0" fontId="91" fillId="0" borderId="53" applyAlignment="1" pivotButton="0" quotePrefix="0" xfId="0">
      <alignment vertical="center"/>
    </xf>
    <xf numFmtId="0" fontId="69" fillId="0" borderId="53" applyAlignment="1" pivotButton="0" quotePrefix="0" xfId="0">
      <alignment vertical="center"/>
    </xf>
    <xf numFmtId="0" fontId="69" fillId="0" borderId="3" pivotButton="0" quotePrefix="0" xfId="0"/>
    <xf numFmtId="0" fontId="69" fillId="0" borderId="4" pivotButton="0" quotePrefix="0" xfId="0"/>
    <xf numFmtId="0" fontId="69" fillId="0" borderId="5" pivotButton="0" quotePrefix="0" xfId="0"/>
    <xf numFmtId="0" fontId="69" fillId="0" borderId="53" pivotButton="0" quotePrefix="0" xfId="0"/>
    <xf numFmtId="0" fontId="58" fillId="0" borderId="65" pivotButton="0" quotePrefix="0" xfId="0"/>
    <xf numFmtId="0" fontId="69" fillId="0" borderId="65" applyAlignment="1" pivotButton="0" quotePrefix="0" xfId="0">
      <alignment vertical="center"/>
    </xf>
    <xf numFmtId="0" fontId="92" fillId="0" borderId="69" applyAlignment="1" pivotButton="0" quotePrefix="0" xfId="0">
      <alignment horizontal="left" vertical="center" wrapText="1"/>
    </xf>
    <xf numFmtId="0" fontId="69" fillId="0" borderId="59" applyAlignment="1" pivotButton="0" quotePrefix="0" xfId="0">
      <alignment vertical="center"/>
    </xf>
    <xf numFmtId="0" fontId="58" fillId="0" borderId="69" applyAlignment="1" pivotButton="0" quotePrefix="0" xfId="0">
      <alignment horizontal="center"/>
    </xf>
    <xf numFmtId="0" fontId="58" fillId="28" borderId="69" applyAlignment="1" pivotButton="0" quotePrefix="0" xfId="0">
      <alignment horizontal="left"/>
    </xf>
    <xf numFmtId="0" fontId="69" fillId="0" borderId="69" pivotButton="0" quotePrefix="0" xfId="0"/>
    <xf numFmtId="0" fontId="67" fillId="29" borderId="69" applyAlignment="1" pivotButton="0" quotePrefix="0" xfId="0">
      <alignment horizontal="left"/>
    </xf>
    <xf numFmtId="0" fontId="58" fillId="30" borderId="69" applyAlignment="1" pivotButton="0" quotePrefix="0" xfId="0">
      <alignment horizontal="left"/>
    </xf>
    <xf numFmtId="0" fontId="58" fillId="31" borderId="69" applyAlignment="1" pivotButton="0" quotePrefix="0" xfId="0">
      <alignment horizontal="left"/>
    </xf>
    <xf numFmtId="0" fontId="58" fillId="32" borderId="69" applyAlignment="1" pivotButton="0" quotePrefix="0" xfId="0">
      <alignment horizontal="left"/>
    </xf>
    <xf numFmtId="0" fontId="58" fillId="33" borderId="69" applyAlignment="1" pivotButton="0" quotePrefix="0" xfId="0">
      <alignment horizontal="left"/>
    </xf>
    <xf numFmtId="0" fontId="58" fillId="34" borderId="69" applyAlignment="1" pivotButton="0" quotePrefix="0" xfId="0">
      <alignment horizontal="left"/>
    </xf>
    <xf numFmtId="0" fontId="58" fillId="38" borderId="69" applyAlignment="1" pivotButton="0" quotePrefix="0" xfId="0">
      <alignment horizontal="left"/>
    </xf>
    <xf numFmtId="0" fontId="58" fillId="0" borderId="69" applyAlignment="1" pivotButton="0" quotePrefix="0" xfId="0">
      <alignment horizontal="left"/>
    </xf>
    <xf numFmtId="0" fontId="58" fillId="0" borderId="69" pivotButton="0" quotePrefix="0" xfId="0"/>
    <xf numFmtId="0" fontId="69" fillId="0" borderId="69" applyAlignment="1" pivotButton="0" quotePrefix="0" xfId="0">
      <alignment horizontal="left"/>
    </xf>
    <xf numFmtId="0" fontId="58" fillId="0" borderId="53" pivotButton="0" quotePrefix="0" xfId="0"/>
    <xf numFmtId="0" fontId="93" fillId="0" borderId="53"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43"/>
  <sheetViews>
    <sheetView tabSelected="1" topLeftCell="A16" workbookViewId="0">
      <selection activeCell="D40" sqref="D40"/>
    </sheetView>
  </sheetViews>
  <sheetFormatPr baseColWidth="8" defaultRowHeight="15"/>
  <cols>
    <col width="35.1328125" customWidth="1" min="1" max="1"/>
    <col width="35.53125" customWidth="1" min="2" max="2"/>
    <col width="27.3984375" customWidth="1" min="3" max="3"/>
    <col width="24.06640625" customWidth="1" min="8" max="8"/>
    <col width="27.3984375" customWidth="1" min="9" max="9"/>
  </cols>
  <sheetData>
    <row r="1" ht="22.5" customHeight="1">
      <c r="A1" s="463" t="inlineStr">
        <is>
          <t>Summary statistics</t>
        </is>
      </c>
      <c r="B1" s="208" t="n"/>
      <c r="C1" s="464" t="n"/>
      <c r="D1" s="464" t="n"/>
      <c r="E1" s="464" t="n"/>
      <c r="F1" s="464" t="n"/>
      <c r="G1" s="464" t="n"/>
      <c r="H1" s="464" t="n"/>
      <c r="I1" s="464" t="n"/>
      <c r="J1" s="464" t="n"/>
      <c r="K1" s="464" t="n"/>
      <c r="L1" s="464" t="n"/>
      <c r="M1" s="464" t="n"/>
      <c r="N1" s="464" t="n"/>
    </row>
    <row r="2" ht="14.25" customHeight="1">
      <c r="A2" s="208" t="n"/>
      <c r="B2" s="208" t="n"/>
      <c r="C2" s="464" t="n"/>
      <c r="D2" s="464" t="n"/>
      <c r="E2" s="464" t="n"/>
      <c r="F2" s="464" t="n"/>
      <c r="G2" s="464" t="n"/>
      <c r="H2" s="464" t="n"/>
      <c r="I2" s="464" t="n"/>
      <c r="J2" s="464" t="n"/>
      <c r="K2" s="464" t="n"/>
      <c r="L2" s="464" t="n"/>
      <c r="M2" s="464" t="n"/>
      <c r="N2" s="464" t="n"/>
    </row>
    <row r="3" ht="16.5" customHeight="1">
      <c r="A3" s="463" t="inlineStr">
        <is>
          <t>Scope of this dataset</t>
        </is>
      </c>
      <c r="B3" s="208" t="n"/>
      <c r="C3" s="464" t="n"/>
      <c r="D3" s="464" t="n"/>
      <c r="E3" s="464" t="n"/>
      <c r="F3" s="464" t="n"/>
      <c r="G3" s="464" t="n"/>
      <c r="H3" s="464" t="n"/>
      <c r="I3" s="464" t="n"/>
      <c r="J3" s="464" t="n"/>
      <c r="K3" s="464" t="n"/>
      <c r="L3" s="464" t="n"/>
      <c r="M3" s="464" t="n"/>
      <c r="N3" s="464" t="n"/>
    </row>
    <row r="4" ht="15" customHeight="1">
      <c r="A4" s="207" t="inlineStr">
        <is>
          <t>Number of approaches:</t>
        </is>
      </c>
      <c r="B4" s="208">
        <f>COUNTA(Approaches!C:C)-1</f>
        <v/>
      </c>
      <c r="C4" s="464" t="n"/>
      <c r="D4" s="464" t="n"/>
      <c r="E4" s="464" t="n"/>
      <c r="F4" s="464" t="n"/>
      <c r="G4" s="464" t="n"/>
      <c r="H4" s="464" t="n"/>
      <c r="I4" s="464" t="n"/>
      <c r="J4" s="464" t="n"/>
      <c r="K4" s="464" t="n"/>
      <c r="L4" s="464" t="n"/>
      <c r="M4" s="464" t="n"/>
      <c r="N4" s="464" t="n"/>
    </row>
    <row r="5" ht="15" customHeight="1">
      <c r="A5" s="207" t="inlineStr">
        <is>
          <t>Number of instruments:</t>
        </is>
      </c>
      <c r="B5" s="208">
        <f>COUNTA('Instruments overview'!A:A)-2</f>
        <v/>
      </c>
      <c r="C5" s="464" t="n"/>
      <c r="D5" s="464" t="n"/>
      <c r="E5" s="464" t="n"/>
      <c r="F5" s="464" t="n"/>
      <c r="G5" s="464" t="n"/>
      <c r="H5" s="464" t="n"/>
      <c r="I5" s="464" t="n"/>
      <c r="J5" s="464" t="n"/>
      <c r="K5" s="464" t="n"/>
      <c r="L5" s="464" t="n"/>
      <c r="M5" s="464" t="n"/>
      <c r="N5" s="464" t="n"/>
    </row>
    <row r="6" ht="15" customHeight="1">
      <c r="A6" s="207" t="inlineStr">
        <is>
          <t>Sectors covered:</t>
        </is>
      </c>
      <c r="B6" s="208" t="inlineStr">
        <is>
          <t>Energy, transport, buildings, industry, AFOLU, waste</t>
        </is>
      </c>
      <c r="C6" s="464" t="n"/>
      <c r="D6" s="464" t="n"/>
      <c r="E6" s="464" t="n"/>
      <c r="F6" s="464" t="n"/>
      <c r="G6" s="464" t="n"/>
      <c r="H6" s="464" t="n"/>
      <c r="I6" s="464" t="n"/>
      <c r="J6" s="464" t="n"/>
      <c r="K6" s="464" t="n"/>
      <c r="L6" s="464" t="n"/>
      <c r="M6" s="464" t="n"/>
      <c r="N6" s="464" t="n"/>
    </row>
    <row r="7" ht="15" customHeight="1">
      <c r="A7" s="464" t="n"/>
      <c r="B7" s="464" t="n"/>
      <c r="C7" s="464" t="n"/>
      <c r="D7" s="464" t="n"/>
      <c r="E7" s="464" t="n"/>
      <c r="F7" s="464" t="n"/>
      <c r="G7" s="464" t="n"/>
      <c r="H7" s="464" t="n"/>
      <c r="I7" s="464" t="n"/>
      <c r="J7" s="464" t="n"/>
      <c r="K7" s="464" t="n"/>
      <c r="L7" s="464" t="n"/>
      <c r="M7" s="464" t="n"/>
      <c r="N7" s="464" t="n"/>
    </row>
    <row r="8" ht="14.25" customHeight="1">
      <c r="A8" s="464" t="n"/>
      <c r="B8" s="464" t="n"/>
      <c r="C8" s="464" t="n"/>
      <c r="D8" s="464" t="n"/>
      <c r="E8" s="464" t="n"/>
      <c r="F8" s="464" t="n"/>
      <c r="G8" s="464" t="n"/>
      <c r="H8" s="464" t="n"/>
      <c r="I8" s="464" t="n"/>
      <c r="J8" s="464" t="n"/>
      <c r="K8" s="464" t="n"/>
      <c r="L8" s="464" t="n"/>
      <c r="M8" s="464" t="n"/>
      <c r="N8" s="464" t="n"/>
    </row>
    <row r="9" ht="16.9" customHeight="1">
      <c r="A9" s="460" t="inlineStr">
        <is>
          <t>Category</t>
        </is>
      </c>
      <c r="B9" s="460" t="inlineStr">
        <is>
          <t>Group</t>
        </is>
      </c>
      <c r="C9" s="460" t="inlineStr">
        <is>
          <t>Number of Approaches</t>
        </is>
      </c>
      <c r="D9" s="460" t="inlineStr">
        <is>
          <t>Number of Instruments</t>
        </is>
      </c>
      <c r="E9" s="464" t="n"/>
      <c r="F9" s="464" t="n"/>
      <c r="G9" s="464" t="n"/>
      <c r="H9" s="226" t="inlineStr">
        <is>
          <t>Category</t>
        </is>
      </c>
      <c r="I9" s="226" t="inlineStr">
        <is>
          <t>Number of Approaches</t>
        </is>
      </c>
      <c r="J9" s="226" t="inlineStr">
        <is>
          <t>Number of Instruments</t>
        </is>
      </c>
      <c r="K9" s="464" t="n"/>
      <c r="L9" s="464" t="n"/>
      <c r="M9" s="464" t="n"/>
      <c r="N9" s="464" t="n"/>
    </row>
    <row r="10" ht="16.5" customHeight="1">
      <c r="A10" s="378" t="inlineStr">
        <is>
          <t>Economic instruments</t>
        </is>
      </c>
      <c r="B10" s="465" t="inlineStr">
        <is>
          <t>Trading scheme</t>
        </is>
      </c>
      <c r="C10" s="465">
        <f>COUNTIF(Approaches!B:B, "Trading scheme")</f>
        <v/>
      </c>
      <c r="D10" s="465">
        <f>COUNTIF('Instruments overview'!J:J, "Trading scheme")</f>
        <v/>
      </c>
      <c r="E10" s="464" t="n"/>
      <c r="F10" s="464" t="n"/>
      <c r="G10" s="464" t="n"/>
      <c r="H10" s="379" t="inlineStr">
        <is>
          <t>Economic instruments</t>
        </is>
      </c>
      <c r="I10" s="466">
        <f>COUNTIF(Approaches!A:A, "Economic")</f>
        <v/>
      </c>
      <c r="J10" s="466">
        <f>COUNTIF('Instruments overview'!I:I, "Economic instruments")</f>
        <v/>
      </c>
      <c r="K10" s="464" t="n"/>
      <c r="L10" s="464" t="n"/>
      <c r="M10" s="464" t="n"/>
      <c r="N10" s="464" t="n"/>
    </row>
    <row r="11" ht="14.25" customHeight="1">
      <c r="A11" s="153" t="n"/>
      <c r="B11" s="465" t="inlineStr">
        <is>
          <t>Subsidy</t>
        </is>
      </c>
      <c r="C11" s="465">
        <f>COUNTIF(Approaches!B:B, "Subsidy")</f>
        <v/>
      </c>
      <c r="D11" s="465">
        <f>COUNTIF('Instruments overview'!J:J, "Subsidy")</f>
        <v/>
      </c>
      <c r="E11" s="464" t="n"/>
      <c r="F11" s="464" t="n"/>
      <c r="G11" s="464" t="n"/>
      <c r="H11" s="379" t="inlineStr">
        <is>
          <t>Regulatory instruments</t>
        </is>
      </c>
      <c r="I11" s="466">
        <f>COUNTIF(Approaches!A:A, "Regulatory")</f>
        <v/>
      </c>
      <c r="J11" s="466">
        <f>COUNTIF('Instruments overview'!I:I, "Regulatory instruments")</f>
        <v/>
      </c>
      <c r="K11" s="464" t="n"/>
      <c r="L11" s="464" t="n"/>
      <c r="M11" s="464" t="n"/>
      <c r="N11" s="464" t="n"/>
    </row>
    <row r="12" ht="14.25" customHeight="1">
      <c r="A12" s="153" t="n"/>
      <c r="B12" s="465" t="inlineStr">
        <is>
          <t>Tax</t>
        </is>
      </c>
      <c r="C12" s="465">
        <f>COUNTIF(Approaches!B:B, "Tax")</f>
        <v/>
      </c>
      <c r="D12" s="465">
        <f>COUNTIF('Instruments overview'!J:J, "Tax")</f>
        <v/>
      </c>
      <c r="E12" s="464" t="n"/>
      <c r="F12" s="464" t="n"/>
      <c r="G12" s="464" t="n"/>
      <c r="H12" s="379" t="inlineStr">
        <is>
          <t>Government I&amp;C</t>
        </is>
      </c>
      <c r="I12" s="466">
        <f>COUNTIF(Approaches!A:A, "Government investment and consumption")</f>
        <v/>
      </c>
      <c r="J12" s="466">
        <f>COUNTIF('Instruments overview'!I:I, "Government I&amp;C")</f>
        <v/>
      </c>
      <c r="K12" s="464" t="n"/>
      <c r="L12" s="464" t="n"/>
      <c r="M12" s="464" t="n"/>
      <c r="N12" s="464" t="n"/>
    </row>
    <row r="13" ht="14.25" customHeight="1">
      <c r="A13" s="154" t="n"/>
      <c r="B13" s="465" t="inlineStr">
        <is>
          <t>Administered price</t>
        </is>
      </c>
      <c r="C13" s="465">
        <f>COUNTIF(Approaches!B:B, "Administered price")</f>
        <v/>
      </c>
      <c r="D13" s="465">
        <f>COUNTIF('Instruments overview'!J:J, "Administered price")</f>
        <v/>
      </c>
      <c r="E13" s="464" t="n"/>
      <c r="F13" s="464" t="n"/>
      <c r="G13" s="464" t="n"/>
      <c r="H13" s="379" t="inlineStr">
        <is>
          <t>Information instruments</t>
        </is>
      </c>
      <c r="I13" s="466">
        <f>COUNTIF(Approaches!A:A, "Information")</f>
        <v/>
      </c>
      <c r="J13" s="466">
        <f>COUNTIF('Instruments overview'!I:I, "Information instruments")</f>
        <v/>
      </c>
      <c r="K13" s="464" t="n"/>
      <c r="L13" s="464" t="n"/>
      <c r="M13" s="464" t="n"/>
      <c r="N13" s="464" t="n"/>
    </row>
    <row r="14" ht="14.25" customHeight="1">
      <c r="A14" s="380" t="inlineStr">
        <is>
          <t>Regulatory instruments</t>
        </is>
      </c>
      <c r="B14" s="465" t="inlineStr">
        <is>
          <t>Technology standard</t>
        </is>
      </c>
      <c r="C14" s="465">
        <f>COUNTIF(Approaches!B:B, "Technology standard")</f>
        <v/>
      </c>
      <c r="D14" s="465">
        <f>COUNTIF('Instruments overview'!J:J, "Technology standard")</f>
        <v/>
      </c>
      <c r="E14" s="464" t="n"/>
      <c r="F14" s="464" t="n"/>
      <c r="G14" s="464" t="n"/>
      <c r="H14" s="379" t="inlineStr">
        <is>
          <t>Voluntary approaches</t>
        </is>
      </c>
      <c r="I14" s="466">
        <f>COUNTIF(Approaches!A:A, "Voluntary")</f>
        <v/>
      </c>
      <c r="J14" s="466">
        <f>COUNTIF('Instruments overview'!I:I, "Voluntary approaches")</f>
        <v/>
      </c>
      <c r="K14" s="464" t="n"/>
      <c r="L14" s="464" t="n"/>
      <c r="M14" s="464" t="n"/>
      <c r="N14" s="464" t="n"/>
    </row>
    <row r="15" ht="14.25" customHeight="1">
      <c r="B15" s="465" t="inlineStr">
        <is>
          <t>Performance standard</t>
        </is>
      </c>
      <c r="C15" s="465">
        <f>COUNTIF(Approaches!B:B, "Performance standard")</f>
        <v/>
      </c>
      <c r="D15" s="465">
        <f>COUNTIF('Instruments overview'!J:J, "Performance standard")</f>
        <v/>
      </c>
      <c r="E15" s="464" t="n"/>
      <c r="F15" s="464" t="n"/>
      <c r="G15" s="464" t="n"/>
      <c r="H15" s="464" t="n"/>
      <c r="I15" s="464" t="n"/>
      <c r="J15" s="464" t="n"/>
      <c r="K15" s="464" t="n"/>
      <c r="L15" s="464" t="n"/>
      <c r="M15" s="464" t="n"/>
      <c r="N15" s="464" t="n"/>
    </row>
    <row r="16" ht="14.25" customHeight="1">
      <c r="B16" s="465" t="inlineStr">
        <is>
          <t>Framework regulation</t>
        </is>
      </c>
      <c r="C16" s="465">
        <f>COUNTIF(Approaches!B:B, "Framework regulation")</f>
        <v/>
      </c>
      <c r="D16" s="465">
        <f>COUNTIF('Instruments overview'!J:J, "Framework regulation")</f>
        <v/>
      </c>
      <c r="E16" s="464" t="n"/>
      <c r="F16" s="464" t="n"/>
      <c r="G16" s="464" t="n"/>
      <c r="H16" s="464" t="n"/>
      <c r="I16" s="464" t="n"/>
      <c r="J16" s="464" t="n"/>
      <c r="K16" s="464" t="n"/>
      <c r="L16" s="464" t="n"/>
      <c r="M16" s="464" t="n"/>
      <c r="N16" s="464" t="n"/>
    </row>
    <row r="17" ht="16.9" customHeight="1">
      <c r="A17" s="380" t="inlineStr">
        <is>
          <t>Government I&amp;C</t>
        </is>
      </c>
      <c r="B17" s="465" t="inlineStr">
        <is>
          <t>Public procurement</t>
        </is>
      </c>
      <c r="C17" s="465">
        <f>COUNTIF(Approaches!B:B, "Public procurement")</f>
        <v/>
      </c>
      <c r="D17" s="465">
        <f>COUNTIF('Instruments overview'!J:J, "Public procurement")</f>
        <v/>
      </c>
      <c r="E17" s="464" t="n"/>
      <c r="F17" s="464" t="n"/>
      <c r="G17" s="464" t="n"/>
      <c r="H17" s="226" t="inlineStr">
        <is>
          <t>Emission Sector</t>
        </is>
      </c>
      <c r="I17" s="226" t="inlineStr">
        <is>
          <t>Number of Approaches</t>
        </is>
      </c>
      <c r="J17" s="226" t="inlineStr">
        <is>
          <t>Number of Instruments</t>
        </is>
      </c>
      <c r="K17" s="464" t="n"/>
      <c r="L17" s="464" t="n"/>
      <c r="M17" s="464" t="n"/>
      <c r="N17" s="464" t="n"/>
    </row>
    <row r="18" ht="16.5" customHeight="1">
      <c r="B18" s="465" t="inlineStr">
        <is>
          <t>Public investment</t>
        </is>
      </c>
      <c r="C18" s="465">
        <f>COUNTIF(Approaches!B:B, "Public investment")</f>
        <v/>
      </c>
      <c r="D18" s="465">
        <f>COUNTIF('Instruments overview'!J:J, "Public investment")</f>
        <v/>
      </c>
      <c r="E18" s="464" t="n"/>
      <c r="F18" s="464" t="n"/>
      <c r="G18" s="464" t="n"/>
      <c r="H18" s="379" t="inlineStr">
        <is>
          <t>Energy</t>
        </is>
      </c>
      <c r="I18" s="466">
        <f>SUMPRODUCT((ISNUMBER(SEARCH("Energy",Approaches!F:F)))*1)</f>
        <v/>
      </c>
      <c r="J18" s="466">
        <f>COUNTIF('Instruments overview'!K:K, "*Energy*")</f>
        <v/>
      </c>
      <c r="K18" s="464" t="n"/>
      <c r="L18" s="464" t="n"/>
      <c r="M18" s="464" t="n"/>
      <c r="N18" s="464" t="n"/>
    </row>
    <row r="19" ht="14.25" customHeight="1">
      <c r="B19" s="465" t="inlineStr">
        <is>
          <t>Public appraisal rule</t>
        </is>
      </c>
      <c r="C19" s="465">
        <f>COUNTIF(Approaches!B:B, "Public appraisal rules")</f>
        <v/>
      </c>
      <c r="D19" s="465">
        <f>COUNTIF('Instruments overview'!J:J, "Public appraisal rules")</f>
        <v/>
      </c>
      <c r="E19" s="464" t="n"/>
      <c r="F19" s="464" t="n"/>
      <c r="G19" s="464" t="n"/>
      <c r="H19" s="379" t="inlineStr">
        <is>
          <t>Industry</t>
        </is>
      </c>
      <c r="I19" s="466">
        <f>SUMPRODUCT((ISNUMBER(SEARCH("Industry",Approaches!F:F)))*1)</f>
        <v/>
      </c>
      <c r="J19" s="466">
        <f>COUNTIF('Instruments overview'!K:K, "*Industry*")</f>
        <v/>
      </c>
      <c r="K19" s="464" t="n"/>
      <c r="L19" s="464" t="n"/>
      <c r="M19" s="464" t="n"/>
      <c r="N19" s="464" t="n"/>
    </row>
    <row r="20" ht="14.25" customHeight="1">
      <c r="A20" s="380" t="inlineStr">
        <is>
          <t>Information instruments</t>
        </is>
      </c>
      <c r="B20" s="465" t="inlineStr">
        <is>
          <t>Label</t>
        </is>
      </c>
      <c r="C20" s="465">
        <f>COUNTIF(Approaches!B:B, "Comparative energy efficiency label")</f>
        <v/>
      </c>
      <c r="D20" s="465">
        <f>COUNTIF('Instruments overview'!J:J, "Comparative energy efficiency label")</f>
        <v/>
      </c>
      <c r="E20" s="464" t="n"/>
      <c r="F20" s="464" t="n"/>
      <c r="G20" s="464" t="n"/>
      <c r="H20" s="379" t="inlineStr">
        <is>
          <t>Buildings</t>
        </is>
      </c>
      <c r="I20" s="466">
        <f>SUMPRODUCT((ISNUMBER(SEARCH("Buildings",Approaches!F:F)))*1)</f>
        <v/>
      </c>
      <c r="J20" s="466">
        <f>COUNTIF('Instruments overview'!K:K, "*Buildings*")</f>
        <v/>
      </c>
      <c r="K20" s="464" t="n"/>
      <c r="L20" s="464" t="n"/>
      <c r="M20" s="464" t="n"/>
      <c r="N20" s="464" t="n"/>
    </row>
    <row r="21" ht="14.25" customHeight="1">
      <c r="B21" s="465" t="inlineStr">
        <is>
          <t>Reporting requirement</t>
        </is>
      </c>
      <c r="C21" s="465">
        <f>COUNTIF(Approaches!B:B, "Reporting requirements")</f>
        <v/>
      </c>
      <c r="D21" s="465">
        <f>COUNTIF('Instruments overview'!J:J, "Reporting requirements")</f>
        <v/>
      </c>
      <c r="E21" s="464" t="n"/>
      <c r="F21" s="464" t="n"/>
      <c r="G21" s="464" t="n"/>
      <c r="H21" s="379" t="inlineStr">
        <is>
          <t>Transport</t>
        </is>
      </c>
      <c r="I21" s="466">
        <f>SUMPRODUCT((ISNUMBER(SEARCH("Transport",Approaches!F:F)))*1)</f>
        <v/>
      </c>
      <c r="J21" s="466">
        <f>COUNTIF('Instruments overview'!K:K, "*Transport*")</f>
        <v/>
      </c>
      <c r="K21" s="464" t="n"/>
      <c r="L21" s="464" t="n"/>
      <c r="M21" s="464" t="n"/>
      <c r="N21" s="464" t="n"/>
    </row>
    <row r="22" ht="14.25" customHeight="1">
      <c r="B22" s="465" t="inlineStr">
        <is>
          <t>Capacity building and public awareness</t>
        </is>
      </c>
      <c r="C22" s="465">
        <f>COUNTIF(Approaches!B:B, "Capacity building and public awareness")</f>
        <v/>
      </c>
      <c r="D22" s="465">
        <f>COUNTIF('Instruments overview'!J:J, "Capacity building and public awareness")</f>
        <v/>
      </c>
      <c r="E22" s="464" t="n"/>
      <c r="F22" s="464" t="n"/>
      <c r="G22" s="464" t="n"/>
      <c r="H22" s="379" t="inlineStr">
        <is>
          <t>AFOLU</t>
        </is>
      </c>
      <c r="I22" s="466">
        <f>SUMPRODUCT((ISNUMBER(SEARCH("AFOLU",Approaches!F:F)))*1)</f>
        <v/>
      </c>
      <c r="J22" s="466">
        <f>COUNTIF('Instruments overview'!K:K, "*AFOLU*")</f>
        <v/>
      </c>
      <c r="K22" s="464" t="n"/>
      <c r="L22" s="464" t="n"/>
      <c r="M22" s="464" t="n"/>
      <c r="N22" s="464" t="n"/>
    </row>
    <row r="23" ht="14.25" customHeight="1">
      <c r="A23" s="380" t="inlineStr">
        <is>
          <t>Voluntary approaches</t>
        </is>
      </c>
      <c r="B23" s="465" t="inlineStr">
        <is>
          <t>Voluntary information instrument</t>
        </is>
      </c>
      <c r="C23" s="465">
        <f>COUNTIF(Approaches!B:B, "Voluntary information instrument")</f>
        <v/>
      </c>
      <c r="D23" s="465">
        <f>COUNTIF('Instruments overview'!J:J, "Voluntary information instrument")</f>
        <v/>
      </c>
      <c r="E23" s="464" t="n"/>
      <c r="F23" s="464" t="n"/>
      <c r="G23" s="464" t="n"/>
      <c r="H23" s="379" t="inlineStr">
        <is>
          <t>Waste</t>
        </is>
      </c>
      <c r="I23" s="466">
        <f>SUMPRODUCT((ISNUMBER(SEARCH("Waste",Approaches!F:F)))*1)</f>
        <v/>
      </c>
      <c r="J23" s="466">
        <f>COUNTIF('Instruments overview'!K:K, "*Waste*")</f>
        <v/>
      </c>
      <c r="K23" s="464" t="n"/>
      <c r="L23" s="464" t="n"/>
      <c r="M23" s="464" t="n"/>
      <c r="N23" s="464" t="n"/>
    </row>
    <row r="24" ht="14.25" customHeight="1">
      <c r="B24" s="465" t="inlineStr">
        <is>
          <t>Voluntary target</t>
        </is>
      </c>
      <c r="C24" s="465">
        <f>COUNTIF(Approaches!B:B, "Voluntary target")</f>
        <v/>
      </c>
      <c r="D24" s="465">
        <f>COUNTIF('Instruments overview'!J:J, "Voluntary target")</f>
        <v/>
      </c>
      <c r="E24" s="464" t="n"/>
      <c r="F24" s="464" t="n"/>
      <c r="G24" s="464" t="n"/>
      <c r="H24" s="379" t="inlineStr">
        <is>
          <t>Cross-sectoral</t>
        </is>
      </c>
      <c r="I24" s="466">
        <f>SUMPRODUCT((ISNUMBER(SEARCH("Cross-sectoral",Approaches!F:F)))*1)</f>
        <v/>
      </c>
      <c r="J24" s="466">
        <f>COUNTIF('Instruments overview'!K:K, "*Cross-sectoral*")</f>
        <v/>
      </c>
      <c r="K24" s="464" t="n"/>
      <c r="L24" s="464" t="n"/>
      <c r="M24" s="464" t="n"/>
      <c r="N24" s="464" t="n"/>
    </row>
    <row r="25" ht="14.25" customHeight="1">
      <c r="B25" s="465" t="inlineStr">
        <is>
          <t>Voluntary trading system</t>
        </is>
      </c>
      <c r="C25" s="465">
        <f>COUNTIF(Approaches!B:B, "Voluntary trading system")</f>
        <v/>
      </c>
      <c r="D25" s="465">
        <f>COUNTIF('Instruments overview'!J:J, "Voluntary trading system")</f>
        <v/>
      </c>
      <c r="E25" s="464" t="n"/>
      <c r="F25" s="464" t="n"/>
      <c r="G25" s="464" t="n"/>
      <c r="H25" s="381" t="n"/>
      <c r="I25" s="464" t="n"/>
      <c r="J25" s="464" t="n"/>
      <c r="K25" s="464" t="n"/>
      <c r="L25" s="464" t="n"/>
      <c r="M25" s="464" t="n"/>
      <c r="N25" s="464" t="n"/>
    </row>
    <row r="26" ht="14.25" customHeight="1">
      <c r="A26" s="464" t="n"/>
      <c r="B26" s="464" t="n"/>
      <c r="C26" s="464" t="n"/>
      <c r="D26" s="464" t="n"/>
      <c r="E26" s="464" t="n"/>
      <c r="F26" s="464" t="n"/>
      <c r="G26" s="464" t="n"/>
      <c r="H26" s="464" t="n"/>
      <c r="I26" s="464" t="n"/>
      <c r="J26" s="464" t="n"/>
      <c r="K26" s="464" t="n"/>
      <c r="L26" s="464" t="n"/>
      <c r="M26" s="464" t="n"/>
      <c r="N26" s="464" t="n"/>
    </row>
    <row r="27" ht="14.25" customHeight="1">
      <c r="A27" s="467" t="inlineStr">
        <is>
          <t>Note: The sum of numbers for "category" and "group" equals the total number of approaches/instruments, since each approach/instrument only belongs to one category/group. The sum of numbers in the other tables are larger than the total number of approaches/instruments since some approaches/instruments belong to more than one classification.</t>
        </is>
      </c>
      <c r="B27" s="464" t="n"/>
      <c r="C27" s="464" t="n"/>
      <c r="D27" s="464" t="n"/>
      <c r="E27" s="464" t="n"/>
      <c r="F27" s="464" t="n"/>
      <c r="G27" s="464" t="n"/>
      <c r="H27" s="464" t="n"/>
      <c r="I27" s="464" t="n"/>
      <c r="J27" s="464" t="n"/>
      <c r="K27" s="464" t="n"/>
      <c r="L27" s="464" t="n"/>
      <c r="M27" s="464" t="n"/>
      <c r="N27" s="464" t="n"/>
    </row>
    <row r="28" ht="14.25" customHeight="1">
      <c r="A28" s="464" t="n"/>
      <c r="B28" s="464" t="n"/>
      <c r="C28" s="464" t="n"/>
      <c r="D28" s="464" t="n"/>
      <c r="E28" s="464" t="n"/>
      <c r="F28" s="464" t="n"/>
      <c r="G28" s="464" t="n"/>
      <c r="H28" s="464" t="n"/>
      <c r="I28" s="464" t="n"/>
      <c r="J28" s="464" t="n"/>
      <c r="K28" s="464" t="n"/>
      <c r="L28" s="464" t="n"/>
      <c r="M28" s="464" t="n"/>
      <c r="N28" s="464" t="n"/>
    </row>
    <row r="29" ht="14.25" customHeight="1">
      <c r="A29" s="464" t="n"/>
      <c r="B29" s="464" t="n"/>
      <c r="C29" s="464" t="n"/>
      <c r="D29" s="464" t="n"/>
      <c r="E29" s="464" t="n"/>
      <c r="F29" s="464" t="n"/>
      <c r="G29" s="464" t="n"/>
      <c r="H29" s="464" t="n"/>
      <c r="I29" s="464" t="n"/>
      <c r="J29" s="464" t="n"/>
      <c r="K29" s="464" t="n"/>
      <c r="L29" s="464" t="n"/>
      <c r="M29" s="464" t="n"/>
      <c r="N29" s="464" t="n"/>
    </row>
    <row r="30" ht="16.9" customHeight="1">
      <c r="A30" s="464" t="n"/>
      <c r="B30" s="464" t="n"/>
      <c r="C30" s="464" t="n"/>
      <c r="D30" s="464" t="n"/>
      <c r="E30" s="464" t="n"/>
      <c r="F30" s="464" t="n"/>
      <c r="G30" s="464" t="n"/>
      <c r="H30" s="226" t="inlineStr">
        <is>
          <t>Mitigation relevance</t>
        </is>
      </c>
      <c r="I30" s="226" t="inlineStr">
        <is>
          <t>Number of Approaches</t>
        </is>
      </c>
      <c r="J30" s="226" t="inlineStr">
        <is>
          <t>Number of Instruments</t>
        </is>
      </c>
      <c r="K30" s="464" t="n"/>
      <c r="L30" s="464" t="n"/>
      <c r="M30" s="464" t="n"/>
      <c r="N30" s="464" t="n"/>
    </row>
    <row r="31" ht="16.5" customHeight="1">
      <c r="A31" s="464" t="n"/>
      <c r="B31" s="464" t="n"/>
      <c r="C31" s="464" t="n"/>
      <c r="D31" s="464" t="n"/>
      <c r="E31" s="464" t="n"/>
      <c r="F31" s="464" t="n"/>
      <c r="G31" s="464" t="n"/>
      <c r="H31" s="379" t="inlineStr">
        <is>
          <t>Direct</t>
        </is>
      </c>
      <c r="I31" s="466">
        <f>SUMPRODUCT((ISNUMBER(SEARCH("Direct",Approaches!G:G)))*1)</f>
        <v/>
      </c>
      <c r="J31" s="466">
        <f>COUNTIF('Instruments overview'!H:H, "Direct")</f>
        <v/>
      </c>
      <c r="K31" s="464" t="n"/>
      <c r="L31" s="464" t="n"/>
      <c r="M31" s="464" t="n"/>
      <c r="N31" s="464" t="n"/>
    </row>
    <row r="32" ht="14.25" customHeight="1">
      <c r="A32" s="464" t="n"/>
      <c r="B32" s="464" t="n"/>
      <c r="C32" s="464" t="n"/>
      <c r="D32" s="464" t="n"/>
      <c r="E32" s="464" t="n"/>
      <c r="F32" s="464" t="n"/>
      <c r="G32" s="464" t="n"/>
      <c r="H32" s="379" t="inlineStr">
        <is>
          <t>Indirect</t>
        </is>
      </c>
      <c r="I32" s="466">
        <f>SUMPRODUCT((ISNUMBER(SEARCH("Indirect",Approaches!G:G)))*1)</f>
        <v/>
      </c>
      <c r="J32" s="466">
        <f>COUNTIF('Instruments overview'!H:H, "Indirect")</f>
        <v/>
      </c>
      <c r="K32" s="464" t="n"/>
      <c r="L32" s="464" t="n"/>
      <c r="M32" s="464" t="n"/>
      <c r="N32" s="464" t="n"/>
    </row>
    <row r="33" ht="14.25" customHeight="1">
      <c r="A33" s="464" t="n"/>
      <c r="B33" s="464" t="n"/>
      <c r="C33" s="464" t="n"/>
      <c r="D33" s="464" t="n"/>
      <c r="E33" s="464" t="n"/>
      <c r="F33" s="464" t="n"/>
      <c r="G33" s="464" t="n"/>
      <c r="H33" s="464" t="n"/>
      <c r="I33" s="464" t="n"/>
      <c r="J33" s="464" t="n"/>
      <c r="K33" s="464" t="n"/>
      <c r="L33" s="464" t="n"/>
      <c r="M33" s="464" t="n"/>
      <c r="N33" s="464" t="n"/>
    </row>
    <row r="34" ht="14.25" customHeight="1">
      <c r="A34" s="464" t="n"/>
      <c r="B34" s="464" t="n"/>
      <c r="C34" s="464" t="n"/>
      <c r="D34" s="464" t="n"/>
      <c r="E34" s="464" t="n"/>
      <c r="F34" s="464" t="n"/>
      <c r="G34" s="464" t="n"/>
      <c r="H34" s="464" t="n"/>
      <c r="I34" s="464" t="n"/>
      <c r="J34" s="464" t="n"/>
      <c r="K34" s="464" t="n"/>
      <c r="L34" s="464" t="n"/>
      <c r="M34" s="464" t="n"/>
      <c r="N34" s="464" t="n"/>
    </row>
    <row r="35" ht="16.9" customHeight="1">
      <c r="A35" s="464" t="n"/>
      <c r="B35" s="464" t="n"/>
      <c r="C35" s="464" t="n"/>
      <c r="D35" s="464" t="n"/>
      <c r="E35" s="464" t="n"/>
      <c r="F35" s="464" t="n"/>
      <c r="G35" s="464" t="n"/>
      <c r="H35" s="466" t="n"/>
      <c r="I35" s="226" t="inlineStr">
        <is>
          <t>Economic instruments</t>
        </is>
      </c>
      <c r="J35" s="226" t="inlineStr">
        <is>
          <t>Regulatory instruments</t>
        </is>
      </c>
      <c r="K35" s="226" t="inlineStr">
        <is>
          <t>Government I&amp;C</t>
        </is>
      </c>
      <c r="L35" s="226" t="inlineStr">
        <is>
          <t>Information instruments</t>
        </is>
      </c>
      <c r="M35" s="226" t="inlineStr">
        <is>
          <t>Voluntary approaches</t>
        </is>
      </c>
      <c r="N35" s="226" t="inlineStr">
        <is>
          <t>Total number of approaches</t>
        </is>
      </c>
    </row>
    <row r="36" ht="16.5" customHeight="1">
      <c r="A36" s="464" t="n"/>
      <c r="B36" s="464" t="n"/>
      <c r="C36" s="464" t="n"/>
      <c r="D36" s="464" t="n"/>
      <c r="E36" s="464" t="n"/>
      <c r="F36" s="464" t="n"/>
      <c r="G36" s="464" t="n"/>
      <c r="H36" s="382" t="inlineStr">
        <is>
          <t>Energy</t>
        </is>
      </c>
      <c r="I36" s="466">
        <f>COUNTIFS(Approaches!F:F, "*Energy*", Approaches!A:A, "Economic")</f>
        <v/>
      </c>
      <c r="J36" s="466">
        <f>COUNTIFS(Approaches!F:F, "*Energy*", Approaches!A:A, "Regulatory")</f>
        <v/>
      </c>
      <c r="K36" s="466">
        <f>COUNTIFS(Approaches!F:F, "*Energy*", Approaches!A:A, "Government investment and consumption")</f>
        <v/>
      </c>
      <c r="L36" s="466">
        <f>COUNTIFS(Approaches!F:F, "*Energy*", Approaches!A:A, "Information")</f>
        <v/>
      </c>
      <c r="M36" s="466">
        <f>COUNTIFS(Approaches!F:F, "*Energy*", Approaches!A:A, "Voluntary")</f>
        <v/>
      </c>
      <c r="N36" s="466">
        <f>SUM(I36:M36)</f>
        <v/>
      </c>
    </row>
    <row r="37" ht="16.5" customHeight="1">
      <c r="A37" s="464" t="n"/>
      <c r="B37" s="464" t="n"/>
      <c r="C37" s="464" t="n"/>
      <c r="D37" s="464" t="n"/>
      <c r="E37" s="464" t="n"/>
      <c r="F37" s="464" t="n"/>
      <c r="G37" s="464" t="n"/>
      <c r="H37" s="382" t="inlineStr">
        <is>
          <t>Industry</t>
        </is>
      </c>
      <c r="I37" s="466">
        <f>COUNTIFS(Approaches!F:F, "*Industry*", Approaches!A:A, "Economic")</f>
        <v/>
      </c>
      <c r="J37" s="466">
        <f>COUNTIFS(Approaches!F:F, "*Industry*", Approaches!A:A, "Regulatory")</f>
        <v/>
      </c>
      <c r="K37" s="466">
        <f>COUNTIFS(Approaches!F:F, "*Industry*", Approaches!A:A, "Government investment and consumption")</f>
        <v/>
      </c>
      <c r="L37" s="466">
        <f>COUNTIFS(Approaches!F:F, "*Industry*", Approaches!A:A, "Information")</f>
        <v/>
      </c>
      <c r="M37" s="466">
        <f>COUNTIFS(Approaches!F:F, "*Industry*", Approaches!A:A, "Voluntary")</f>
        <v/>
      </c>
      <c r="N37" s="466">
        <f>SUM(I37:M37)</f>
        <v/>
      </c>
    </row>
    <row r="38" ht="16.5" customHeight="1">
      <c r="A38" s="464" t="n"/>
      <c r="B38" s="464" t="n"/>
      <c r="C38" s="464" t="n"/>
      <c r="D38" s="464" t="n"/>
      <c r="E38" s="464" t="n"/>
      <c r="F38" s="464" t="n"/>
      <c r="G38" s="464" t="n"/>
      <c r="H38" s="382" t="inlineStr">
        <is>
          <t>Buildings</t>
        </is>
      </c>
      <c r="I38" s="466">
        <f>COUNTIFS(Approaches!F:F, "*Buildings*", Approaches!A:A, "Economic")</f>
        <v/>
      </c>
      <c r="J38" s="466">
        <f>COUNTIFS(Approaches!F:F, "*Buildings*", Approaches!A:A, "Regulatory")</f>
        <v/>
      </c>
      <c r="K38" s="466">
        <f>COUNTIFS(Approaches!F:F, "*Buildings*", Approaches!A:A, "Government investment and consumption")</f>
        <v/>
      </c>
      <c r="L38" s="466">
        <f>COUNTIFS(Approaches!F:F, "*Buildings*", Approaches!A:A, "Information")</f>
        <v/>
      </c>
      <c r="M38" s="466">
        <f>COUNTIFS(Approaches!F:F, "*Buildings*", Approaches!A:A, "Voluntary")</f>
        <v/>
      </c>
      <c r="N38" s="466">
        <f>SUM(I38:M38)</f>
        <v/>
      </c>
    </row>
    <row r="39" ht="16.5" customHeight="1">
      <c r="A39" s="464" t="n"/>
      <c r="B39" s="464" t="n"/>
      <c r="C39" s="464" t="n"/>
      <c r="D39" s="464" t="n"/>
      <c r="E39" s="464" t="n"/>
      <c r="F39" s="464" t="n"/>
      <c r="G39" s="464" t="n"/>
      <c r="H39" s="382" t="inlineStr">
        <is>
          <t>Transport</t>
        </is>
      </c>
      <c r="I39" s="466">
        <f>COUNTIFS(Approaches!F:F, "*Transport*", Approaches!A:A, "Economic")</f>
        <v/>
      </c>
      <c r="J39" s="466">
        <f>COUNTIFS(Approaches!F:F, "*Transport*", Approaches!A:A, "Regulatory")</f>
        <v/>
      </c>
      <c r="K39" s="466">
        <f>COUNTIFS(Approaches!F:F, "*Transport*", Approaches!A:A, "Government investment and consumption")</f>
        <v/>
      </c>
      <c r="L39" s="466">
        <f>COUNTIFS(Approaches!F:F, "*Transport*", Approaches!A:A, "Information")</f>
        <v/>
      </c>
      <c r="M39" s="466">
        <f>COUNTIFS(Approaches!F:F, "*Transport*", Approaches!A:A, "Voluntary")</f>
        <v/>
      </c>
      <c r="N39" s="466">
        <f>SUM(I39:M39)</f>
        <v/>
      </c>
    </row>
    <row r="40" ht="16.5" customHeight="1">
      <c r="A40" s="464" t="n"/>
      <c r="B40" s="464" t="n"/>
      <c r="C40" s="464" t="n"/>
      <c r="D40" s="464" t="n"/>
      <c r="E40" s="464" t="n"/>
      <c r="F40" s="464" t="n"/>
      <c r="G40" s="464" t="n"/>
      <c r="H40" s="382" t="inlineStr">
        <is>
          <t>AFOLU</t>
        </is>
      </c>
      <c r="I40" s="466">
        <f>COUNTIFS(Approaches!F:F, "*AFOLU*", Approaches!A:A, "Economic")</f>
        <v/>
      </c>
      <c r="J40" s="466">
        <f>COUNTIFS(Approaches!F:F, "*AFOLU*", Approaches!A:A, "Regulatory")</f>
        <v/>
      </c>
      <c r="K40" s="466">
        <f>COUNTIFS(Approaches!F:F, "*AFOLU*", Approaches!A:A, "Government investment and consumption")</f>
        <v/>
      </c>
      <c r="L40" s="466">
        <f>COUNTIFS(Approaches!F:F, "*AFOLU*", Approaches!A:A, "Information")</f>
        <v/>
      </c>
      <c r="M40" s="466">
        <f>COUNTIFS(Approaches!F:F, "*AFOLU*", Approaches!A:A, "Voluntary")</f>
        <v/>
      </c>
      <c r="N40" s="466">
        <f>SUM(I40:M40)</f>
        <v/>
      </c>
    </row>
    <row r="41" ht="16.5" customHeight="1">
      <c r="A41" s="464" t="n"/>
      <c r="B41" s="464" t="n"/>
      <c r="C41" s="464" t="n"/>
      <c r="D41" s="464" t="n"/>
      <c r="E41" s="464" t="n"/>
      <c r="F41" s="464" t="n"/>
      <c r="G41" s="464" t="n"/>
      <c r="H41" s="382" t="inlineStr">
        <is>
          <t>Waste</t>
        </is>
      </c>
      <c r="I41" s="466">
        <f>COUNTIFS(Approaches!F:F, "*Waste*", Approaches!A:A, "Economic")</f>
        <v/>
      </c>
      <c r="J41" s="466">
        <f>COUNTIFS(Approaches!F:F, "*Waste*", Approaches!A:A, "Regulatory")</f>
        <v/>
      </c>
      <c r="K41" s="466">
        <f>COUNTIFS(Approaches!F:F, "*Waste*", Approaches!A:A, "Government investment and consumption")</f>
        <v/>
      </c>
      <c r="L41" s="466">
        <f>COUNTIFS(Approaches!F:F, "*Waste*", Approaches!A:A, "Information")</f>
        <v/>
      </c>
      <c r="M41" s="466">
        <f>COUNTIFS(Approaches!F:F, "*Waste*", Approaches!A:A, "Voluntary")</f>
        <v/>
      </c>
      <c r="N41" s="466">
        <f>SUM(I41:M41)</f>
        <v/>
      </c>
    </row>
    <row r="42" ht="16.5" customHeight="1">
      <c r="A42" s="464" t="n"/>
      <c r="B42" s="464" t="n"/>
      <c r="C42" s="464" t="n"/>
      <c r="D42" s="464" t="n"/>
      <c r="E42" s="464" t="n"/>
      <c r="F42" s="464" t="n"/>
      <c r="G42" s="464" t="n"/>
      <c r="H42" s="382" t="inlineStr">
        <is>
          <t>Cross-sectoral</t>
        </is>
      </c>
      <c r="I42" s="466">
        <f>COUNTIFS(Approaches!F:F, "*Cross-sectoral*", Approaches!A:A, "Economic")</f>
        <v/>
      </c>
      <c r="J42" s="466">
        <f>COUNTIFS(Approaches!F:F, "*Cross-sectoral*", Approaches!A:A, "Regulatory")</f>
        <v/>
      </c>
      <c r="K42" s="466">
        <f>COUNTIFS(Approaches!F:F, "*Cross-sectoral*", Approaches!A:A, "Government investment and consumption")</f>
        <v/>
      </c>
      <c r="L42" s="466">
        <f>COUNTIFS(Approaches!F:F, "*Cross-sectoral*", Approaches!A:A, "Information")</f>
        <v/>
      </c>
      <c r="M42" s="466">
        <f>COUNTIFS(Approaches!F:F, "*Cross-sectoral*", Approaches!A:A, "Voluntary")</f>
        <v/>
      </c>
      <c r="N42" s="466">
        <f>SUM(I42:M42)</f>
        <v/>
      </c>
    </row>
    <row r="43" ht="16.5" customHeight="1">
      <c r="A43" s="464" t="n"/>
      <c r="B43" s="464" t="n"/>
      <c r="C43" s="464" t="n"/>
      <c r="D43" s="464" t="n"/>
      <c r="E43" s="464" t="n"/>
      <c r="F43" s="464" t="n"/>
      <c r="G43" s="464" t="n"/>
      <c r="H43" s="468" t="n"/>
      <c r="I43" s="464" t="n"/>
      <c r="J43" s="464" t="n"/>
      <c r="K43" s="464" t="n"/>
      <c r="L43" s="464" t="n"/>
      <c r="M43" s="464" t="n"/>
      <c r="N43" s="464" t="n"/>
    </row>
    <row r="44" ht="16.5" customHeight="1"/>
  </sheetData>
  <mergeCells count="5">
    <mergeCell ref="A17:A19"/>
    <mergeCell ref="A20:A22"/>
    <mergeCell ref="A23:A25"/>
    <mergeCell ref="A14:A16"/>
    <mergeCell ref="A10:A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2"/>
  <sheetViews>
    <sheetView topLeftCell="AL1" workbookViewId="0">
      <selection activeCell="M20" sqref="M20"/>
    </sheetView>
  </sheetViews>
  <sheetFormatPr baseColWidth="8" defaultRowHeight="13.9"/>
  <sheetData>
    <row r="1" ht="15.75" customHeight="1">
      <c r="A1" s="387" t="inlineStr">
        <is>
          <t>Identification</t>
        </is>
      </c>
      <c r="B1" s="93" t="n"/>
      <c r="C1" s="388" t="inlineStr">
        <is>
          <t>Instrument typology</t>
        </is>
      </c>
      <c r="D1" s="95" t="n"/>
      <c r="E1" s="95" t="n"/>
      <c r="F1" s="96" t="n"/>
      <c r="G1" s="389" t="inlineStr">
        <is>
          <t>Policy description</t>
        </is>
      </c>
      <c r="H1" s="95" t="n"/>
      <c r="I1" s="95" t="n"/>
      <c r="J1" s="95" t="n"/>
      <c r="K1" s="95" t="n"/>
      <c r="L1" s="95" t="n"/>
      <c r="M1" s="390" t="inlineStr">
        <is>
          <t>Administrative information</t>
        </is>
      </c>
      <c r="N1" s="95" t="n"/>
      <c r="O1" s="95" t="n"/>
      <c r="P1" s="95" t="n"/>
      <c r="Q1" s="95" t="n"/>
      <c r="R1" s="95" t="n"/>
      <c r="S1" s="95" t="n"/>
      <c r="T1" s="95" t="n"/>
      <c r="U1" s="95" t="n"/>
      <c r="V1" s="391" t="inlineStr">
        <is>
          <t>Policy regulatory base and intensity</t>
        </is>
      </c>
      <c r="W1" s="392" t="n"/>
      <c r="X1" s="392" t="n"/>
      <c r="Y1" s="392" t="n"/>
      <c r="Z1" s="392" t="n"/>
      <c r="AA1" s="392" t="n"/>
      <c r="AB1" s="392" t="n"/>
      <c r="AC1" s="392" t="n"/>
      <c r="AD1" s="392" t="n"/>
      <c r="AE1" s="392" t="n"/>
      <c r="AF1" s="392" t="n"/>
      <c r="AG1" s="392" t="n"/>
      <c r="AH1" s="392" t="n"/>
      <c r="AI1" s="392" t="n"/>
      <c r="AJ1" s="392" t="n"/>
      <c r="AK1" s="393" t="inlineStr">
        <is>
          <t>Instrument-specific attributes</t>
        </is>
      </c>
      <c r="AL1" s="100" t="n"/>
      <c r="AM1" s="100" t="n"/>
      <c r="AN1" s="100" t="n"/>
      <c r="AO1" s="100" t="n"/>
      <c r="AP1" s="100" t="n"/>
      <c r="AQ1" s="100" t="n"/>
      <c r="AR1" s="100" t="n"/>
      <c r="AS1" s="100" t="n"/>
      <c r="AT1" s="100" t="n"/>
      <c r="AU1" s="100" t="n"/>
      <c r="AV1" s="100" t="n"/>
      <c r="AW1" s="100" t="n"/>
      <c r="AX1" s="100" t="n"/>
      <c r="AY1" s="100" t="n"/>
      <c r="AZ1" s="100" t="n"/>
      <c r="BA1" s="100" t="n"/>
      <c r="BB1" s="100" t="n"/>
      <c r="BC1" s="100" t="n"/>
      <c r="BD1" s="394" t="inlineStr">
        <is>
          <t>GHG emission base</t>
        </is>
      </c>
      <c r="BE1" s="101" t="n"/>
      <c r="BF1" s="395" t="inlineStr">
        <is>
          <t>Classification &amp; Indicators</t>
        </is>
      </c>
      <c r="BG1" s="100" t="n"/>
      <c r="BH1" s="100" t="n"/>
      <c r="BI1" s="100" t="n"/>
      <c r="BJ1" s="396" t="inlineStr">
        <is>
          <t>References to legislation</t>
        </is>
      </c>
      <c r="BK1" s="392" t="n"/>
      <c r="BL1" s="392" t="n"/>
      <c r="BM1" s="397" t="n"/>
    </row>
    <row r="2" ht="15.75" customHeight="1">
      <c r="A2" s="398" t="inlineStr">
        <is>
          <t>Policy Instrument ID</t>
        </is>
      </c>
      <c r="B2" s="398" t="inlineStr">
        <is>
          <t>Instrument / subscheme</t>
        </is>
      </c>
      <c r="C2" s="399" t="inlineStr">
        <is>
          <t>Group</t>
        </is>
      </c>
      <c r="D2" s="399" t="inlineStr">
        <is>
          <t>Approach</t>
        </is>
      </c>
      <c r="E2" s="399" t="inlineStr">
        <is>
          <t>Emission sector</t>
        </is>
      </c>
      <c r="F2" s="399" t="inlineStr">
        <is>
          <t>Sub-sector</t>
        </is>
      </c>
      <c r="G2" s="400" t="inlineStr">
        <is>
          <t>Domestic instrument name</t>
        </is>
      </c>
      <c r="H2" s="400" t="inlineStr">
        <is>
          <t>English instrument name</t>
        </is>
      </c>
      <c r="I2" s="400" t="inlineStr">
        <is>
          <t>Policy Package</t>
        </is>
      </c>
      <c r="J2" s="400" t="inlineStr">
        <is>
          <t>Description</t>
        </is>
      </c>
      <c r="K2" s="400" t="inlineStr">
        <is>
          <t>Objective</t>
        </is>
      </c>
      <c r="L2" s="400" t="inlineStr">
        <is>
          <t>Mitigation relevance</t>
        </is>
      </c>
      <c r="M2" s="401" t="inlineStr">
        <is>
          <t>Jurisdiction level</t>
        </is>
      </c>
      <c r="N2" s="401" t="inlineStr">
        <is>
          <t>Jurisdiction name</t>
        </is>
      </c>
      <c r="O2" s="401" t="inlineStr">
        <is>
          <t>Adoption date</t>
        </is>
      </c>
      <c r="P2" s="401" t="inlineStr">
        <is>
          <t>Start date</t>
        </is>
      </c>
      <c r="Q2" s="401" t="inlineStr">
        <is>
          <t>End date</t>
        </is>
      </c>
      <c r="R2" s="401" t="inlineStr">
        <is>
          <t>Last revisions</t>
        </is>
      </c>
      <c r="S2" s="401" t="inlineStr">
        <is>
          <t>Last revisions (Details)</t>
        </is>
      </c>
      <c r="T2" s="401" t="inlineStr">
        <is>
          <t>Status</t>
        </is>
      </c>
      <c r="U2" s="401" t="inlineStr">
        <is>
          <t>Administrating authorities</t>
        </is>
      </c>
      <c r="V2" s="402" t="inlineStr">
        <is>
          <t>Asset</t>
        </is>
      </c>
      <c r="W2" s="402" t="inlineStr">
        <is>
          <t>Asset (Status)</t>
        </is>
      </c>
      <c r="X2" s="402" t="inlineStr">
        <is>
          <t>Asset (Details)</t>
        </is>
      </c>
      <c r="Y2" s="402" t="inlineStr">
        <is>
          <t>Asset (Other)</t>
        </is>
      </c>
      <c r="Z2" s="402" t="inlineStr">
        <is>
          <t>Asset (Cut-off range)</t>
        </is>
      </c>
      <c r="AA2" s="402" t="inlineStr">
        <is>
          <t>Agent</t>
        </is>
      </c>
      <c r="AB2" s="402" t="inlineStr">
        <is>
          <t>Agent (Detail)</t>
        </is>
      </c>
      <c r="AC2" s="402" t="inlineStr">
        <is>
          <t>Activity</t>
        </is>
      </c>
      <c r="AD2" s="402" t="inlineStr">
        <is>
          <t>Activity (Details)</t>
        </is>
      </c>
      <c r="AE2" s="402" t="inlineStr">
        <is>
          <t>Intensity (Value)</t>
        </is>
      </c>
      <c r="AF2" s="402" t="inlineStr">
        <is>
          <t>Intensity (Unit)</t>
        </is>
      </c>
      <c r="AG2" s="402" t="inlineStr">
        <is>
          <t>Intensity (Details)</t>
        </is>
      </c>
      <c r="AH2" s="402" t="inlineStr">
        <is>
          <t>Requirement specification</t>
        </is>
      </c>
      <c r="AI2" s="402" t="inlineStr">
        <is>
          <t>Compliance calculation methodology I</t>
        </is>
      </c>
      <c r="AJ2" s="402" t="inlineStr">
        <is>
          <t>Compliance calculation methodology II</t>
        </is>
      </c>
      <c r="AK2" s="403" t="inlineStr">
        <is>
          <t>Tax and Tax Incentive: annual revenue</t>
        </is>
      </c>
      <c r="AL2" s="403" t="inlineStr">
        <is>
          <t>Tax and Tax Incentive: earmarked revenue</t>
        </is>
      </c>
      <c r="AM2" s="403" t="inlineStr">
        <is>
          <t>Tax and Tax Incentive: annual revenue forgone</t>
        </is>
      </c>
      <c r="AN2" s="403" t="inlineStr">
        <is>
          <t>Subsidy: annual budget/ expenditure</t>
        </is>
      </c>
      <c r="AO2" s="403" t="inlineStr">
        <is>
          <t>Subsidy: Limit</t>
        </is>
      </c>
      <c r="AP2" s="403" t="inlineStr">
        <is>
          <t>Subsidy: Floor or ceiling</t>
        </is>
      </c>
      <c r="AQ2" s="403" t="inlineStr">
        <is>
          <t>Subsidy: distribution mechanism</t>
        </is>
      </c>
      <c r="AR2" s="403" t="inlineStr">
        <is>
          <t>Subsidy: Support duration</t>
        </is>
      </c>
      <c r="AS2" s="403" t="inlineStr">
        <is>
          <t>Subsidy: Enforcement Mechanism</t>
        </is>
      </c>
      <c r="AT2" s="403" t="inlineStr">
        <is>
          <t>Trading System: Type</t>
        </is>
      </c>
      <c r="AU2" s="403" t="inlineStr">
        <is>
          <t>Trading System: cap</t>
        </is>
      </c>
      <c r="AV2" s="403" t="inlineStr">
        <is>
          <t>Trading System: allowance mechanism</t>
        </is>
      </c>
      <c r="AW2" s="403" t="inlineStr">
        <is>
          <t>Trading System: Free Allowance</t>
        </is>
      </c>
      <c r="AX2" s="403" t="inlineStr">
        <is>
          <t>Trading System: Offset use allowed</t>
        </is>
      </c>
      <c r="AY2" s="403" t="inlineStr">
        <is>
          <t>Trading System: Linkages</t>
        </is>
      </c>
      <c r="AZ2" s="403" t="inlineStr">
        <is>
          <t>Trading System: market stabilisation mechanism</t>
        </is>
      </c>
      <c r="BA2" s="403" t="inlineStr">
        <is>
          <t>Trading System: revenue (annual)</t>
        </is>
      </c>
      <c r="BB2" s="403" t="inlineStr">
        <is>
          <t>Trading System: Volume</t>
        </is>
      </c>
      <c r="BC2" s="403" t="inlineStr">
        <is>
          <t>Trading System: penalties for non-compliance</t>
        </is>
      </c>
      <c r="BD2" s="404" t="inlineStr">
        <is>
          <t>GHG emission coverage (absolute)</t>
        </is>
      </c>
      <c r="BE2" s="404" t="inlineStr">
        <is>
          <t>GHG emission coverage (% domestic emissions)</t>
        </is>
      </c>
      <c r="BF2" s="399" t="inlineStr">
        <is>
          <t>Economic sector</t>
        </is>
      </c>
      <c r="BG2" s="399" t="inlineStr">
        <is>
          <t>GHGs affected</t>
        </is>
      </c>
      <c r="BH2" s="399" t="inlineStr">
        <is>
          <t>Mitigation effects</t>
        </is>
      </c>
      <c r="BI2" s="405" t="inlineStr">
        <is>
          <t>Mitigation co-benefits</t>
        </is>
      </c>
      <c r="BJ2" s="401" t="inlineStr">
        <is>
          <t>Legal statute</t>
        </is>
      </c>
      <c r="BK2" s="401" t="inlineStr">
        <is>
          <t>Legal document</t>
        </is>
      </c>
      <c r="BL2" s="401" t="inlineStr">
        <is>
          <t>Other weblinks</t>
        </is>
      </c>
      <c r="BM2" s="406" t="n"/>
    </row>
  </sheetData>
  <mergeCells count="9">
    <mergeCell ref="G1:L1"/>
    <mergeCell ref="AK1:BC1"/>
    <mergeCell ref="BJ1:BL1"/>
    <mergeCell ref="V1:AJ1"/>
    <mergeCell ref="BF1:BI1"/>
    <mergeCell ref="BD1:BE1"/>
    <mergeCell ref="M1:U1"/>
    <mergeCell ref="C1:F1"/>
    <mergeCell ref="A1:B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8.19921875" customWidth="1" min="1" max="1"/>
    <col width="9" customWidth="1" min="2" max="2"/>
    <col width="22.06640625" customWidth="1" min="3" max="3"/>
    <col width="24" customWidth="1" min="4" max="4"/>
    <col width="6.19921875" customWidth="1" min="5" max="5"/>
    <col width="9.1328125" customWidth="1" min="6" max="6"/>
    <col width="8.265625" customWidth="1" min="7" max="7"/>
    <col width="18.265625" customWidth="1" min="8" max="8"/>
    <col width="8.46484375" customWidth="1" min="9" max="9"/>
    <col width="6.19921875" customWidth="1" min="10" max="10"/>
    <col width="14" customWidth="1" min="11" max="11"/>
    <col width="10.1328125" customWidth="1" min="12" max="12"/>
    <col width="18.19921875" customWidth="1" min="13" max="13"/>
  </cols>
  <sheetData>
    <row r="1">
      <c r="A1" s="461" t="inlineStr">
        <is>
          <t>Instrument ID</t>
        </is>
      </c>
      <c r="B1" s="461" t="inlineStr">
        <is>
          <t>Approach</t>
        </is>
      </c>
      <c r="C1" s="461" t="inlineStr">
        <is>
          <t>English instrument name</t>
        </is>
      </c>
      <c r="D1" s="461" t="inlineStr">
        <is>
          <t>Domestic instrument name</t>
        </is>
      </c>
      <c r="E1" s="461" t="inlineStr">
        <is>
          <t>Status</t>
        </is>
      </c>
      <c r="F1" s="461" t="inlineStr">
        <is>
          <t>Start time</t>
        </is>
      </c>
      <c r="G1" s="461" t="inlineStr">
        <is>
          <t>End time</t>
        </is>
      </c>
      <c r="H1" s="461" t="inlineStr">
        <is>
          <t>Mitigation relevance</t>
        </is>
      </c>
      <c r="I1" s="461" t="inlineStr">
        <is>
          <t>Category</t>
        </is>
      </c>
      <c r="J1" s="461" t="inlineStr">
        <is>
          <t>Group</t>
        </is>
      </c>
      <c r="K1" s="461" t="inlineStr">
        <is>
          <t>Emission sector</t>
        </is>
      </c>
      <c r="L1" s="461" t="inlineStr">
        <is>
          <t>Sub-sector</t>
        </is>
      </c>
      <c r="M1" s="46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
  <sheetViews>
    <sheetView workbookViewId="0">
      <selection activeCell="A1" sqref="A1:BA2"/>
    </sheetView>
  </sheetViews>
  <sheetFormatPr baseColWidth="8" defaultRowHeight="13.9"/>
  <sheetData>
    <row r="1" ht="15.75" customHeight="1">
      <c r="A1" s="387" t="inlineStr">
        <is>
          <t>Identification</t>
        </is>
      </c>
      <c r="B1" s="93" t="n"/>
      <c r="C1" s="408" t="inlineStr">
        <is>
          <t>Instrument typology</t>
        </is>
      </c>
      <c r="D1" s="109" t="n"/>
      <c r="E1" s="109" t="n"/>
      <c r="F1" s="110" t="n"/>
      <c r="G1" s="409" t="inlineStr">
        <is>
          <t>Policy description</t>
        </is>
      </c>
      <c r="H1" s="228" t="n"/>
      <c r="I1" s="228" t="n"/>
      <c r="J1" s="228" t="n"/>
      <c r="K1" s="228" t="n"/>
      <c r="L1" s="228" t="n"/>
      <c r="M1" s="410" t="inlineStr">
        <is>
          <t>Administrative information</t>
        </is>
      </c>
      <c r="N1" s="228" t="n"/>
      <c r="O1" s="228" t="n"/>
      <c r="P1" s="228" t="n"/>
      <c r="Q1" s="228" t="n"/>
      <c r="R1" s="228" t="n"/>
      <c r="S1" s="228" t="n"/>
      <c r="T1" s="228" t="n"/>
      <c r="U1" s="228" t="n"/>
      <c r="V1" s="411" t="inlineStr">
        <is>
          <t>Policy regulatory base and intensity</t>
        </is>
      </c>
      <c r="W1" s="228" t="n"/>
      <c r="X1" s="228" t="n"/>
      <c r="Y1" s="228" t="n"/>
      <c r="Z1" s="228" t="n"/>
      <c r="AA1" s="228" t="n"/>
      <c r="AB1" s="228" t="n"/>
      <c r="AC1" s="228" t="n"/>
      <c r="AD1" s="228" t="n"/>
      <c r="AE1" s="228" t="n"/>
      <c r="AF1" s="228" t="n"/>
      <c r="AG1" s="228" t="n"/>
      <c r="AH1" s="228" t="n"/>
      <c r="AI1" s="228" t="n"/>
      <c r="AJ1" s="228" t="n"/>
      <c r="AK1" s="412" t="inlineStr">
        <is>
          <t>Instrument-specific attributes</t>
        </is>
      </c>
      <c r="AL1" s="228" t="n"/>
      <c r="AM1" s="228" t="n"/>
      <c r="AN1" s="228" t="n"/>
      <c r="AO1" s="228" t="n"/>
      <c r="AP1" s="228" t="n"/>
      <c r="AQ1" s="413" t="inlineStr">
        <is>
          <t>GHG emission base</t>
        </is>
      </c>
      <c r="AR1" s="229" t="n"/>
      <c r="AS1" s="414" t="inlineStr">
        <is>
          <t>Classification &amp; Indicators</t>
        </is>
      </c>
      <c r="AT1" s="228" t="n"/>
      <c r="AU1" s="228" t="n"/>
      <c r="AV1" s="228" t="n"/>
      <c r="AW1" s="415" t="inlineStr">
        <is>
          <t>References to legislation</t>
        </is>
      </c>
      <c r="AX1" s="228" t="n"/>
      <c r="AY1" s="228" t="n"/>
      <c r="AZ1" s="416" t="n"/>
    </row>
    <row r="2" ht="15.75" customHeight="1">
      <c r="A2" s="398" t="inlineStr">
        <is>
          <t>Policy Instrument ID</t>
        </is>
      </c>
      <c r="B2" s="398" t="inlineStr">
        <is>
          <t>Instrument / subscheme</t>
        </is>
      </c>
      <c r="C2" s="417" t="inlineStr">
        <is>
          <t>Group</t>
        </is>
      </c>
      <c r="D2" s="417" t="inlineStr">
        <is>
          <t>Approach</t>
        </is>
      </c>
      <c r="E2" s="417" t="inlineStr">
        <is>
          <t>Emission sector</t>
        </is>
      </c>
      <c r="F2" s="417" t="inlineStr">
        <is>
          <t>Sub-sector</t>
        </is>
      </c>
      <c r="G2" s="418" t="inlineStr">
        <is>
          <t>Domestic instrument name</t>
        </is>
      </c>
      <c r="H2" s="418" t="inlineStr">
        <is>
          <t>English instrument name</t>
        </is>
      </c>
      <c r="I2" s="418" t="inlineStr">
        <is>
          <t>Policy Package</t>
        </is>
      </c>
      <c r="J2" s="418" t="inlineStr">
        <is>
          <t>Description</t>
        </is>
      </c>
      <c r="K2" s="418" t="inlineStr">
        <is>
          <t>Objective</t>
        </is>
      </c>
      <c r="L2" s="418" t="inlineStr">
        <is>
          <t>Mitigation relevance</t>
        </is>
      </c>
      <c r="M2" s="419" t="inlineStr">
        <is>
          <t>Jurisdiction level</t>
        </is>
      </c>
      <c r="N2" s="419" t="inlineStr">
        <is>
          <t>Jurisdiction name</t>
        </is>
      </c>
      <c r="O2" s="419" t="inlineStr">
        <is>
          <t>Adoption date</t>
        </is>
      </c>
      <c r="P2" s="419" t="inlineStr">
        <is>
          <t>Start date</t>
        </is>
      </c>
      <c r="Q2" s="419" t="inlineStr">
        <is>
          <t>End date</t>
        </is>
      </c>
      <c r="R2" s="419" t="inlineStr">
        <is>
          <t>Last revisions</t>
        </is>
      </c>
      <c r="S2" s="419" t="inlineStr">
        <is>
          <t>Last revisions (Details)</t>
        </is>
      </c>
      <c r="T2" s="419" t="inlineStr">
        <is>
          <t>Status</t>
        </is>
      </c>
      <c r="U2" s="419" t="inlineStr">
        <is>
          <t>Administrating authorities</t>
        </is>
      </c>
      <c r="V2" s="420" t="inlineStr">
        <is>
          <t>Asset</t>
        </is>
      </c>
      <c r="W2" s="420" t="inlineStr">
        <is>
          <t>Asset (Status)</t>
        </is>
      </c>
      <c r="X2" s="420" t="inlineStr">
        <is>
          <t>Asset (Details)</t>
        </is>
      </c>
      <c r="Y2" s="420" t="inlineStr">
        <is>
          <t>Asset (Other)</t>
        </is>
      </c>
      <c r="Z2" s="420" t="inlineStr">
        <is>
          <t>Asset (Cut-off range)</t>
        </is>
      </c>
      <c r="AA2" s="420" t="inlineStr">
        <is>
          <t>Agent</t>
        </is>
      </c>
      <c r="AB2" s="420" t="inlineStr">
        <is>
          <t>Agent (Detail)</t>
        </is>
      </c>
      <c r="AC2" s="420" t="inlineStr">
        <is>
          <t>Activity</t>
        </is>
      </c>
      <c r="AD2" s="420" t="inlineStr">
        <is>
          <t>Activity (Details)</t>
        </is>
      </c>
      <c r="AE2" s="420" t="inlineStr">
        <is>
          <t>Intensity (Value)</t>
        </is>
      </c>
      <c r="AF2" s="420" t="inlineStr">
        <is>
          <t>Intensity (Unit)</t>
        </is>
      </c>
      <c r="AG2" s="420" t="inlineStr">
        <is>
          <t>Intensity (Details)</t>
        </is>
      </c>
      <c r="AH2" s="420" t="inlineStr">
        <is>
          <t>Requirement specification</t>
        </is>
      </c>
      <c r="AI2" s="420" t="inlineStr">
        <is>
          <t>Compliance calculation methodology I</t>
        </is>
      </c>
      <c r="AJ2" s="420" t="inlineStr">
        <is>
          <t>Compliance calculation methodology II</t>
        </is>
      </c>
      <c r="AK2" s="418" t="inlineStr">
        <is>
          <t>Compliance monitoring</t>
        </is>
      </c>
      <c r="AL2" s="418" t="inlineStr">
        <is>
          <t>Compliance monitoring details</t>
        </is>
      </c>
      <c r="AM2" s="418" t="inlineStr">
        <is>
          <t>Compliance enforcement</t>
        </is>
      </c>
      <c r="AN2" s="418" t="inlineStr">
        <is>
          <t>Compliance enforcement details</t>
        </is>
      </c>
      <c r="AO2" s="418" t="inlineStr">
        <is>
          <t>Compliance promotion</t>
        </is>
      </c>
      <c r="AP2" s="418" t="inlineStr">
        <is>
          <t>Compliance promotion detail</t>
        </is>
      </c>
      <c r="AQ2" s="421" t="inlineStr">
        <is>
          <t>GHG emission coverage (absolute)</t>
        </is>
      </c>
      <c r="AR2" s="421" t="inlineStr">
        <is>
          <t>GHG emission coverage (% domestic emissions)</t>
        </is>
      </c>
      <c r="AS2" s="422" t="inlineStr">
        <is>
          <t>Economic sector</t>
        </is>
      </c>
      <c r="AT2" s="422" t="inlineStr">
        <is>
          <t>GHGs affected</t>
        </is>
      </c>
      <c r="AU2" s="422" t="inlineStr">
        <is>
          <t>Mitigation effects</t>
        </is>
      </c>
      <c r="AV2" s="422" t="inlineStr">
        <is>
          <t>Mitigation co-benefits</t>
        </is>
      </c>
      <c r="AW2" s="423" t="inlineStr">
        <is>
          <t>Legal statute</t>
        </is>
      </c>
      <c r="AX2" s="423" t="inlineStr">
        <is>
          <t>Legal document</t>
        </is>
      </c>
      <c r="AY2" s="423" t="inlineStr">
        <is>
          <t>Other weblinks</t>
        </is>
      </c>
      <c r="AZ2" s="406" t="n"/>
    </row>
  </sheetData>
  <mergeCells count="9">
    <mergeCell ref="G1:L1"/>
    <mergeCell ref="V1:AJ1"/>
    <mergeCell ref="AK1:AP1"/>
    <mergeCell ref="AW1:AY1"/>
    <mergeCell ref="M1:U1"/>
    <mergeCell ref="C1:F1"/>
    <mergeCell ref="AQ1:AR1"/>
    <mergeCell ref="A1:B1"/>
    <mergeCell ref="AS1:AV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B2"/>
  <sheetViews>
    <sheetView workbookViewId="0">
      <selection activeCell="AH41" sqref="AH41"/>
    </sheetView>
  </sheetViews>
  <sheetFormatPr baseColWidth="8" defaultRowHeight="13.9"/>
  <sheetData>
    <row r="1" ht="15.75" customHeight="1">
      <c r="A1" s="387" t="inlineStr">
        <is>
          <t>Identification</t>
        </is>
      </c>
      <c r="B1" s="93" t="n"/>
      <c r="C1" s="424" t="inlineStr">
        <is>
          <t>Instrument typology</t>
        </is>
      </c>
      <c r="D1" s="100" t="n"/>
      <c r="E1" s="100" t="n"/>
      <c r="F1" s="101" t="n"/>
      <c r="G1" s="425" t="inlineStr">
        <is>
          <t>Policy Description</t>
        </is>
      </c>
      <c r="H1" s="100" t="n"/>
      <c r="I1" s="100" t="n"/>
      <c r="J1" s="100" t="n"/>
      <c r="K1" s="100" t="n"/>
      <c r="L1" s="100" t="n"/>
      <c r="M1" s="426" t="inlineStr">
        <is>
          <t>Administrative information</t>
        </is>
      </c>
      <c r="N1" s="100" t="n"/>
      <c r="O1" s="100" t="n"/>
      <c r="P1" s="100" t="n"/>
      <c r="Q1" s="100" t="n"/>
      <c r="R1" s="100" t="n"/>
      <c r="S1" s="100" t="n"/>
      <c r="T1" s="100" t="n"/>
      <c r="U1" s="100" t="n"/>
      <c r="V1" s="427" t="inlineStr">
        <is>
          <t>Policy regulatory base and intensity</t>
        </is>
      </c>
      <c r="W1" s="100" t="n"/>
      <c r="X1" s="100" t="n"/>
      <c r="Y1" s="100" t="n"/>
      <c r="Z1" s="100" t="n"/>
      <c r="AA1" s="100" t="n"/>
      <c r="AB1" s="100" t="n"/>
      <c r="AC1" s="100" t="n"/>
      <c r="AD1" s="100" t="n"/>
      <c r="AE1" s="100" t="n"/>
      <c r="AF1" s="100" t="n"/>
      <c r="AG1" s="100" t="n"/>
      <c r="AH1" s="100" t="n"/>
      <c r="AI1" s="100" t="n"/>
      <c r="AJ1" s="100" t="n"/>
      <c r="AK1" s="393" t="inlineStr">
        <is>
          <t>Instrument-specific attributes</t>
        </is>
      </c>
      <c r="AL1" s="100" t="n"/>
      <c r="AM1" s="100" t="n"/>
      <c r="AN1" s="100" t="n"/>
      <c r="AO1" s="100" t="n"/>
      <c r="AP1" s="100" t="n"/>
      <c r="AQ1" s="100" t="n"/>
      <c r="AR1" s="100" t="n"/>
      <c r="AS1" s="428" t="inlineStr">
        <is>
          <t>GHG emission base</t>
        </is>
      </c>
      <c r="AT1" s="101" t="n"/>
      <c r="AU1" s="395" t="inlineStr">
        <is>
          <t>Classifications &amp; Indicators</t>
        </is>
      </c>
      <c r="AV1" s="100" t="n"/>
      <c r="AW1" s="100" t="n"/>
      <c r="AX1" s="100" t="n"/>
      <c r="AY1" s="426" t="inlineStr">
        <is>
          <t>References to legislation</t>
        </is>
      </c>
      <c r="AZ1" s="100" t="n"/>
      <c r="BA1" s="100" t="n"/>
      <c r="BB1" s="429" t="n"/>
    </row>
    <row r="2" ht="15.75" customHeight="1">
      <c r="A2" s="398" t="inlineStr">
        <is>
          <t>Policy Instrument ID</t>
        </is>
      </c>
      <c r="B2" s="398" t="inlineStr">
        <is>
          <t>Instrument / subscheme</t>
        </is>
      </c>
      <c r="C2" s="399" t="inlineStr">
        <is>
          <t>Group</t>
        </is>
      </c>
      <c r="D2" s="399" t="inlineStr">
        <is>
          <t>Approach</t>
        </is>
      </c>
      <c r="E2" s="399" t="inlineStr">
        <is>
          <t>Emission sector</t>
        </is>
      </c>
      <c r="F2" s="399" t="inlineStr">
        <is>
          <t>Sub-sector</t>
        </is>
      </c>
      <c r="G2" s="400" t="inlineStr">
        <is>
          <t>Domestic instrument name</t>
        </is>
      </c>
      <c r="H2" s="400" t="inlineStr">
        <is>
          <t>English instrument name</t>
        </is>
      </c>
      <c r="I2" s="400" t="inlineStr">
        <is>
          <t>Policy Package</t>
        </is>
      </c>
      <c r="J2" s="400" t="inlineStr">
        <is>
          <t>Description</t>
        </is>
      </c>
      <c r="K2" s="400" t="inlineStr">
        <is>
          <t>Objective</t>
        </is>
      </c>
      <c r="L2" s="400" t="inlineStr">
        <is>
          <t>Mitigation relevance</t>
        </is>
      </c>
      <c r="M2" s="401" t="inlineStr">
        <is>
          <t>Jurisdiction level</t>
        </is>
      </c>
      <c r="N2" s="401" t="inlineStr">
        <is>
          <t>Jurisdiction name</t>
        </is>
      </c>
      <c r="O2" s="401" t="inlineStr">
        <is>
          <t>Adoption date</t>
        </is>
      </c>
      <c r="P2" s="401" t="inlineStr">
        <is>
          <t>Start date</t>
        </is>
      </c>
      <c r="Q2" s="401" t="inlineStr">
        <is>
          <t>End date</t>
        </is>
      </c>
      <c r="R2" s="401" t="inlineStr">
        <is>
          <t>Last revisions</t>
        </is>
      </c>
      <c r="S2" s="401" t="inlineStr">
        <is>
          <t>Last revisions (Details)</t>
        </is>
      </c>
      <c r="T2" s="401" t="inlineStr">
        <is>
          <t>Status</t>
        </is>
      </c>
      <c r="U2" s="401" t="inlineStr">
        <is>
          <t>Administrating authorities</t>
        </is>
      </c>
      <c r="V2" s="402" t="inlineStr">
        <is>
          <t>Asset</t>
        </is>
      </c>
      <c r="W2" s="402" t="inlineStr">
        <is>
          <t>Asset (Status)</t>
        </is>
      </c>
      <c r="X2" s="402" t="inlineStr">
        <is>
          <t>Asset (Details)</t>
        </is>
      </c>
      <c r="Y2" s="402" t="inlineStr">
        <is>
          <t>Asset (Other)</t>
        </is>
      </c>
      <c r="Z2" s="402" t="inlineStr">
        <is>
          <t>Asset (Cut-off range)</t>
        </is>
      </c>
      <c r="AA2" s="402" t="inlineStr">
        <is>
          <t>Agent</t>
        </is>
      </c>
      <c r="AB2" s="402" t="inlineStr">
        <is>
          <t>Agent (Detail)</t>
        </is>
      </c>
      <c r="AC2" s="402" t="inlineStr">
        <is>
          <t>Activity</t>
        </is>
      </c>
      <c r="AD2" s="402" t="inlineStr">
        <is>
          <t>Activity (Details)</t>
        </is>
      </c>
      <c r="AE2" s="402" t="inlineStr">
        <is>
          <t>Intensity (Value)</t>
        </is>
      </c>
      <c r="AF2" s="402" t="inlineStr">
        <is>
          <t>Intensity (Unit)</t>
        </is>
      </c>
      <c r="AG2" s="402" t="inlineStr">
        <is>
          <t>Intensity (Details)</t>
        </is>
      </c>
      <c r="AH2" s="402" t="inlineStr">
        <is>
          <t>Requirement specification</t>
        </is>
      </c>
      <c r="AI2" s="402" t="inlineStr">
        <is>
          <t>Compliance calculation methodology I</t>
        </is>
      </c>
      <c r="AJ2" s="402" t="inlineStr">
        <is>
          <t>Compliance calculation methodology II</t>
        </is>
      </c>
      <c r="AK2" s="403" t="inlineStr">
        <is>
          <t>Public investment: Co-financing</t>
        </is>
      </c>
      <c r="AL2" s="403" t="inlineStr">
        <is>
          <t>Public investment: Selection process</t>
        </is>
      </c>
      <c r="AM2" s="403" t="inlineStr">
        <is>
          <t>Public procurement: Tender process</t>
        </is>
      </c>
      <c r="AN2" s="403" t="inlineStr">
        <is>
          <t>Public procurement: Award criteria tender process</t>
        </is>
      </c>
      <c r="AO2" s="403" t="inlineStr">
        <is>
          <t>Public procurement: Compliance monitoring</t>
        </is>
      </c>
      <c r="AP2" s="403" t="inlineStr">
        <is>
          <t>Public procurement: Compliance enforcement</t>
        </is>
      </c>
      <c r="AQ2" s="403" t="inlineStr">
        <is>
          <t>Public procurement: Life-cycle costing</t>
        </is>
      </c>
      <c r="AR2" s="403" t="inlineStr">
        <is>
          <t>Public investment/procurement: Annual expenditure</t>
        </is>
      </c>
      <c r="AS2" s="404" t="inlineStr">
        <is>
          <t>GHG emission coverage (absolute)</t>
        </is>
      </c>
      <c r="AT2" s="404" t="inlineStr">
        <is>
          <t>GHG emission coverage (% domestic emissions)</t>
        </is>
      </c>
      <c r="AU2" s="430" t="inlineStr">
        <is>
          <t>Economic sector</t>
        </is>
      </c>
      <c r="AV2" s="430" t="inlineStr">
        <is>
          <t>GHGs affected</t>
        </is>
      </c>
      <c r="AW2" s="430" t="inlineStr">
        <is>
          <t>Mitigation effect</t>
        </is>
      </c>
      <c r="AX2" s="430" t="inlineStr">
        <is>
          <t>Mitigation co-benefits</t>
        </is>
      </c>
      <c r="AY2" s="401" t="inlineStr">
        <is>
          <t>Legal statute</t>
        </is>
      </c>
      <c r="AZ2" s="401" t="inlineStr">
        <is>
          <t>Legal document</t>
        </is>
      </c>
      <c r="BA2" s="401" t="inlineStr">
        <is>
          <t>Other weblinks</t>
        </is>
      </c>
      <c r="BB2" s="406" t="n"/>
    </row>
  </sheetData>
  <mergeCells count="9">
    <mergeCell ref="G1:L1"/>
    <mergeCell ref="AU1:AX1"/>
    <mergeCell ref="V1:AJ1"/>
    <mergeCell ref="AY1:BA1"/>
    <mergeCell ref="M1:U1"/>
    <mergeCell ref="C1:F1"/>
    <mergeCell ref="AS1:AT1"/>
    <mergeCell ref="A1:B1"/>
    <mergeCell ref="AK1:AR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C2"/>
  <sheetViews>
    <sheetView workbookViewId="0">
      <selection activeCell="A1" sqref="A1:BE2"/>
    </sheetView>
  </sheetViews>
  <sheetFormatPr baseColWidth="8" defaultRowHeight="13.9"/>
  <cols>
    <col width="20" customWidth="1" min="46" max="46"/>
    <col width="20" customWidth="1" min="48" max="48"/>
  </cols>
  <sheetData>
    <row r="1" ht="15.75" customHeight="1">
      <c r="A1" s="387" t="inlineStr">
        <is>
          <t>Identification</t>
        </is>
      </c>
      <c r="B1" s="93" t="n"/>
      <c r="C1" s="388" t="inlineStr">
        <is>
          <t>Instrument typology</t>
        </is>
      </c>
      <c r="D1" s="95" t="n"/>
      <c r="E1" s="95" t="n"/>
      <c r="F1" s="96" t="n"/>
      <c r="G1" s="425" t="inlineStr">
        <is>
          <t>Policy description</t>
        </is>
      </c>
      <c r="H1" s="100" t="n"/>
      <c r="I1" s="100" t="n"/>
      <c r="J1" s="100" t="n"/>
      <c r="K1" s="100" t="n"/>
      <c r="L1" s="100" t="n"/>
      <c r="M1" s="431" t="inlineStr">
        <is>
          <t>Administrative information</t>
        </is>
      </c>
      <c r="N1" s="100" t="n"/>
      <c r="O1" s="100" t="n"/>
      <c r="P1" s="100" t="n"/>
      <c r="Q1" s="100" t="n"/>
      <c r="R1" s="100" t="n"/>
      <c r="S1" s="100" t="n"/>
      <c r="T1" s="100" t="n"/>
      <c r="U1" s="100" t="n"/>
      <c r="V1" s="432" t="inlineStr">
        <is>
          <t>Policy regulatory base and intensity</t>
        </is>
      </c>
      <c r="W1" s="100" t="n"/>
      <c r="X1" s="100" t="n"/>
      <c r="Y1" s="100" t="n"/>
      <c r="Z1" s="100" t="n"/>
      <c r="AA1" s="100" t="n"/>
      <c r="AB1" s="100" t="n"/>
      <c r="AC1" s="100" t="n"/>
      <c r="AD1" s="100" t="n"/>
      <c r="AE1" s="100" t="n"/>
      <c r="AF1" s="100" t="n"/>
      <c r="AG1" s="100" t="n"/>
      <c r="AH1" s="100" t="n"/>
      <c r="AI1" s="100" t="n"/>
      <c r="AJ1" s="100" t="n"/>
      <c r="AK1" s="433" t="inlineStr">
        <is>
          <t>Instrument-specific attributes</t>
        </is>
      </c>
      <c r="AL1" s="392" t="n"/>
      <c r="AM1" s="392" t="n"/>
      <c r="AN1" s="392" t="n"/>
      <c r="AO1" s="392" t="n"/>
      <c r="AP1" s="392" t="n"/>
      <c r="AQ1" s="392" t="n"/>
      <c r="AR1" s="392" t="n"/>
      <c r="AS1" s="392" t="n"/>
      <c r="AT1" s="392" t="n"/>
      <c r="AU1" s="438" t="inlineStr">
        <is>
          <t>GHG emission base</t>
        </is>
      </c>
      <c r="AV1" s="100" t="n"/>
      <c r="AW1" s="439" t="inlineStr">
        <is>
          <t>Classifications &amp; Indicators</t>
        </is>
      </c>
      <c r="BA1" s="440" t="inlineStr">
        <is>
          <t>References to legislation</t>
        </is>
      </c>
    </row>
    <row r="2" ht="15.75" customHeight="1">
      <c r="A2" s="398" t="inlineStr">
        <is>
          <t>Policy Instrument ID</t>
        </is>
      </c>
      <c r="B2" s="398" t="inlineStr">
        <is>
          <t>Instrument / subscheme</t>
        </is>
      </c>
      <c r="C2" s="399" t="inlineStr">
        <is>
          <t>Group</t>
        </is>
      </c>
      <c r="D2" s="399" t="inlineStr">
        <is>
          <t>Approach</t>
        </is>
      </c>
      <c r="E2" s="399" t="inlineStr">
        <is>
          <t>Emission sector</t>
        </is>
      </c>
      <c r="F2" s="399" t="inlineStr">
        <is>
          <t>Sub-sector</t>
        </is>
      </c>
      <c r="G2" s="400" t="inlineStr">
        <is>
          <t>Domestic instrument name</t>
        </is>
      </c>
      <c r="H2" s="400" t="inlineStr">
        <is>
          <t>English instrument name</t>
        </is>
      </c>
      <c r="I2" s="400" t="inlineStr">
        <is>
          <t>Policy Package</t>
        </is>
      </c>
      <c r="J2" s="400" t="inlineStr">
        <is>
          <t>Description</t>
        </is>
      </c>
      <c r="K2" s="400" t="inlineStr">
        <is>
          <t>Objective</t>
        </is>
      </c>
      <c r="L2" s="400" t="inlineStr">
        <is>
          <t>Mitigation relevance</t>
        </is>
      </c>
      <c r="M2" s="401" t="inlineStr">
        <is>
          <t>Jurisdiction level</t>
        </is>
      </c>
      <c r="N2" s="401" t="inlineStr">
        <is>
          <t>Jurisdiction name</t>
        </is>
      </c>
      <c r="O2" s="401" t="inlineStr">
        <is>
          <t>Adoption date</t>
        </is>
      </c>
      <c r="P2" s="401" t="inlineStr">
        <is>
          <t>Start date</t>
        </is>
      </c>
      <c r="Q2" s="401" t="inlineStr">
        <is>
          <t>End date</t>
        </is>
      </c>
      <c r="R2" s="401" t="inlineStr">
        <is>
          <t>Last revision</t>
        </is>
      </c>
      <c r="S2" s="401" t="inlineStr">
        <is>
          <t>Last revision (Details)</t>
        </is>
      </c>
      <c r="T2" s="401" t="inlineStr">
        <is>
          <t>Status</t>
        </is>
      </c>
      <c r="U2" s="401" t="inlineStr">
        <is>
          <t>Administrating authorities</t>
        </is>
      </c>
      <c r="V2" s="402" t="inlineStr">
        <is>
          <t>Asset</t>
        </is>
      </c>
      <c r="W2" s="402" t="inlineStr">
        <is>
          <t>Asset (Status)</t>
        </is>
      </c>
      <c r="X2" s="402" t="inlineStr">
        <is>
          <t>Asset (Details)</t>
        </is>
      </c>
      <c r="Y2" s="402" t="inlineStr">
        <is>
          <t>Asset (Other)</t>
        </is>
      </c>
      <c r="Z2" s="402" t="inlineStr">
        <is>
          <t>Asset (Cut-off range)</t>
        </is>
      </c>
      <c r="AA2" s="402" t="inlineStr">
        <is>
          <t>Agent</t>
        </is>
      </c>
      <c r="AB2" s="402" t="inlineStr">
        <is>
          <t>Agent (Detail)</t>
        </is>
      </c>
      <c r="AC2" s="402" t="inlineStr">
        <is>
          <t>Activity</t>
        </is>
      </c>
      <c r="AD2" s="402" t="inlineStr">
        <is>
          <t>Activity (Details)</t>
        </is>
      </c>
      <c r="AE2" s="402" t="inlineStr">
        <is>
          <t>Intensity (Value)</t>
        </is>
      </c>
      <c r="AF2" s="402" t="inlineStr">
        <is>
          <t>Intensity (Unit)</t>
        </is>
      </c>
      <c r="AG2" s="402" t="inlineStr">
        <is>
          <t>Intensity (Details)</t>
        </is>
      </c>
      <c r="AH2" s="402" t="inlineStr">
        <is>
          <t>Requirement specification</t>
        </is>
      </c>
      <c r="AI2" s="402" t="inlineStr">
        <is>
          <t>Compliance calculation methodology I</t>
        </is>
      </c>
      <c r="AJ2" s="402" t="inlineStr">
        <is>
          <t>Compliance calculation methodology II</t>
        </is>
      </c>
      <c r="AK2" s="403" t="inlineStr">
        <is>
          <t>Instrument linkage</t>
        </is>
      </c>
      <c r="AL2" s="403" t="inlineStr">
        <is>
          <t>Responsibility information capturing</t>
        </is>
      </c>
      <c r="AM2" s="403" t="inlineStr">
        <is>
          <t>Information transmission</t>
        </is>
      </c>
      <c r="AN2" s="403" t="inlineStr">
        <is>
          <t>Frequency of information provision</t>
        </is>
      </c>
      <c r="AO2" s="403" t="inlineStr">
        <is>
          <t>Public availability of information</t>
        </is>
      </c>
      <c r="AP2" s="403" t="inlineStr">
        <is>
          <t>For labels: Type</t>
        </is>
      </c>
      <c r="AQ2" s="403" t="inlineStr">
        <is>
          <t>Compliance monitoring</t>
        </is>
      </c>
      <c r="AR2" s="403" t="inlineStr">
        <is>
          <t>Compliance enforcement</t>
        </is>
      </c>
      <c r="AS2" s="436" t="inlineStr">
        <is>
          <t>Compliance promotion</t>
        </is>
      </c>
      <c r="AT2" s="403" t="inlineStr">
        <is>
          <t>Details on capacity building, training/education, information campaigns and award schemes</t>
        </is>
      </c>
      <c r="AU2" s="437" t="inlineStr">
        <is>
          <t>GHG emission coverage (absolute)</t>
        </is>
      </c>
      <c r="AV2" s="437" t="inlineStr">
        <is>
          <t>GHG emission coverage (% domestic emissions)</t>
        </is>
      </c>
      <c r="AW2" s="399" t="inlineStr">
        <is>
          <t>Economic sector</t>
        </is>
      </c>
      <c r="AX2" s="399" t="inlineStr">
        <is>
          <t>GHGs affected</t>
        </is>
      </c>
      <c r="AY2" s="399" t="inlineStr">
        <is>
          <t>Mitigation effect</t>
        </is>
      </c>
      <c r="AZ2" s="399" t="inlineStr">
        <is>
          <t>Mitigation co-benefits</t>
        </is>
      </c>
      <c r="BA2" s="401" t="inlineStr">
        <is>
          <t>Legal statute</t>
        </is>
      </c>
      <c r="BB2" s="401" t="inlineStr">
        <is>
          <t>Legal document</t>
        </is>
      </c>
      <c r="BC2" s="401" t="inlineStr">
        <is>
          <t>Other weblinks</t>
        </is>
      </c>
    </row>
  </sheetData>
  <mergeCells count="9">
    <mergeCell ref="AK1:AT1"/>
    <mergeCell ref="G1:L1"/>
    <mergeCell ref="AW1:AZ1"/>
    <mergeCell ref="BA1:BC1"/>
    <mergeCell ref="V1:AJ1"/>
    <mergeCell ref="M1:U1"/>
    <mergeCell ref="C1:F1"/>
    <mergeCell ref="A1:B1"/>
    <mergeCell ref="AU1:AV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875" customWidth="1" min="1" max="1"/>
    <col width="15.1875" customWidth="1" min="3" max="3"/>
    <col width="17.4375" customWidth="1" min="8" max="8"/>
    <col width="16.125" customWidth="1" min="15" max="15"/>
  </cols>
  <sheetData>
    <row r="1" ht="26.25" customHeight="1">
      <c r="A1" s="530" t="inlineStr">
        <is>
          <t>China Climate Policy Instrument Database (CCPID)</t>
        </is>
      </c>
      <c r="B1" s="109" t="n"/>
      <c r="C1" s="109" t="n"/>
      <c r="D1" s="109" t="n"/>
      <c r="E1" s="109" t="n"/>
      <c r="F1" s="109" t="n"/>
      <c r="G1" s="109" t="n"/>
      <c r="H1" s="110" t="n"/>
      <c r="I1" s="531" t="n"/>
      <c r="J1" s="531" t="n"/>
      <c r="K1" s="532" t="n"/>
      <c r="L1" s="531" t="n"/>
      <c r="M1" s="531" t="n"/>
      <c r="N1" s="531" t="n"/>
      <c r="O1" s="531" t="n"/>
      <c r="P1" s="533" t="n"/>
      <c r="Q1" s="533" t="n"/>
      <c r="R1" s="533" t="n"/>
      <c r="S1" s="533" t="n"/>
    </row>
    <row r="2">
      <c r="A2" s="534" t="n"/>
      <c r="B2" s="534" t="n"/>
      <c r="C2" s="534" t="n"/>
      <c r="D2" s="534" t="n"/>
      <c r="E2" s="534" t="n"/>
      <c r="F2" s="534" t="n"/>
      <c r="G2" s="534" t="n"/>
      <c r="H2" s="534" t="n"/>
      <c r="I2" s="534" t="n"/>
      <c r="J2" s="534" t="n"/>
      <c r="K2" s="534" t="n"/>
      <c r="L2" s="534" t="n"/>
      <c r="M2" s="534" t="n"/>
      <c r="N2" s="534" t="n"/>
      <c r="O2" s="534" t="n"/>
      <c r="P2" s="499" t="n"/>
      <c r="Q2" s="499" t="n"/>
      <c r="R2" s="499" t="n"/>
      <c r="S2" s="499" t="n"/>
    </row>
    <row r="3">
      <c r="A3" s="535" t="inlineStr">
        <is>
          <t>developed by MGF Lab, National School of Development, Peking University</t>
        </is>
      </c>
      <c r="B3" s="536" t="n"/>
      <c r="C3" s="536" t="n"/>
      <c r="D3" s="536" t="n"/>
      <c r="E3" s="536" t="n"/>
      <c r="F3" s="536" t="n"/>
      <c r="G3" s="537" t="n"/>
      <c r="H3" s="534" t="n"/>
      <c r="I3" s="534" t="n"/>
      <c r="J3" s="534" t="n"/>
      <c r="K3" s="534" t="n"/>
      <c r="L3" s="534" t="n"/>
      <c r="M3" s="534" t="n"/>
      <c r="N3" s="534" t="n"/>
      <c r="O3" s="534" t="n"/>
      <c r="P3" s="499" t="n"/>
      <c r="Q3" s="499" t="n"/>
      <c r="R3" s="499" t="n"/>
      <c r="S3" s="499" t="n"/>
    </row>
    <row r="4">
      <c r="A4" s="538" t="inlineStr">
        <is>
          <t>as of September 2026</t>
        </is>
      </c>
      <c r="B4" s="110" t="n"/>
      <c r="C4" s="534" t="n"/>
      <c r="D4" s="534" t="n"/>
      <c r="E4" s="534" t="n"/>
      <c r="F4" s="534" t="n"/>
      <c r="G4" s="534" t="n"/>
      <c r="H4" s="534" t="n"/>
      <c r="I4" s="534" t="n"/>
      <c r="J4" s="534" t="n"/>
      <c r="K4" s="534" t="n"/>
      <c r="L4" s="534" t="n"/>
      <c r="M4" s="534" t="n"/>
      <c r="N4" s="534" t="n"/>
      <c r="O4" s="534" t="n"/>
      <c r="P4" s="499" t="n"/>
      <c r="Q4" s="499" t="n"/>
      <c r="R4" s="499" t="n"/>
      <c r="S4" s="499" t="n"/>
    </row>
    <row r="5">
      <c r="A5" s="534" t="n"/>
      <c r="B5" s="534" t="n"/>
      <c r="C5" s="534" t="n"/>
      <c r="D5" s="534" t="n"/>
      <c r="E5" s="534" t="n"/>
      <c r="F5" s="534" t="n"/>
      <c r="G5" s="534" t="n"/>
      <c r="H5" s="534" t="n"/>
      <c r="I5" s="534" t="n"/>
      <c r="J5" s="534" t="n"/>
      <c r="K5" s="534" t="n"/>
      <c r="L5" s="534" t="n"/>
      <c r="M5" s="534" t="n"/>
      <c r="N5" s="534" t="n"/>
      <c r="O5" s="534" t="n"/>
      <c r="P5" s="499" t="n"/>
      <c r="Q5" s="499" t="n"/>
      <c r="R5" s="499" t="n"/>
      <c r="S5" s="499" t="n"/>
    </row>
    <row r="6" ht="16.5" customHeight="1">
      <c r="A6" s="539" t="inlineStr">
        <is>
          <t>Overview</t>
        </is>
      </c>
      <c r="B6" s="540" t="n"/>
      <c r="C6" s="540" t="n"/>
      <c r="D6" s="540" t="n"/>
      <c r="E6" s="540" t="n"/>
      <c r="F6" s="540" t="n"/>
      <c r="G6" s="540" t="n"/>
      <c r="H6" s="540" t="n"/>
      <c r="I6" s="540" t="n"/>
      <c r="J6" s="540" t="n"/>
      <c r="K6" s="540" t="n"/>
      <c r="L6" s="540" t="n"/>
      <c r="M6" s="540" t="n"/>
      <c r="N6" s="540" t="n"/>
      <c r="O6" s="540" t="n"/>
      <c r="P6" s="499" t="n"/>
      <c r="Q6" s="499" t="n"/>
      <c r="R6" s="499" t="n"/>
      <c r="S6" s="499" t="n"/>
    </row>
    <row r="7" ht="223.15" customHeight="1">
      <c r="A7" s="541" t="inlineStr">
        <is>
          <t>This database provides a comprehensive overview of China's national-level climate change mitigation and mitigation-relevant policy instruments currently in force. It is structured to align with the typology and data framework of the OECD's IFCMA Climate Policy Database, incorportating necessary adjustments to reflect the characteristics of China's policy instruments and to faciliate further analysis.
Adjustments to the typology of the IFCMA Climate Policy Database
1. Economic instruments: one new instrument group has been included:
- Administered price.
Adjustments to the data structure of the IFCMA Climate Policy Database
Two new attributes have been added: 
- "Sub-sector" added in the "Instrument typology" block;
- "Mitigation relevance" added in the "Policy description" block.</t>
        </is>
      </c>
      <c r="B7" s="339" t="n"/>
      <c r="C7" s="339" t="n"/>
      <c r="D7" s="339" t="n"/>
      <c r="E7" s="339" t="n"/>
      <c r="F7" s="339" t="n"/>
      <c r="G7" s="339" t="n"/>
      <c r="H7" s="339" t="n"/>
      <c r="I7" s="339" t="n"/>
      <c r="J7" s="339" t="n"/>
      <c r="K7" s="339" t="n"/>
      <c r="L7" s="339" t="n"/>
      <c r="M7" s="339" t="n"/>
      <c r="N7" s="339" t="n"/>
      <c r="O7" s="340" t="n"/>
      <c r="P7" s="459" t="n"/>
      <c r="Q7" s="499" t="n"/>
      <c r="R7" s="499" t="n"/>
      <c r="S7" s="499" t="n"/>
    </row>
    <row r="8">
      <c r="A8" s="542" t="n"/>
      <c r="B8" s="542" t="n"/>
      <c r="C8" s="542" t="n"/>
      <c r="D8" s="542" t="n"/>
      <c r="E8" s="542" t="n"/>
      <c r="F8" s="542" t="n"/>
      <c r="G8" s="542" t="n"/>
      <c r="H8" s="542" t="n"/>
      <c r="I8" s="542" t="n"/>
      <c r="J8" s="542" t="n"/>
      <c r="K8" s="542" t="n"/>
      <c r="L8" s="542" t="n"/>
      <c r="M8" s="542" t="n"/>
      <c r="N8" s="542" t="n"/>
      <c r="O8" s="542" t="n"/>
      <c r="P8" s="499" t="n"/>
      <c r="Q8" s="499" t="n"/>
      <c r="R8" s="499" t="n"/>
      <c r="S8" s="499" t="n"/>
    </row>
    <row r="9">
      <c r="A9" s="534" t="n"/>
      <c r="B9" s="534" t="n"/>
      <c r="C9" s="534" t="n"/>
      <c r="D9" s="534" t="n"/>
      <c r="E9" s="534" t="n"/>
      <c r="F9" s="534" t="n"/>
      <c r="G9" s="534" t="n"/>
      <c r="H9" s="534" t="n"/>
      <c r="I9" s="534" t="n"/>
      <c r="J9" s="534" t="n"/>
      <c r="K9" s="534" t="n"/>
      <c r="L9" s="534" t="n"/>
      <c r="M9" s="534" t="n"/>
      <c r="N9" s="534" t="n"/>
      <c r="O9" s="534" t="n"/>
      <c r="P9" s="499" t="n"/>
      <c r="Q9" s="499" t="n"/>
      <c r="R9" s="499" t="n"/>
      <c r="S9" s="499" t="n"/>
    </row>
    <row r="10" ht="16.5" customHeight="1">
      <c r="A10" s="539" t="inlineStr">
        <is>
          <t>Content of this file</t>
        </is>
      </c>
      <c r="B10" s="337" t="n"/>
      <c r="C10" s="540" t="n"/>
      <c r="D10" s="540" t="n"/>
      <c r="E10" s="540" t="n"/>
      <c r="F10" s="540" t="n"/>
      <c r="G10" s="540" t="n"/>
      <c r="H10" s="540" t="n"/>
      <c r="I10" s="540" t="n"/>
      <c r="J10" s="540" t="n"/>
      <c r="K10" s="540" t="n"/>
      <c r="L10" s="540" t="n"/>
      <c r="M10" s="540" t="n"/>
      <c r="N10" s="540" t="n"/>
      <c r="O10" s="540" t="n"/>
      <c r="P10" s="499" t="n"/>
      <c r="Q10" s="499" t="n"/>
      <c r="R10" s="499" t="n"/>
      <c r="S10" s="499" t="n"/>
    </row>
    <row r="11">
      <c r="A11" s="543" t="inlineStr">
        <is>
          <t>Spreadsheet</t>
        </is>
      </c>
      <c r="B11" s="339" t="n"/>
      <c r="C11" s="340" t="n"/>
      <c r="D11" s="543" t="inlineStr">
        <is>
          <t>Description</t>
        </is>
      </c>
      <c r="E11" s="339" t="n"/>
      <c r="F11" s="339" t="n"/>
      <c r="G11" s="339" t="n"/>
      <c r="H11" s="339" t="n"/>
      <c r="I11" s="339" t="n"/>
      <c r="J11" s="339" t="n"/>
      <c r="K11" s="339" t="n"/>
      <c r="L11" s="339" t="n"/>
      <c r="M11" s="339" t="n"/>
      <c r="N11" s="339" t="n"/>
      <c r="O11" s="340" t="n"/>
      <c r="P11" s="459" t="n"/>
      <c r="Q11" s="499" t="n"/>
      <c r="R11" s="499" t="n"/>
      <c r="S11" s="499" t="n"/>
    </row>
    <row r="12">
      <c r="A12" s="544" t="inlineStr">
        <is>
          <t>Cover</t>
        </is>
      </c>
      <c r="B12" s="339" t="n"/>
      <c r="C12" s="340" t="n"/>
      <c r="D12" s="545" t="inlineStr">
        <is>
          <t>Introduces this document, presents its overall function and lists MGF Lab contact points</t>
        </is>
      </c>
      <c r="E12" s="339" t="n"/>
      <c r="F12" s="339" t="n"/>
      <c r="G12" s="339" t="n"/>
      <c r="H12" s="339" t="n"/>
      <c r="I12" s="339" t="n"/>
      <c r="J12" s="339" t="n"/>
      <c r="K12" s="339" t="n"/>
      <c r="L12" s="339" t="n"/>
      <c r="M12" s="339" t="n"/>
      <c r="N12" s="339" t="n"/>
      <c r="O12" s="340" t="n"/>
      <c r="P12" s="459" t="n"/>
      <c r="Q12" s="499" t="n"/>
      <c r="R12" s="499" t="n"/>
      <c r="S12" s="499" t="n"/>
    </row>
    <row r="13">
      <c r="A13" s="544" t="inlineStr">
        <is>
          <t>Classification framework</t>
        </is>
      </c>
      <c r="B13" s="339" t="n"/>
      <c r="C13" s="340" t="n"/>
      <c r="D13" s="545" t="inlineStr">
        <is>
          <t>Explains the four-level classification framework of this dataset</t>
        </is>
      </c>
      <c r="E13" s="339" t="n"/>
      <c r="F13" s="339" t="n"/>
      <c r="G13" s="339" t="n"/>
      <c r="H13" s="339" t="n"/>
      <c r="I13" s="339" t="n"/>
      <c r="J13" s="339" t="n"/>
      <c r="K13" s="339" t="n"/>
      <c r="L13" s="339" t="n"/>
      <c r="M13" s="339" t="n"/>
      <c r="N13" s="339" t="n"/>
      <c r="O13" s="340" t="n"/>
      <c r="P13" s="459" t="n"/>
      <c r="Q13" s="499" t="n"/>
      <c r="R13" s="499" t="n"/>
      <c r="S13" s="499" t="n"/>
    </row>
    <row r="14">
      <c r="A14" s="544" t="inlineStr">
        <is>
          <t>Categories and groups</t>
        </is>
      </c>
      <c r="B14" s="339" t="n"/>
      <c r="C14" s="340" t="n"/>
      <c r="D14" s="545" t="inlineStr">
        <is>
          <t>Demonstrates instrument categories and instrument groups within each category</t>
        </is>
      </c>
      <c r="E14" s="339" t="n"/>
      <c r="F14" s="339" t="n"/>
      <c r="G14" s="339" t="n"/>
      <c r="H14" s="339" t="n"/>
      <c r="I14" s="339" t="n"/>
      <c r="J14" s="339" t="n"/>
      <c r="K14" s="339" t="n"/>
      <c r="L14" s="339" t="n"/>
      <c r="M14" s="339" t="n"/>
      <c r="N14" s="339" t="n"/>
      <c r="O14" s="340" t="n"/>
      <c r="P14" s="459" t="n"/>
      <c r="Q14" s="499" t="n"/>
      <c r="R14" s="499" t="n"/>
      <c r="S14" s="499" t="n"/>
    </row>
    <row r="15">
      <c r="A15" s="546" t="inlineStr">
        <is>
          <t>Summary</t>
        </is>
      </c>
      <c r="B15" s="339" t="n"/>
      <c r="C15" s="340" t="n"/>
      <c r="D15" s="545" t="inlineStr">
        <is>
          <t>Provides information on the number of policy instruments collected to date, by instrument category, group, approach, and sector covered</t>
        </is>
      </c>
      <c r="E15" s="339" t="n"/>
      <c r="F15" s="339" t="n"/>
      <c r="G15" s="339" t="n"/>
      <c r="H15" s="339" t="n"/>
      <c r="I15" s="339" t="n"/>
      <c r="J15" s="339" t="n"/>
      <c r="K15" s="339" t="n"/>
      <c r="L15" s="339" t="n"/>
      <c r="M15" s="339" t="n"/>
      <c r="N15" s="339" t="n"/>
      <c r="O15" s="340" t="n"/>
      <c r="P15" s="459" t="n"/>
      <c r="Q15" s="499" t="n"/>
      <c r="R15" s="499" t="n"/>
      <c r="S15" s="499" t="n"/>
    </row>
    <row r="16">
      <c r="A16" s="544" t="inlineStr">
        <is>
          <t>Approaches</t>
        </is>
      </c>
      <c r="B16" s="339" t="n"/>
      <c r="C16" s="340" t="n"/>
      <c r="D16" s="545" t="inlineStr">
        <is>
          <t>Demonstrates instrument approaches within each group, and provides definition for each of them</t>
        </is>
      </c>
      <c r="E16" s="339" t="n"/>
      <c r="F16" s="339" t="n"/>
      <c r="G16" s="339" t="n"/>
      <c r="H16" s="339" t="n"/>
      <c r="I16" s="339" t="n"/>
      <c r="J16" s="339" t="n"/>
      <c r="K16" s="339" t="n"/>
      <c r="L16" s="339" t="n"/>
      <c r="M16" s="339" t="n"/>
      <c r="N16" s="339" t="n"/>
      <c r="O16" s="340" t="n"/>
      <c r="P16" s="459" t="n"/>
      <c r="Q16" s="499" t="n"/>
      <c r="R16" s="499" t="n"/>
      <c r="S16" s="499" t="n"/>
    </row>
    <row r="17">
      <c r="A17" s="544" t="inlineStr">
        <is>
          <t>Instruments overview</t>
        </is>
      </c>
      <c r="B17" s="339" t="n"/>
      <c r="C17" s="340" t="n"/>
      <c r="D17" s="545" t="inlineStr">
        <is>
          <t>Provides a simplified summary table of all policy instruments collected to date</t>
        </is>
      </c>
      <c r="E17" s="339" t="n"/>
      <c r="F17" s="339" t="n"/>
      <c r="G17" s="339" t="n"/>
      <c r="H17" s="339" t="n"/>
      <c r="I17" s="339" t="n"/>
      <c r="J17" s="339" t="n"/>
      <c r="K17" s="339" t="n"/>
      <c r="L17" s="339" t="n"/>
      <c r="M17" s="339" t="n"/>
      <c r="N17" s="339" t="n"/>
      <c r="O17" s="340" t="n"/>
      <c r="P17" s="459" t="n"/>
      <c r="Q17" s="499" t="n"/>
      <c r="R17" s="499" t="n"/>
      <c r="S17" s="499" t="n"/>
    </row>
    <row r="18">
      <c r="A18" s="547" t="inlineStr">
        <is>
          <t>Economic instruments</t>
        </is>
      </c>
      <c r="B18" s="339" t="n"/>
      <c r="C18" s="340" t="n"/>
      <c r="D18" s="545" t="inlineStr">
        <is>
          <t>Displays information for the Economic Instruments</t>
        </is>
      </c>
      <c r="E18" s="339" t="n"/>
      <c r="F18" s="339" t="n"/>
      <c r="G18" s="339" t="n"/>
      <c r="H18" s="339" t="n"/>
      <c r="I18" s="339" t="n"/>
      <c r="J18" s="339" t="n"/>
      <c r="K18" s="339" t="n"/>
      <c r="L18" s="339" t="n"/>
      <c r="M18" s="339" t="n"/>
      <c r="N18" s="339" t="n"/>
      <c r="O18" s="340" t="n"/>
      <c r="P18" s="459" t="n"/>
      <c r="Q18" s="499" t="n"/>
      <c r="R18" s="499" t="n"/>
      <c r="S18" s="499" t="n"/>
    </row>
    <row r="19">
      <c r="A19" s="548" t="inlineStr">
        <is>
          <t>Regulatory instruments</t>
        </is>
      </c>
      <c r="B19" s="339" t="n"/>
      <c r="C19" s="340" t="n"/>
      <c r="D19" s="545" t="inlineStr">
        <is>
          <t>Displays information for the Regulatory Instruments</t>
        </is>
      </c>
      <c r="E19" s="339" t="n"/>
      <c r="F19" s="339" t="n"/>
      <c r="G19" s="339" t="n"/>
      <c r="H19" s="339" t="n"/>
      <c r="I19" s="339" t="n"/>
      <c r="J19" s="339" t="n"/>
      <c r="K19" s="339" t="n"/>
      <c r="L19" s="339" t="n"/>
      <c r="M19" s="339" t="n"/>
      <c r="N19" s="339" t="n"/>
      <c r="O19" s="340" t="n"/>
      <c r="P19" s="459" t="n"/>
      <c r="Q19" s="499" t="n"/>
      <c r="R19" s="499" t="n"/>
      <c r="S19" s="499" t="n"/>
    </row>
    <row r="20">
      <c r="A20" s="549" t="inlineStr">
        <is>
          <t>Government I&amp;C</t>
        </is>
      </c>
      <c r="B20" s="339" t="n"/>
      <c r="C20" s="340" t="n"/>
      <c r="D20" s="545" t="inlineStr">
        <is>
          <t>Displays information for the Government Investment &amp; Consumption Instruments</t>
        </is>
      </c>
      <c r="E20" s="339" t="n"/>
      <c r="F20" s="339" t="n"/>
      <c r="G20" s="339" t="n"/>
      <c r="H20" s="339" t="n"/>
      <c r="I20" s="339" t="n"/>
      <c r="J20" s="339" t="n"/>
      <c r="K20" s="339" t="n"/>
      <c r="L20" s="339" t="n"/>
      <c r="M20" s="339" t="n"/>
      <c r="N20" s="339" t="n"/>
      <c r="O20" s="340" t="n"/>
      <c r="P20" s="459" t="n"/>
      <c r="Q20" s="499" t="n"/>
      <c r="R20" s="499" t="n"/>
      <c r="S20" s="499" t="n"/>
    </row>
    <row r="21">
      <c r="A21" s="550" t="inlineStr">
        <is>
          <t>Information instruments</t>
        </is>
      </c>
      <c r="B21" s="339" t="n"/>
      <c r="C21" s="340" t="n"/>
      <c r="D21" s="545" t="inlineStr">
        <is>
          <t>Displays information for the Information Instruments</t>
        </is>
      </c>
      <c r="E21" s="339" t="n"/>
      <c r="F21" s="339" t="n"/>
      <c r="G21" s="339" t="n"/>
      <c r="H21" s="339" t="n"/>
      <c r="I21" s="339" t="n"/>
      <c r="J21" s="339" t="n"/>
      <c r="K21" s="339" t="n"/>
      <c r="L21" s="339" t="n"/>
      <c r="M21" s="339" t="n"/>
      <c r="N21" s="339" t="n"/>
      <c r="O21" s="340" t="n"/>
      <c r="P21" s="459" t="n"/>
      <c r="Q21" s="499" t="n"/>
      <c r="R21" s="499" t="n"/>
      <c r="S21" s="499" t="n"/>
    </row>
    <row r="22">
      <c r="A22" s="551" t="inlineStr">
        <is>
          <t>Voluntary approaches</t>
        </is>
      </c>
      <c r="B22" s="339" t="n"/>
      <c r="C22" s="340" t="n"/>
      <c r="D22" s="545" t="inlineStr">
        <is>
          <t>Displays information for the Voluntary Approaches</t>
        </is>
      </c>
      <c r="E22" s="339" t="n"/>
      <c r="F22" s="339" t="n"/>
      <c r="G22" s="339" t="n"/>
      <c r="H22" s="339" t="n"/>
      <c r="I22" s="339" t="n"/>
      <c r="J22" s="339" t="n"/>
      <c r="K22" s="339" t="n"/>
      <c r="L22" s="339" t="n"/>
      <c r="M22" s="339" t="n"/>
      <c r="N22" s="339" t="n"/>
      <c r="O22" s="340" t="n"/>
      <c r="P22" s="459" t="n"/>
      <c r="Q22" s="499" t="n"/>
      <c r="R22" s="499" t="n"/>
      <c r="S22" s="499" t="n"/>
    </row>
    <row r="23">
      <c r="A23" s="544" t="inlineStr">
        <is>
          <t>Attributes definitions</t>
        </is>
      </c>
      <c r="B23" s="339" t="n"/>
      <c r="C23" s="340" t="n"/>
      <c r="D23" s="545" t="inlineStr">
        <is>
          <t>Definitions of policy instrument attributes</t>
        </is>
      </c>
      <c r="E23" s="339" t="n"/>
      <c r="F23" s="339" t="n"/>
      <c r="G23" s="339" t="n"/>
      <c r="H23" s="339" t="n"/>
      <c r="I23" s="339" t="n"/>
      <c r="J23" s="339" t="n"/>
      <c r="K23" s="339" t="n"/>
      <c r="L23" s="339" t="n"/>
      <c r="M23" s="339" t="n"/>
      <c r="N23" s="339" t="n"/>
      <c r="O23" s="340" t="n"/>
      <c r="P23" s="459" t="n"/>
      <c r="Q23" s="499" t="n"/>
      <c r="R23" s="499" t="n"/>
      <c r="S23" s="499" t="n"/>
    </row>
    <row r="24">
      <c r="A24" s="552" t="inlineStr">
        <is>
          <t>Ended</t>
        </is>
      </c>
      <c r="B24" s="339" t="n"/>
      <c r="C24" s="340" t="n"/>
      <c r="D24" s="545" t="inlineStr">
        <is>
          <t>Displays information for policy instruments that were once included in this database but have since expired or been terminated</t>
        </is>
      </c>
      <c r="E24" s="339" t="n"/>
      <c r="F24" s="339" t="n"/>
      <c r="G24" s="339" t="n"/>
      <c r="H24" s="339" t="n"/>
      <c r="I24" s="339" t="n"/>
      <c r="J24" s="339" t="n"/>
      <c r="K24" s="339" t="n"/>
      <c r="L24" s="339" t="n"/>
      <c r="M24" s="339" t="n"/>
      <c r="N24" s="339" t="n"/>
      <c r="O24" s="340" t="n"/>
      <c r="P24" s="459" t="n"/>
      <c r="Q24" s="499" t="n"/>
      <c r="R24" s="499" t="n"/>
      <c r="S24" s="499" t="n"/>
    </row>
    <row r="25">
      <c r="A25" s="542" t="n"/>
      <c r="B25" s="542" t="n"/>
      <c r="C25" s="542" t="n"/>
      <c r="D25" s="542" t="n"/>
      <c r="E25" s="542" t="n"/>
      <c r="F25" s="542" t="n"/>
      <c r="G25" s="542" t="n"/>
      <c r="H25" s="542" t="n"/>
      <c r="I25" s="542" t="n"/>
      <c r="J25" s="542" t="n"/>
      <c r="K25" s="542" t="n"/>
      <c r="L25" s="542" t="n"/>
      <c r="M25" s="542" t="n"/>
      <c r="N25" s="542" t="n"/>
      <c r="O25" s="542" t="n"/>
      <c r="P25" s="499" t="n"/>
      <c r="Q25" s="499" t="n"/>
      <c r="R25" s="499" t="n"/>
      <c r="S25" s="499" t="n"/>
    </row>
    <row r="26" ht="16.5" customHeight="1">
      <c r="A26" s="539" t="inlineStr">
        <is>
          <t>Legend</t>
        </is>
      </c>
      <c r="B26" s="540" t="n"/>
      <c r="C26" s="540" t="n"/>
      <c r="D26" s="540" t="n"/>
      <c r="E26" s="540" t="n"/>
      <c r="F26" s="540" t="n"/>
      <c r="G26" s="540" t="n"/>
      <c r="H26" s="540" t="n"/>
      <c r="I26" s="540" t="n"/>
      <c r="J26" s="540" t="n"/>
      <c r="K26" s="540" t="n"/>
      <c r="L26" s="540" t="n"/>
      <c r="M26" s="540" t="n"/>
      <c r="N26" s="540" t="n"/>
      <c r="O26" s="540" t="n"/>
      <c r="P26" s="499" t="n"/>
      <c r="Q26" s="499" t="n"/>
      <c r="R26" s="499" t="n"/>
      <c r="S26" s="499" t="n"/>
    </row>
    <row r="27">
      <c r="A27" s="553" t="inlineStr">
        <is>
          <t>Bold text</t>
        </is>
      </c>
      <c r="B27" s="339" t="n"/>
      <c r="C27" s="340" t="n"/>
      <c r="D27" s="554" t="inlineStr">
        <is>
          <t>Policy instrument</t>
        </is>
      </c>
      <c r="E27" s="339" t="n"/>
      <c r="F27" s="339" t="n"/>
      <c r="G27" s="339" t="n"/>
      <c r="H27" s="339" t="n"/>
      <c r="I27" s="339" t="n"/>
      <c r="J27" s="339" t="n"/>
      <c r="K27" s="339" t="n"/>
      <c r="L27" s="339" t="n"/>
      <c r="M27" s="339" t="n"/>
      <c r="N27" s="339" t="n"/>
      <c r="O27" s="340" t="n"/>
      <c r="P27" s="459" t="n"/>
      <c r="Q27" s="499" t="n"/>
      <c r="R27" s="499" t="n"/>
      <c r="S27" s="499" t="n"/>
    </row>
    <row r="28">
      <c r="A28" s="555" t="inlineStr">
        <is>
          <t>Unbolded text</t>
        </is>
      </c>
      <c r="B28" s="339" t="n"/>
      <c r="C28" s="340" t="n"/>
      <c r="D28" s="545" t="inlineStr">
        <is>
          <t>Sub-schemes of the policy instrument</t>
        </is>
      </c>
      <c r="E28" s="339" t="n"/>
      <c r="F28" s="339" t="n"/>
      <c r="G28" s="339" t="n"/>
      <c r="H28" s="339" t="n"/>
      <c r="I28" s="339" t="n"/>
      <c r="J28" s="339" t="n"/>
      <c r="K28" s="339" t="n"/>
      <c r="L28" s="339" t="n"/>
      <c r="M28" s="339" t="n"/>
      <c r="N28" s="339" t="n"/>
      <c r="O28" s="340" t="n"/>
      <c r="P28" s="459" t="n"/>
      <c r="Q28" s="499" t="n"/>
      <c r="R28" s="499" t="n"/>
      <c r="S28" s="499" t="n"/>
    </row>
    <row r="29">
      <c r="A29" s="542" t="n"/>
      <c r="B29" s="542" t="n"/>
      <c r="C29" s="542" t="n"/>
      <c r="D29" s="542" t="n"/>
      <c r="E29" s="542" t="n"/>
      <c r="F29" s="542" t="n"/>
      <c r="G29" s="542" t="n"/>
      <c r="H29" s="542" t="n"/>
      <c r="I29" s="542" t="n"/>
      <c r="J29" s="542" t="n"/>
      <c r="K29" s="542" t="n"/>
      <c r="L29" s="542" t="n"/>
      <c r="M29" s="542" t="n"/>
      <c r="N29" s="542" t="n"/>
      <c r="O29" s="542" t="n"/>
      <c r="P29" s="499" t="n"/>
      <c r="Q29" s="499" t="n"/>
      <c r="R29" s="499" t="n"/>
      <c r="S29" s="499" t="n"/>
    </row>
    <row r="30">
      <c r="A30" s="534" t="n"/>
      <c r="B30" s="534" t="n"/>
      <c r="C30" s="534" t="n"/>
      <c r="D30" s="534" t="n"/>
      <c r="E30" s="534" t="n"/>
      <c r="F30" s="534" t="n"/>
      <c r="G30" s="534" t="n"/>
      <c r="H30" s="534" t="n"/>
      <c r="I30" s="534" t="n"/>
      <c r="J30" s="534" t="n"/>
      <c r="K30" s="534" t="n"/>
      <c r="L30" s="534" t="n"/>
      <c r="M30" s="534" t="n"/>
      <c r="N30" s="534" t="n"/>
      <c r="O30" s="534" t="n"/>
      <c r="P30" s="499" t="n"/>
      <c r="Q30" s="499" t="n"/>
      <c r="R30" s="499" t="n"/>
      <c r="S30" s="499" t="n"/>
    </row>
    <row r="31" ht="16.5" customHeight="1">
      <c r="A31" s="556" t="inlineStr">
        <is>
          <t>MGF Lab contact</t>
        </is>
      </c>
      <c r="B31" s="110" t="n"/>
      <c r="C31" s="534" t="n"/>
      <c r="D31" s="534" t="n"/>
      <c r="E31" s="534" t="n"/>
      <c r="F31" s="534" t="n"/>
      <c r="G31" s="534" t="n"/>
      <c r="H31" s="534" t="n"/>
      <c r="I31" s="534" t="n"/>
      <c r="J31" s="534" t="n"/>
      <c r="K31" s="534" t="n"/>
      <c r="L31" s="534" t="n"/>
      <c r="M31" s="534" t="n"/>
      <c r="N31" s="534" t="n"/>
      <c r="O31" s="534" t="n"/>
      <c r="P31" s="499" t="n"/>
      <c r="Q31" s="499" t="n"/>
      <c r="R31" s="499" t="n"/>
      <c r="S31" s="499" t="n"/>
    </row>
    <row r="32">
      <c r="A32" s="556" t="inlineStr">
        <is>
          <t>Danqing Shao</t>
        </is>
      </c>
      <c r="B32" s="557" t="inlineStr">
        <is>
          <t>dqshao@nsd.pku.edu.cn</t>
        </is>
      </c>
      <c r="C32" s="110" t="n"/>
      <c r="D32" s="534" t="n"/>
      <c r="E32" s="534" t="n"/>
      <c r="F32" s="534" t="n"/>
      <c r="G32" s="534" t="n"/>
      <c r="H32" s="534" t="n"/>
      <c r="I32" s="534" t="n"/>
      <c r="J32" s="534" t="n"/>
      <c r="K32" s="534" t="n"/>
      <c r="L32" s="534" t="n"/>
      <c r="M32" s="534" t="n"/>
      <c r="N32" s="534" t="n"/>
      <c r="O32" s="534" t="n"/>
      <c r="P32" s="499" t="n"/>
      <c r="Q32" s="499" t="n"/>
      <c r="R32" s="499" t="n"/>
      <c r="S32" s="499" t="n"/>
    </row>
    <row r="33">
      <c r="A33" s="556" t="inlineStr">
        <is>
          <t>Xiaobei He</t>
        </is>
      </c>
      <c r="B33" s="557" t="inlineStr">
        <is>
          <t>xbhe@nsd.pku.edu.cn</t>
        </is>
      </c>
      <c r="C33" s="110" t="n"/>
      <c r="D33" s="534" t="n"/>
      <c r="E33" s="534" t="n"/>
      <c r="F33" s="534" t="n"/>
      <c r="G33" s="534" t="n"/>
      <c r="H33" s="534" t="n"/>
      <c r="I33" s="534" t="n"/>
      <c r="J33" s="534" t="n"/>
      <c r="K33" s="534" t="n"/>
      <c r="L33" s="534" t="n"/>
      <c r="M33" s="534" t="n"/>
      <c r="N33" s="534" t="n"/>
      <c r="O33" s="534" t="n"/>
      <c r="P33" s="499" t="n"/>
      <c r="Q33" s="499" t="n"/>
      <c r="R33" s="499" t="n"/>
      <c r="S33" s="499" t="n"/>
    </row>
  </sheetData>
  <mergeCells count="39">
    <mergeCell ref="A7:O7"/>
    <mergeCell ref="D11:O11"/>
    <mergeCell ref="D13:O13"/>
    <mergeCell ref="D27:O27"/>
    <mergeCell ref="A18:C18"/>
    <mergeCell ref="A27:C27"/>
    <mergeCell ref="A21:C21"/>
    <mergeCell ref="A1:H1"/>
    <mergeCell ref="A12:C12"/>
    <mergeCell ref="D17:O17"/>
    <mergeCell ref="D16:O16"/>
    <mergeCell ref="D28:O28"/>
    <mergeCell ref="A23:C23"/>
    <mergeCell ref="A14:C14"/>
    <mergeCell ref="A22:C22"/>
    <mergeCell ref="A17:C17"/>
    <mergeCell ref="D18:O18"/>
    <mergeCell ref="A20:C20"/>
    <mergeCell ref="D12:O12"/>
    <mergeCell ref="A28:C28"/>
    <mergeCell ref="A19:C19"/>
    <mergeCell ref="D24:O24"/>
    <mergeCell ref="A13:C13"/>
    <mergeCell ref="D15:O15"/>
    <mergeCell ref="D23:O23"/>
    <mergeCell ref="D14:O14"/>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2"/>
  <sheetViews>
    <sheetView tabSelected="1" workbookViewId="0">
      <selection activeCell="A1" sqref="A1:AX2"/>
    </sheetView>
  </sheetViews>
  <sheetFormatPr baseColWidth="8" defaultRowHeight="13.9"/>
  <sheetData>
    <row r="1" ht="15.75" customHeight="1">
      <c r="A1" s="387" t="inlineStr">
        <is>
          <t>Identification</t>
        </is>
      </c>
      <c r="B1" s="93" t="n"/>
      <c r="C1" s="424" t="inlineStr">
        <is>
          <t>Instrument typology</t>
        </is>
      </c>
      <c r="D1" s="100" t="n"/>
      <c r="E1" s="100" t="n"/>
      <c r="F1" s="101" t="n"/>
      <c r="G1" s="425" t="inlineStr">
        <is>
          <t>Policy Description</t>
        </is>
      </c>
      <c r="H1" s="100" t="n"/>
      <c r="I1" s="100" t="n"/>
      <c r="J1" s="100" t="n"/>
      <c r="K1" s="100" t="n"/>
      <c r="L1" s="100" t="n"/>
      <c r="M1" s="426" t="inlineStr">
        <is>
          <t>Administrative information</t>
        </is>
      </c>
      <c r="N1" s="100" t="n"/>
      <c r="O1" s="100" t="n"/>
      <c r="P1" s="100" t="n"/>
      <c r="Q1" s="100" t="n"/>
      <c r="R1" s="100" t="n"/>
      <c r="S1" s="100" t="n"/>
      <c r="T1" s="100" t="n"/>
      <c r="U1" s="100" t="n"/>
      <c r="V1" s="427" t="inlineStr">
        <is>
          <t>Policy regulatory base and intensity</t>
        </is>
      </c>
      <c r="W1" s="100" t="n"/>
      <c r="X1" s="100" t="n"/>
      <c r="Y1" s="100" t="n"/>
      <c r="Z1" s="100" t="n"/>
      <c r="AA1" s="100" t="n"/>
      <c r="AB1" s="100" t="n"/>
      <c r="AC1" s="100" t="n"/>
      <c r="AD1" s="100" t="n"/>
      <c r="AE1" s="100" t="n"/>
      <c r="AF1" s="100" t="n"/>
      <c r="AG1" s="100" t="n"/>
      <c r="AH1" s="100" t="n"/>
      <c r="AI1" s="100" t="n"/>
      <c r="AJ1" s="100" t="n"/>
      <c r="AK1" s="393" t="inlineStr">
        <is>
          <t>Instrument-specific attributes</t>
        </is>
      </c>
      <c r="AL1" s="100" t="n"/>
      <c r="AM1" s="100" t="n"/>
      <c r="AN1" s="428" t="inlineStr">
        <is>
          <t>GHG emission base</t>
        </is>
      </c>
      <c r="AO1" s="101" t="n"/>
      <c r="AP1" s="395" t="inlineStr">
        <is>
          <t>Classifications &amp; Indicators</t>
        </is>
      </c>
      <c r="AQ1" s="100" t="n"/>
      <c r="AR1" s="100" t="n"/>
      <c r="AS1" s="100" t="n"/>
      <c r="AT1" s="426" t="inlineStr">
        <is>
          <t>References to legislation</t>
        </is>
      </c>
      <c r="AU1" s="100" t="n"/>
      <c r="AV1" s="100" t="n"/>
      <c r="AW1" s="429" t="n"/>
    </row>
    <row r="2" ht="15.75" customHeight="1">
      <c r="A2" s="398" t="inlineStr">
        <is>
          <t>Policy Instrument ID</t>
        </is>
      </c>
      <c r="B2" s="398" t="inlineStr">
        <is>
          <t>Instrument / subscheme</t>
        </is>
      </c>
      <c r="C2" s="399" t="inlineStr">
        <is>
          <t>Group</t>
        </is>
      </c>
      <c r="D2" s="399" t="inlineStr">
        <is>
          <t>Approach</t>
        </is>
      </c>
      <c r="E2" s="399" t="inlineStr">
        <is>
          <t>Emission sector</t>
        </is>
      </c>
      <c r="F2" s="399" t="inlineStr">
        <is>
          <t>Sub-sector</t>
        </is>
      </c>
      <c r="G2" s="400" t="inlineStr">
        <is>
          <t>Domestic instrument name</t>
        </is>
      </c>
      <c r="H2" s="400" t="inlineStr">
        <is>
          <t>English instrument name</t>
        </is>
      </c>
      <c r="I2" s="400" t="inlineStr">
        <is>
          <t>Policy Package</t>
        </is>
      </c>
      <c r="J2" s="400" t="inlineStr">
        <is>
          <t>Description</t>
        </is>
      </c>
      <c r="K2" s="400" t="inlineStr">
        <is>
          <t>Objective</t>
        </is>
      </c>
      <c r="L2" s="400" t="inlineStr">
        <is>
          <t>Mitigation relevance</t>
        </is>
      </c>
      <c r="M2" s="401" t="inlineStr">
        <is>
          <t>Jurisdiction level</t>
        </is>
      </c>
      <c r="N2" s="401" t="inlineStr">
        <is>
          <t>Jurisdiction name</t>
        </is>
      </c>
      <c r="O2" s="401" t="inlineStr">
        <is>
          <t>Adoption date</t>
        </is>
      </c>
      <c r="P2" s="401" t="inlineStr">
        <is>
          <t>Start date</t>
        </is>
      </c>
      <c r="Q2" s="401" t="inlineStr">
        <is>
          <t>End date</t>
        </is>
      </c>
      <c r="R2" s="401" t="inlineStr">
        <is>
          <t>Last revisions</t>
        </is>
      </c>
      <c r="S2" s="401" t="inlineStr">
        <is>
          <t>Last revisions (Details)</t>
        </is>
      </c>
      <c r="T2" s="401" t="inlineStr">
        <is>
          <t>Status</t>
        </is>
      </c>
      <c r="U2" s="401" t="inlineStr">
        <is>
          <t>Administrating authorities</t>
        </is>
      </c>
      <c r="V2" s="402" t="inlineStr">
        <is>
          <t>Asset</t>
        </is>
      </c>
      <c r="W2" s="402" t="inlineStr">
        <is>
          <t>Asset (Status)</t>
        </is>
      </c>
      <c r="X2" s="402" t="inlineStr">
        <is>
          <t>Asset (Details)</t>
        </is>
      </c>
      <c r="Y2" s="402" t="inlineStr">
        <is>
          <t>Asset (Other)</t>
        </is>
      </c>
      <c r="Z2" s="402" t="inlineStr">
        <is>
          <t>Asset (Cut-off range)</t>
        </is>
      </c>
      <c r="AA2" s="402" t="inlineStr">
        <is>
          <t>Agent</t>
        </is>
      </c>
      <c r="AB2" s="402" t="inlineStr">
        <is>
          <t>Agent (Detail)</t>
        </is>
      </c>
      <c r="AC2" s="402" t="inlineStr">
        <is>
          <t>Activity</t>
        </is>
      </c>
      <c r="AD2" s="402" t="inlineStr">
        <is>
          <t>Activity (Details)</t>
        </is>
      </c>
      <c r="AE2" s="402" t="inlineStr">
        <is>
          <t>Intensity (Value)</t>
        </is>
      </c>
      <c r="AF2" s="402" t="inlineStr">
        <is>
          <t>Intensity (Unit)</t>
        </is>
      </c>
      <c r="AG2" s="402" t="inlineStr">
        <is>
          <t>Intensity (Details)</t>
        </is>
      </c>
      <c r="AH2" s="402" t="inlineStr">
        <is>
          <t>Requirement specification</t>
        </is>
      </c>
      <c r="AI2" s="402" t="inlineStr">
        <is>
          <t>Compliance calculation methodology I</t>
        </is>
      </c>
      <c r="AJ2" s="402" t="inlineStr">
        <is>
          <t>Compliance calculation methodology II</t>
        </is>
      </c>
      <c r="AK2" s="400" t="inlineStr">
        <is>
          <t>Incentives for Participation</t>
        </is>
      </c>
      <c r="AL2" s="400" t="inlineStr">
        <is>
          <t>Monitoring</t>
        </is>
      </c>
      <c r="AM2" s="400" t="inlineStr">
        <is>
          <t>Sanctions for non-compliance</t>
        </is>
      </c>
      <c r="AN2" s="404" t="inlineStr">
        <is>
          <t>GHG emission coverage (absolute)</t>
        </is>
      </c>
      <c r="AO2" s="404" t="inlineStr">
        <is>
          <t>GHG emission coverage (% domestic emissions)</t>
        </is>
      </c>
      <c r="AP2" s="399" t="inlineStr">
        <is>
          <t>Economic sector</t>
        </is>
      </c>
      <c r="AQ2" s="399" t="inlineStr">
        <is>
          <t>GHGs affected</t>
        </is>
      </c>
      <c r="AR2" s="399" t="inlineStr">
        <is>
          <t>Mitigation effect</t>
        </is>
      </c>
      <c r="AS2" s="399" t="inlineStr">
        <is>
          <t>Mitigation co-benefits</t>
        </is>
      </c>
      <c r="AT2" s="401" t="inlineStr">
        <is>
          <t>Legal statute</t>
        </is>
      </c>
      <c r="AU2" s="401" t="inlineStr">
        <is>
          <t>Legal document</t>
        </is>
      </c>
      <c r="AV2" s="401" t="inlineStr">
        <is>
          <t>Other weblinks</t>
        </is>
      </c>
      <c r="AW2" s="406" t="n"/>
    </row>
  </sheetData>
  <mergeCells count="9">
    <mergeCell ref="G1:L1"/>
    <mergeCell ref="AK1:AM1"/>
    <mergeCell ref="V1:AJ1"/>
    <mergeCell ref="AT1:AV1"/>
    <mergeCell ref="AN1:AO1"/>
    <mergeCell ref="M1:U1"/>
    <mergeCell ref="C1:F1"/>
    <mergeCell ref="A1:B1"/>
    <mergeCell ref="AP1:AS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253" t="inlineStr">
        <is>
          <t>This dataset adopts a four-level classification framework aligned with the IFCMA Climate Policy Database.
The classification distinguishes between standardised, internationally comparable policy approaches and country-specific policy instruments, while allowing for additional granularity where needed.</t>
        </is>
      </c>
      <c r="B1" s="109" t="n"/>
      <c r="C1" s="109" t="n"/>
      <c r="D1" s="109" t="n"/>
      <c r="E1" s="109" t="n"/>
      <c r="F1" s="109" t="n"/>
      <c r="G1" s="109" t="n"/>
      <c r="H1" s="109" t="n"/>
      <c r="I1" s="109" t="n"/>
      <c r="J1" s="109" t="n"/>
      <c r="K1" s="109" t="n"/>
      <c r="L1" s="109" t="n"/>
      <c r="M1" s="109" t="n"/>
      <c r="N1" s="109" t="n"/>
      <c r="O1" s="110" t="n"/>
      <c r="P1" s="254" t="n"/>
      <c r="Q1" s="254" t="n"/>
      <c r="R1" s="254" t="n"/>
      <c r="S1" s="254" t="n"/>
      <c r="T1" s="254" t="n"/>
      <c r="U1" s="254" t="n"/>
    </row>
    <row r="2" ht="15.75" customHeight="1">
      <c r="A2" s="254" t="n"/>
      <c r="B2" s="254" t="n"/>
      <c r="C2" s="254" t="n"/>
      <c r="D2" s="254" t="n"/>
      <c r="E2" s="254" t="n"/>
      <c r="F2" s="254" t="n"/>
      <c r="G2" s="254" t="n"/>
      <c r="H2" s="254" t="n"/>
      <c r="I2" s="254" t="n"/>
      <c r="J2" s="254" t="n"/>
      <c r="K2" s="254" t="n"/>
      <c r="L2" s="254" t="n"/>
      <c r="M2" s="254" t="n"/>
      <c r="N2" s="254" t="n"/>
      <c r="O2" s="254" t="n"/>
      <c r="P2" s="254" t="n"/>
      <c r="Q2" s="254" t="n"/>
      <c r="R2" s="254" t="n"/>
      <c r="S2" s="254" t="n"/>
      <c r="T2" s="254" t="n"/>
      <c r="U2" s="254" t="n"/>
    </row>
    <row r="3" ht="30" customHeight="1">
      <c r="A3" s="354" t="inlineStr">
        <is>
          <t>Classification Structure</t>
        </is>
      </c>
      <c r="B3" s="337" t="n"/>
      <c r="C3" s="355" t="n"/>
      <c r="D3" s="355" t="n"/>
      <c r="E3" s="355" t="n"/>
      <c r="F3" s="355" t="n"/>
      <c r="G3" s="254" t="n"/>
      <c r="H3" s="254" t="n"/>
      <c r="I3" s="254" t="n"/>
      <c r="J3" s="254" t="n"/>
      <c r="K3" s="254" t="n"/>
      <c r="L3" s="254" t="n"/>
      <c r="M3" s="254" t="n"/>
      <c r="N3" s="254" t="n"/>
      <c r="O3" s="254" t="n"/>
      <c r="P3" s="254" t="n"/>
      <c r="Q3" s="254" t="n"/>
      <c r="R3" s="254" t="n"/>
      <c r="S3" s="254" t="n"/>
      <c r="T3" s="254" t="n"/>
      <c r="U3" s="254" t="n"/>
    </row>
    <row r="4" ht="15.75" customHeight="1">
      <c r="A4" s="356" t="inlineStr">
        <is>
          <t>Level</t>
        </is>
      </c>
      <c r="B4" s="356" t="inlineStr">
        <is>
          <t>Name</t>
        </is>
      </c>
      <c r="C4" s="356" t="inlineStr">
        <is>
          <t>Chinese Name</t>
        </is>
      </c>
      <c r="D4" s="356" t="inlineStr">
        <is>
          <t>Definition</t>
        </is>
      </c>
      <c r="E4" s="356" t="inlineStr">
        <is>
          <t>Purpose in Dataset</t>
        </is>
      </c>
      <c r="F4" s="356" t="inlineStr">
        <is>
          <t>Example</t>
        </is>
      </c>
      <c r="G4" s="357" t="n"/>
      <c r="H4" s="254" t="n"/>
      <c r="I4" s="254" t="n"/>
      <c r="J4" s="254" t="n"/>
      <c r="K4" s="254" t="n"/>
      <c r="L4" s="254" t="n"/>
      <c r="M4" s="254" t="n"/>
      <c r="N4" s="254" t="n"/>
      <c r="O4" s="254" t="n"/>
      <c r="P4" s="254" t="n"/>
      <c r="Q4" s="254" t="n"/>
      <c r="R4" s="254" t="n"/>
      <c r="S4" s="254" t="n"/>
      <c r="T4" s="254" t="n"/>
      <c r="U4" s="254" t="n"/>
    </row>
    <row r="5" ht="60" customHeight="1">
      <c r="A5" s="358" t="n">
        <v>1</v>
      </c>
      <c r="B5" s="359" t="inlineStr">
        <is>
          <t>Category</t>
        </is>
      </c>
      <c r="C5" s="358" t="inlineStr">
        <is>
          <t>类别</t>
        </is>
      </c>
      <c r="D5" s="360" t="inlineStr">
        <is>
          <t>High-level classification based on the policy instrument’s operating mechanism</t>
        </is>
      </c>
      <c r="E5" s="360" t="inlineStr">
        <is>
          <t>Provides overall structure and enables broad comparison across policy types</t>
        </is>
      </c>
      <c r="F5" s="360" t="inlineStr">
        <is>
          <t>Economic instruments; 
Regulatory instruments; 
Information instruments</t>
        </is>
      </c>
      <c r="G5" s="357" t="n"/>
      <c r="H5" s="254" t="n"/>
      <c r="I5" s="254" t="n"/>
      <c r="J5" s="254" t="n"/>
      <c r="K5" s="254" t="n"/>
      <c r="L5" s="254" t="n"/>
      <c r="M5" s="254" t="n"/>
      <c r="N5" s="254" t="n"/>
      <c r="O5" s="254" t="n"/>
      <c r="P5" s="254" t="n"/>
      <c r="Q5" s="254" t="n"/>
      <c r="R5" s="254" t="n"/>
      <c r="S5" s="254" t="n"/>
      <c r="T5" s="254" t="n"/>
      <c r="U5" s="254" t="n"/>
    </row>
    <row r="6" ht="45" customHeight="1">
      <c r="A6" s="358" t="n">
        <v>2</v>
      </c>
      <c r="B6" s="359" t="inlineStr">
        <is>
          <t>Group</t>
        </is>
      </c>
      <c r="C6" s="358" t="inlineStr">
        <is>
          <t>组别</t>
        </is>
      </c>
      <c r="D6" s="360" t="inlineStr">
        <is>
          <t>Functional grouping of instruments within each category</t>
        </is>
      </c>
      <c r="E6" s="360" t="inlineStr">
        <is>
          <t>Organises instruments by regulatory function or policy logic</t>
        </is>
      </c>
      <c r="F6" s="360" t="inlineStr">
        <is>
          <t>Under regulatory instruments: 
Performance standards; 
Technology standards</t>
        </is>
      </c>
      <c r="G6" s="357" t="n"/>
      <c r="H6" s="254" t="n"/>
      <c r="I6" s="254" t="n"/>
      <c r="J6" s="254" t="n"/>
      <c r="K6" s="254" t="n"/>
      <c r="L6" s="254" t="n"/>
      <c r="M6" s="254" t="n"/>
      <c r="N6" s="254" t="n"/>
      <c r="O6" s="254" t="n"/>
      <c r="P6" s="254" t="n"/>
      <c r="Q6" s="254" t="n"/>
      <c r="R6" s="254" t="n"/>
      <c r="S6" s="254" t="n"/>
      <c r="T6" s="254" t="n"/>
      <c r="U6" s="254" t="n"/>
    </row>
    <row r="7" ht="90" customHeight="1">
      <c r="A7" s="358" t="n">
        <v>3</v>
      </c>
      <c r="B7" s="359" t="inlineStr">
        <is>
          <t>Approach</t>
        </is>
      </c>
      <c r="C7" s="358" t="inlineStr">
        <is>
          <t>路径</t>
        </is>
      </c>
      <c r="D7" s="360" t="inlineStr">
        <is>
          <t>A standardised and internationally comparable policy approach that groups instruments with similar design and regulatory logic</t>
        </is>
      </c>
      <c r="E7" s="360" t="inlineStr">
        <is>
          <t>Core level for cross-country comparability</t>
        </is>
      </c>
      <c r="F7" s="360" t="inlineStr">
        <is>
          <t>Under performance standards:
Minimum Energy Performance Standards (MEPS) for electric appliances; 
Fuel economy standards</t>
        </is>
      </c>
      <c r="G7" s="357" t="n"/>
      <c r="H7" s="254" t="n"/>
      <c r="I7" s="254" t="n"/>
      <c r="J7" s="254" t="n"/>
      <c r="K7" s="254" t="n"/>
      <c r="L7" s="254" t="n"/>
      <c r="M7" s="254" t="n"/>
      <c r="N7" s="254" t="n"/>
      <c r="O7" s="254" t="n"/>
      <c r="P7" s="254" t="n"/>
      <c r="Q7" s="254" t="n"/>
      <c r="R7" s="254" t="n"/>
      <c r="S7" s="254" t="n"/>
      <c r="T7" s="254" t="n"/>
      <c r="U7" s="254" t="n"/>
    </row>
    <row r="8" ht="60" customHeight="1">
      <c r="A8" s="358" t="n">
        <v>4</v>
      </c>
      <c r="B8" s="359" t="inlineStr">
        <is>
          <t>Instrument</t>
        </is>
      </c>
      <c r="C8" s="358" t="inlineStr">
        <is>
          <t>工具</t>
        </is>
      </c>
      <c r="D8" s="360" t="inlineStr">
        <is>
          <t>A specific legal or regulatory measure implemented in a jurisdiction at a given time</t>
        </is>
      </c>
      <c r="E8" s="360" t="inlineStr">
        <is>
          <t>Primary unit of observation in the dataset; reflects country-specific policy design</t>
        </is>
      </c>
      <c r="F8" s="360" t="inlineStr">
        <is>
          <t>Under MEPS for electric appliances:
MEPS for power transformer; 
MEPS for monitor; 
MEPS for air purifier</t>
        </is>
      </c>
      <c r="G8" s="357" t="n"/>
      <c r="H8" s="254" t="n"/>
      <c r="I8" s="254" t="n"/>
      <c r="J8" s="254" t="n"/>
      <c r="K8" s="254" t="n"/>
      <c r="L8" s="254" t="n"/>
      <c r="M8" s="254" t="n"/>
      <c r="N8" s="254" t="n"/>
      <c r="O8" s="254" t="n"/>
      <c r="P8" s="254" t="n"/>
      <c r="Q8" s="254" t="n"/>
      <c r="R8" s="254" t="n"/>
      <c r="S8" s="254" t="n"/>
      <c r="T8" s="254" t="n"/>
      <c r="U8" s="254" t="n"/>
    </row>
    <row r="9" ht="47.25" customHeight="1">
      <c r="A9" s="361" t="n"/>
      <c r="B9" s="362" t="inlineStr">
        <is>
          <t>Sub-scheme (optional)</t>
        </is>
      </c>
      <c r="C9" s="363" t="inlineStr">
        <is>
          <t>子方案（可选）</t>
        </is>
      </c>
      <c r="D9" s="364" t="inlineStr">
        <is>
          <t>Variations within a single instrument reflecting differentiated requirements, exemptions, or implementation phases</t>
        </is>
      </c>
      <c r="E9" s="364" t="inlineStr">
        <is>
          <t>Captures within-instrument heterogeneity when relevant</t>
        </is>
      </c>
      <c r="F9" s="364" t="inlineStr">
        <is>
          <t>Efficiency tiers (e.g. Grade 1 / Grade 2); Phase-in periods</t>
        </is>
      </c>
    </row>
    <row r="10" ht="30" customHeight="1">
      <c r="A10" s="365" t="n"/>
      <c r="B10" s="365" t="n"/>
      <c r="C10" s="365" t="n"/>
      <c r="D10" s="365" t="n"/>
      <c r="E10" s="365" t="n"/>
      <c r="F10" s="365" t="n"/>
      <c r="G10" s="254" t="n"/>
      <c r="H10" s="254" t="n"/>
      <c r="I10" s="254" t="n"/>
      <c r="J10" s="254" t="n"/>
      <c r="K10" s="254" t="n"/>
      <c r="L10" s="254" t="n"/>
      <c r="M10" s="254" t="n"/>
      <c r="N10" s="254" t="n"/>
      <c r="O10" s="254" t="n"/>
      <c r="P10" s="254" t="n"/>
      <c r="Q10" s="254" t="n"/>
      <c r="R10" s="254" t="n"/>
      <c r="S10" s="254" t="n"/>
      <c r="T10" s="254" t="n"/>
      <c r="U10" s="254" t="n"/>
    </row>
    <row r="11" ht="30" customHeight="1">
      <c r="A11" s="326" t="inlineStr">
        <is>
          <t>Counting Rules</t>
        </is>
      </c>
      <c r="C11" s="254" t="n"/>
      <c r="D11" s="254" t="n"/>
      <c r="E11" s="254" t="n"/>
      <c r="F11" s="254" t="n"/>
      <c r="G11" s="254" t="n"/>
      <c r="H11" s="254" t="n"/>
      <c r="I11" s="254" t="n"/>
      <c r="J11" s="254" t="n"/>
      <c r="K11" s="254" t="n"/>
      <c r="L11" s="254" t="n"/>
      <c r="M11" s="254" t="n"/>
      <c r="N11" s="254" t="n"/>
      <c r="O11" s="254" t="n"/>
      <c r="P11" s="254" t="n"/>
      <c r="Q11" s="254" t="n"/>
      <c r="R11" s="254" t="n"/>
      <c r="S11" s="254" t="n"/>
      <c r="T11" s="254" t="n"/>
      <c r="U11" s="254" t="n"/>
    </row>
    <row r="12" ht="30" customHeight="1">
      <c r="A12" s="260" t="inlineStr">
        <is>
          <t>Approach level</t>
        </is>
      </c>
      <c r="B12" s="261" t="inlineStr">
        <is>
          <t>Counted once for comparability</t>
        </is>
      </c>
      <c r="C12" s="254" t="n"/>
      <c r="D12" s="254" t="n"/>
      <c r="E12" s="254" t="n"/>
      <c r="F12" s="254" t="n"/>
      <c r="G12" s="254" t="n"/>
      <c r="H12" s="254" t="n"/>
      <c r="I12" s="254" t="n"/>
      <c r="J12" s="254" t="n"/>
      <c r="K12" s="254" t="n"/>
      <c r="L12" s="254" t="n"/>
      <c r="M12" s="254" t="n"/>
      <c r="N12" s="254" t="n"/>
      <c r="O12" s="254" t="n"/>
      <c r="P12" s="254" t="n"/>
      <c r="Q12" s="254" t="n"/>
      <c r="R12" s="254" t="n"/>
      <c r="S12" s="254" t="n"/>
      <c r="T12" s="254" t="n"/>
      <c r="U12" s="254" t="n"/>
    </row>
    <row r="13" ht="30" customHeight="1">
      <c r="A13" s="260" t="inlineStr">
        <is>
          <t>Instrument level</t>
        </is>
      </c>
      <c r="B13" s="261" t="inlineStr">
        <is>
          <t>Counted separately for each policy</t>
        </is>
      </c>
      <c r="C13" s="254" t="n"/>
      <c r="D13" s="254" t="n"/>
      <c r="E13" s="254" t="n"/>
      <c r="F13" s="254" t="n"/>
      <c r="G13" s="254" t="n"/>
      <c r="H13" s="254" t="n"/>
      <c r="I13" s="254" t="n"/>
      <c r="J13" s="254" t="n"/>
      <c r="K13" s="254" t="n"/>
      <c r="L13" s="254" t="n"/>
      <c r="M13" s="254" t="n"/>
      <c r="N13" s="254" t="n"/>
      <c r="O13" s="254" t="n"/>
      <c r="P13" s="254" t="n"/>
      <c r="Q13" s="254" t="n"/>
      <c r="R13" s="254" t="n"/>
      <c r="S13" s="254" t="n"/>
      <c r="T13" s="254" t="n"/>
      <c r="U13" s="254" t="n"/>
    </row>
    <row r="14" ht="45" customHeight="1">
      <c r="A14" s="260" t="inlineStr">
        <is>
          <t>Sub-scheme level</t>
        </is>
      </c>
      <c r="B14" s="261" t="inlineStr">
        <is>
          <t>Not counted as independent instruments</t>
        </is>
      </c>
      <c r="C14" s="254" t="n"/>
      <c r="D14" s="254" t="n"/>
      <c r="E14" s="254" t="n"/>
      <c r="F14" s="254" t="n"/>
      <c r="G14" s="254" t="n"/>
      <c r="H14" s="254" t="n"/>
      <c r="I14" s="254" t="n"/>
      <c r="J14" s="254" t="n"/>
      <c r="K14" s="254" t="n"/>
      <c r="L14" s="254" t="n"/>
      <c r="M14" s="254" t="n"/>
      <c r="N14" s="254" t="n"/>
      <c r="O14" s="254" t="n"/>
      <c r="P14" s="254" t="n"/>
      <c r="Q14" s="254" t="n"/>
      <c r="R14" s="254" t="n"/>
      <c r="S14" s="254" t="n"/>
      <c r="T14" s="254" t="n"/>
      <c r="U14" s="254" t="n"/>
    </row>
    <row r="15">
      <c r="A15" s="254" t="n"/>
      <c r="B15" s="254" t="n"/>
      <c r="C15" s="254" t="n"/>
      <c r="D15" s="254" t="n"/>
      <c r="E15" s="254" t="n"/>
      <c r="F15" s="254" t="n"/>
      <c r="G15" s="254" t="n"/>
      <c r="H15" s="254" t="n"/>
      <c r="I15" s="254" t="n"/>
      <c r="J15" s="254" t="n"/>
      <c r="K15" s="254" t="n"/>
      <c r="L15" s="254" t="n"/>
      <c r="M15" s="254" t="n"/>
      <c r="N15" s="254" t="n"/>
      <c r="O15" s="254" t="n"/>
      <c r="P15" s="254" t="n"/>
      <c r="Q15" s="254" t="n"/>
      <c r="R15" s="254" t="n"/>
      <c r="S15" s="254" t="n"/>
      <c r="T15" s="254" t="n"/>
      <c r="U15" s="254" t="n"/>
    </row>
    <row r="16">
      <c r="A16" s="254" t="n"/>
      <c r="B16" s="254" t="n"/>
      <c r="C16" s="254" t="n"/>
      <c r="D16" s="254" t="n"/>
      <c r="E16" s="254" t="n"/>
      <c r="F16" s="254" t="n"/>
      <c r="G16" s="254" t="n"/>
      <c r="H16" s="254" t="n"/>
      <c r="I16" s="254" t="n"/>
      <c r="J16" s="254" t="n"/>
      <c r="K16" s="254" t="n"/>
      <c r="L16" s="254" t="n"/>
      <c r="M16" s="254" t="n"/>
      <c r="N16" s="254" t="n"/>
      <c r="O16" s="254" t="n"/>
      <c r="P16" s="254" t="n"/>
      <c r="Q16" s="254" t="n"/>
      <c r="R16" s="254" t="n"/>
      <c r="S16" s="254" t="n"/>
      <c r="T16" s="254" t="n"/>
      <c r="U16" s="254" t="n"/>
    </row>
    <row r="17">
      <c r="A17" s="254" t="n"/>
      <c r="B17" s="254" t="n"/>
      <c r="C17" s="254" t="n"/>
      <c r="D17" s="254" t="n"/>
      <c r="E17" s="254" t="n"/>
      <c r="F17" s="254" t="n"/>
      <c r="G17" s="254" t="n"/>
      <c r="H17" s="254" t="n"/>
      <c r="I17" s="254" t="n"/>
      <c r="J17" s="254" t="n"/>
      <c r="K17" s="254" t="n"/>
      <c r="L17" s="254" t="n"/>
      <c r="M17" s="254" t="n"/>
      <c r="N17" s="254" t="n"/>
      <c r="O17" s="254" t="n"/>
      <c r="P17" s="254" t="n"/>
      <c r="Q17" s="254" t="n"/>
      <c r="R17" s="254" t="n"/>
      <c r="S17" s="254" t="n"/>
      <c r="T17" s="254" t="n"/>
      <c r="U17" s="254" t="n"/>
    </row>
    <row r="18">
      <c r="A18" s="254" t="n"/>
      <c r="B18" s="254" t="n"/>
      <c r="C18" s="254" t="n"/>
      <c r="D18" s="254" t="n"/>
      <c r="E18" s="254" t="n"/>
      <c r="F18" s="254" t="n"/>
      <c r="G18" s="254" t="n"/>
      <c r="H18" s="254" t="n"/>
      <c r="I18" s="254" t="n"/>
      <c r="J18" s="254" t="n"/>
      <c r="K18" s="254" t="n"/>
      <c r="L18" s="254" t="n"/>
      <c r="M18" s="254" t="n"/>
      <c r="N18" s="254" t="n"/>
      <c r="O18" s="254" t="n"/>
      <c r="P18" s="254" t="n"/>
      <c r="Q18" s="254" t="n"/>
      <c r="R18" s="254" t="n"/>
      <c r="S18" s="254" t="n"/>
      <c r="T18" s="254" t="n"/>
      <c r="U18" s="254" t="n"/>
    </row>
    <row r="19">
      <c r="A19" s="254" t="n"/>
      <c r="B19" s="254" t="n"/>
      <c r="C19" s="254" t="n"/>
      <c r="D19" s="254" t="n"/>
      <c r="E19" s="254" t="n"/>
      <c r="F19" s="254" t="n"/>
      <c r="G19" s="254" t="n"/>
      <c r="H19" s="254" t="n"/>
      <c r="I19" s="254" t="n"/>
      <c r="J19" s="254" t="n"/>
      <c r="K19" s="254" t="n"/>
      <c r="L19" s="254" t="n"/>
      <c r="M19" s="254" t="n"/>
      <c r="N19" s="254" t="n"/>
      <c r="O19" s="254" t="n"/>
      <c r="P19" s="254" t="n"/>
      <c r="Q19" s="254" t="n"/>
      <c r="R19" s="254" t="n"/>
      <c r="S19" s="254" t="n"/>
      <c r="T19" s="254" t="n"/>
      <c r="U19" s="254" t="n"/>
    </row>
    <row r="20">
      <c r="A20" s="254" t="n"/>
      <c r="B20" s="254" t="n"/>
      <c r="C20" s="254" t="n"/>
      <c r="D20" s="254" t="n"/>
      <c r="E20" s="254" t="n"/>
      <c r="F20" s="254" t="n"/>
      <c r="G20" s="254" t="n"/>
      <c r="H20" s="254" t="n"/>
      <c r="I20" s="254" t="n"/>
      <c r="J20" s="254" t="n"/>
      <c r="K20" s="254" t="n"/>
      <c r="L20" s="254" t="n"/>
      <c r="M20" s="254" t="n"/>
      <c r="N20" s="254" t="n"/>
      <c r="O20" s="254" t="n"/>
      <c r="P20" s="254" t="n"/>
      <c r="Q20" s="254" t="n"/>
      <c r="R20" s="254" t="n"/>
      <c r="S20" s="254" t="n"/>
      <c r="T20" s="254" t="n"/>
      <c r="U20" s="254" t="n"/>
    </row>
    <row r="21">
      <c r="A21" s="254" t="n"/>
      <c r="B21" s="254" t="n"/>
      <c r="C21" s="254" t="n"/>
      <c r="D21" s="254" t="n"/>
      <c r="E21" s="254" t="n"/>
      <c r="F21" s="254" t="n"/>
      <c r="G21" s="254" t="n"/>
      <c r="H21" s="254" t="n"/>
      <c r="I21" s="254" t="n"/>
      <c r="J21" s="254" t="n"/>
      <c r="K21" s="254" t="n"/>
      <c r="L21" s="254" t="n"/>
      <c r="M21" s="254" t="n"/>
      <c r="N21" s="254" t="n"/>
      <c r="O21" s="254" t="n"/>
      <c r="P21" s="254" t="n"/>
      <c r="Q21" s="254" t="n"/>
      <c r="R21" s="254" t="n"/>
      <c r="S21" s="254" t="n"/>
      <c r="T21" s="254" t="n"/>
      <c r="U21" s="254" t="n"/>
    </row>
    <row r="22">
      <c r="A22" s="254" t="n"/>
      <c r="B22" s="254" t="n"/>
      <c r="C22" s="254" t="n"/>
      <c r="D22" s="254" t="n"/>
      <c r="E22" s="254" t="n"/>
      <c r="F22" s="254" t="n"/>
      <c r="G22" s="254" t="n"/>
      <c r="H22" s="254" t="n"/>
      <c r="I22" s="254" t="n"/>
      <c r="J22" s="254" t="n"/>
      <c r="K22" s="254" t="n"/>
      <c r="L22" s="254" t="n"/>
      <c r="M22" s="254" t="n"/>
      <c r="N22" s="254" t="n"/>
      <c r="O22" s="254" t="n"/>
      <c r="P22" s="254" t="n"/>
      <c r="Q22" s="254" t="n"/>
      <c r="R22" s="254" t="n"/>
      <c r="S22" s="254" t="n"/>
      <c r="T22" s="254" t="n"/>
      <c r="U22" s="254" t="n"/>
    </row>
    <row r="23">
      <c r="A23" s="254" t="n"/>
      <c r="B23" s="254" t="n"/>
      <c r="C23" s="254" t="n"/>
      <c r="D23" s="254" t="n"/>
      <c r="E23" s="254" t="n"/>
      <c r="F23" s="254" t="n"/>
      <c r="G23" s="254" t="n"/>
      <c r="H23" s="254" t="n"/>
      <c r="I23" s="254" t="n"/>
      <c r="J23" s="254" t="n"/>
      <c r="K23" s="254" t="n"/>
      <c r="L23" s="254" t="n"/>
      <c r="M23" s="254" t="n"/>
      <c r="N23" s="254" t="n"/>
      <c r="O23" s="254" t="n"/>
      <c r="P23" s="254" t="n"/>
      <c r="Q23" s="254" t="n"/>
      <c r="R23" s="254" t="n"/>
      <c r="S23" s="254" t="n"/>
      <c r="T23" s="254" t="n"/>
      <c r="U23" s="254" t="n"/>
    </row>
    <row r="24">
      <c r="A24" s="254" t="n"/>
      <c r="B24" s="254" t="n"/>
      <c r="C24" s="254" t="n"/>
      <c r="D24" s="254" t="n"/>
      <c r="E24" s="254" t="n"/>
      <c r="F24" s="254" t="n"/>
      <c r="G24" s="254" t="n"/>
      <c r="H24" s="254" t="n"/>
      <c r="I24" s="254" t="n"/>
      <c r="J24" s="254" t="n"/>
      <c r="K24" s="254" t="n"/>
      <c r="L24" s="254" t="n"/>
      <c r="M24" s="254" t="n"/>
      <c r="N24" s="254" t="n"/>
      <c r="O24" s="254" t="n"/>
      <c r="P24" s="254" t="n"/>
      <c r="Q24" s="254" t="n"/>
      <c r="R24" s="254" t="n"/>
      <c r="S24" s="254" t="n"/>
      <c r="T24" s="254" t="n"/>
      <c r="U24" s="254" t="n"/>
    </row>
    <row r="25">
      <c r="A25" s="254" t="n"/>
      <c r="B25" s="254" t="n"/>
      <c r="C25" s="254" t="n"/>
      <c r="D25" s="254" t="n"/>
      <c r="E25" s="254" t="n"/>
      <c r="F25" s="254" t="n"/>
      <c r="G25" s="254" t="n"/>
      <c r="H25" s="254" t="n"/>
      <c r="I25" s="254" t="n"/>
      <c r="J25" s="254" t="n"/>
      <c r="K25" s="254" t="n"/>
      <c r="L25" s="254" t="n"/>
      <c r="M25" s="254" t="n"/>
      <c r="N25" s="254" t="n"/>
      <c r="O25" s="254" t="n"/>
      <c r="P25" s="254" t="n"/>
      <c r="Q25" s="254" t="n"/>
      <c r="R25" s="254" t="n"/>
      <c r="S25" s="254" t="n"/>
      <c r="T25" s="254" t="n"/>
      <c r="U25" s="254" t="n"/>
    </row>
    <row r="26">
      <c r="A26" s="254" t="n"/>
      <c r="B26" s="254" t="n"/>
      <c r="C26" s="254" t="n"/>
      <c r="D26" s="254" t="n"/>
      <c r="E26" s="254" t="n"/>
      <c r="F26" s="254" t="n"/>
      <c r="G26" s="254" t="n"/>
      <c r="H26" s="254" t="n"/>
      <c r="I26" s="254" t="n"/>
      <c r="J26" s="254" t="n"/>
      <c r="K26" s="254" t="n"/>
      <c r="L26" s="254" t="n"/>
      <c r="M26" s="254" t="n"/>
      <c r="N26" s="254" t="n"/>
      <c r="O26" s="254" t="n"/>
      <c r="P26" s="254" t="n"/>
      <c r="Q26" s="254" t="n"/>
      <c r="R26" s="254" t="n"/>
      <c r="S26" s="254" t="n"/>
      <c r="T26" s="254" t="n"/>
      <c r="U26" s="254" t="n"/>
    </row>
    <row r="27">
      <c r="A27" s="254" t="n"/>
      <c r="B27" s="254" t="n"/>
      <c r="C27" s="254" t="n"/>
      <c r="D27" s="254" t="n"/>
      <c r="E27" s="254" t="n"/>
      <c r="F27" s="254" t="n"/>
      <c r="G27" s="254" t="n"/>
      <c r="H27" s="254" t="n"/>
      <c r="I27" s="254" t="n"/>
      <c r="J27" s="254" t="n"/>
      <c r="K27" s="254" t="n"/>
      <c r="L27" s="254" t="n"/>
      <c r="M27" s="254" t="n"/>
      <c r="N27" s="254" t="n"/>
      <c r="O27" s="254" t="n"/>
      <c r="P27" s="254" t="n"/>
      <c r="Q27" s="254" t="n"/>
      <c r="R27" s="254" t="n"/>
      <c r="S27" s="254" t="n"/>
      <c r="T27" s="254" t="n"/>
      <c r="U27" s="254" t="n"/>
    </row>
    <row r="28">
      <c r="A28" s="254" t="n"/>
      <c r="B28" s="254" t="n"/>
      <c r="C28" s="254" t="n"/>
      <c r="D28" s="254" t="n"/>
      <c r="E28" s="254" t="n"/>
      <c r="F28" s="254" t="n"/>
      <c r="G28" s="254" t="n"/>
      <c r="H28" s="254" t="n"/>
      <c r="I28" s="254" t="n"/>
      <c r="J28" s="254" t="n"/>
      <c r="K28" s="254" t="n"/>
      <c r="L28" s="254" t="n"/>
      <c r="M28" s="254" t="n"/>
      <c r="N28" s="254" t="n"/>
      <c r="O28" s="254" t="n"/>
      <c r="P28" s="254" t="n"/>
      <c r="Q28" s="254" t="n"/>
      <c r="R28" s="254" t="n"/>
      <c r="S28" s="254" t="n"/>
      <c r="T28" s="254" t="n"/>
      <c r="U28" s="254" t="n"/>
    </row>
    <row r="29">
      <c r="A29" s="254" t="n"/>
      <c r="B29" s="254" t="n"/>
      <c r="C29" s="254" t="n"/>
      <c r="D29" s="254" t="n"/>
      <c r="E29" s="254" t="n"/>
      <c r="F29" s="254" t="n"/>
      <c r="G29" s="254" t="n"/>
      <c r="H29" s="254" t="n"/>
      <c r="I29" s="254" t="n"/>
      <c r="J29" s="254" t="n"/>
      <c r="K29" s="254" t="n"/>
      <c r="L29" s="254" t="n"/>
      <c r="M29" s="254" t="n"/>
      <c r="N29" s="254" t="n"/>
      <c r="O29" s="254" t="n"/>
      <c r="P29" s="254" t="n"/>
      <c r="Q29" s="254" t="n"/>
      <c r="R29" s="254" t="n"/>
      <c r="S29" s="254" t="n"/>
      <c r="T29" s="254" t="n"/>
      <c r="U29" s="254" t="n"/>
    </row>
    <row r="30">
      <c r="A30" s="254" t="n"/>
      <c r="B30" s="254" t="n"/>
      <c r="C30" s="254" t="n"/>
      <c r="D30" s="254" t="n"/>
      <c r="E30" s="254" t="n"/>
      <c r="F30" s="254" t="n"/>
      <c r="G30" s="254" t="n"/>
      <c r="H30" s="254" t="n"/>
      <c r="I30" s="254" t="n"/>
      <c r="J30" s="254" t="n"/>
      <c r="K30" s="254" t="n"/>
      <c r="L30" s="254" t="n"/>
      <c r="M30" s="254" t="n"/>
      <c r="N30" s="254" t="n"/>
      <c r="O30" s="254" t="n"/>
      <c r="P30" s="254" t="n"/>
      <c r="Q30" s="254" t="n"/>
      <c r="R30" s="254" t="n"/>
      <c r="S30" s="254" t="n"/>
      <c r="T30" s="254" t="n"/>
      <c r="U30" s="254" t="n"/>
    </row>
    <row r="31">
      <c r="A31" s="254" t="n"/>
      <c r="B31" s="254" t="n"/>
      <c r="C31" s="254" t="n"/>
      <c r="D31" s="254" t="n"/>
      <c r="E31" s="254" t="n"/>
      <c r="F31" s="254" t="n"/>
      <c r="G31" s="254" t="n"/>
      <c r="H31" s="254" t="n"/>
      <c r="I31" s="254" t="n"/>
      <c r="J31" s="254" t="n"/>
      <c r="K31" s="254" t="n"/>
      <c r="L31" s="254" t="n"/>
      <c r="M31" s="254" t="n"/>
      <c r="N31" s="254" t="n"/>
      <c r="O31" s="254" t="n"/>
      <c r="P31" s="254" t="n"/>
      <c r="Q31" s="254" t="n"/>
      <c r="R31" s="254" t="n"/>
      <c r="S31" s="254" t="n"/>
      <c r="T31" s="254" t="n"/>
      <c r="U31" s="254" t="n"/>
    </row>
    <row r="32">
      <c r="A32" s="254" t="n"/>
      <c r="B32" s="254" t="n"/>
      <c r="C32" s="254" t="n"/>
      <c r="D32" s="254" t="n"/>
      <c r="E32" s="254" t="n"/>
      <c r="F32" s="254" t="n"/>
      <c r="G32" s="254" t="n"/>
      <c r="H32" s="254" t="n"/>
      <c r="I32" s="254" t="n"/>
      <c r="J32" s="254" t="n"/>
      <c r="K32" s="254" t="n"/>
      <c r="L32" s="254" t="n"/>
      <c r="M32" s="254" t="n"/>
      <c r="N32" s="254" t="n"/>
      <c r="O32" s="254" t="n"/>
      <c r="P32" s="254" t="n"/>
      <c r="Q32" s="254" t="n"/>
      <c r="R32" s="254" t="n"/>
      <c r="S32" s="254" t="n"/>
      <c r="T32" s="254" t="n"/>
      <c r="U32" s="254" t="n"/>
    </row>
    <row r="33">
      <c r="A33" s="254" t="n"/>
      <c r="B33" s="254" t="n"/>
      <c r="C33" s="254" t="n"/>
      <c r="D33" s="254" t="n"/>
      <c r="E33" s="254" t="n"/>
      <c r="F33" s="254" t="n"/>
      <c r="G33" s="254" t="n"/>
      <c r="H33" s="254" t="n"/>
      <c r="I33" s="254" t="n"/>
      <c r="J33" s="254" t="n"/>
      <c r="K33" s="254" t="n"/>
      <c r="L33" s="254" t="n"/>
      <c r="M33" s="254" t="n"/>
      <c r="N33" s="254" t="n"/>
      <c r="O33" s="254" t="n"/>
      <c r="P33" s="254" t="n"/>
      <c r="Q33" s="254" t="n"/>
      <c r="R33" s="254" t="n"/>
      <c r="S33" s="254" t="n"/>
      <c r="T33" s="254" t="n"/>
      <c r="U33" s="254" t="n"/>
    </row>
    <row r="34">
      <c r="A34" s="254" t="n"/>
      <c r="B34" s="254" t="n"/>
      <c r="C34" s="254" t="n"/>
      <c r="D34" s="254" t="n"/>
      <c r="E34" s="254" t="n"/>
      <c r="F34" s="254" t="n"/>
      <c r="G34" s="254" t="n"/>
      <c r="H34" s="254" t="n"/>
      <c r="I34" s="254" t="n"/>
      <c r="J34" s="254" t="n"/>
      <c r="K34" s="254" t="n"/>
      <c r="L34" s="254" t="n"/>
      <c r="M34" s="254" t="n"/>
      <c r="N34" s="254" t="n"/>
      <c r="O34" s="254" t="n"/>
      <c r="P34" s="254" t="n"/>
      <c r="Q34" s="254" t="n"/>
      <c r="R34" s="254" t="n"/>
      <c r="S34" s="254" t="n"/>
      <c r="T34" s="254" t="n"/>
      <c r="U34" s="254" t="n"/>
    </row>
    <row r="35">
      <c r="A35" s="254" t="n"/>
      <c r="B35" s="254" t="n"/>
      <c r="C35" s="254" t="n"/>
      <c r="D35" s="254" t="n"/>
      <c r="E35" s="254" t="n"/>
      <c r="F35" s="254" t="n"/>
      <c r="G35" s="254" t="n"/>
      <c r="H35" s="254" t="n"/>
      <c r="I35" s="254" t="n"/>
      <c r="J35" s="254" t="n"/>
      <c r="K35" s="254" t="n"/>
      <c r="L35" s="254" t="n"/>
      <c r="M35" s="254" t="n"/>
      <c r="N35" s="254" t="n"/>
      <c r="O35" s="254" t="n"/>
      <c r="P35" s="254" t="n"/>
      <c r="Q35" s="254" t="n"/>
      <c r="R35" s="254" t="n"/>
      <c r="S35" s="254" t="n"/>
      <c r="T35" s="254" t="n"/>
      <c r="U35" s="254" t="n"/>
    </row>
    <row r="36">
      <c r="A36" s="254" t="n"/>
      <c r="B36" s="254" t="n"/>
      <c r="C36" s="254" t="n"/>
      <c r="D36" s="254" t="n"/>
      <c r="E36" s="254" t="n"/>
      <c r="F36" s="254" t="n"/>
      <c r="G36" s="254" t="n"/>
      <c r="H36" s="254" t="n"/>
      <c r="I36" s="254" t="n"/>
      <c r="J36" s="254" t="n"/>
      <c r="K36" s="254" t="n"/>
      <c r="L36" s="254" t="n"/>
      <c r="M36" s="254" t="n"/>
      <c r="N36" s="254" t="n"/>
      <c r="O36" s="254" t="n"/>
      <c r="P36" s="254" t="n"/>
      <c r="Q36" s="254" t="n"/>
      <c r="R36" s="254" t="n"/>
      <c r="S36" s="254" t="n"/>
      <c r="T36" s="254" t="n"/>
      <c r="U36" s="254" t="n"/>
    </row>
    <row r="37">
      <c r="A37" s="254" t="n"/>
      <c r="B37" s="254" t="n"/>
      <c r="C37" s="254" t="n"/>
      <c r="D37" s="254" t="n"/>
      <c r="E37" s="254" t="n"/>
      <c r="F37" s="254" t="n"/>
      <c r="G37" s="254" t="n"/>
      <c r="H37" s="254" t="n"/>
      <c r="I37" s="254" t="n"/>
      <c r="J37" s="254" t="n"/>
      <c r="K37" s="254" t="n"/>
      <c r="L37" s="254" t="n"/>
      <c r="M37" s="254" t="n"/>
      <c r="N37" s="254" t="n"/>
      <c r="O37" s="254" t="n"/>
      <c r="P37" s="254" t="n"/>
      <c r="Q37" s="254" t="n"/>
      <c r="R37" s="254" t="n"/>
      <c r="S37" s="254" t="n"/>
      <c r="T37" s="254" t="n"/>
      <c r="U37" s="254" t="n"/>
    </row>
    <row r="38">
      <c r="A38" s="254" t="n"/>
      <c r="B38" s="254" t="n"/>
      <c r="C38" s="254" t="n"/>
      <c r="D38" s="254" t="n"/>
      <c r="E38" s="254" t="n"/>
      <c r="F38" s="254" t="n"/>
      <c r="G38" s="254" t="n"/>
      <c r="H38" s="254" t="n"/>
      <c r="I38" s="254" t="n"/>
      <c r="J38" s="254" t="n"/>
      <c r="K38" s="254" t="n"/>
      <c r="L38" s="254" t="n"/>
      <c r="M38" s="254" t="n"/>
      <c r="N38" s="254" t="n"/>
      <c r="O38" s="254" t="n"/>
      <c r="P38" s="254" t="n"/>
      <c r="Q38" s="254" t="n"/>
      <c r="R38" s="254" t="n"/>
      <c r="S38" s="254" t="n"/>
      <c r="T38" s="254" t="n"/>
      <c r="U38" s="254" t="n"/>
    </row>
    <row r="39">
      <c r="A39" s="254" t="n"/>
      <c r="B39" s="254" t="n"/>
      <c r="C39" s="254" t="n"/>
      <c r="D39" s="254" t="n"/>
      <c r="E39" s="254" t="n"/>
      <c r="F39" s="254" t="n"/>
      <c r="G39" s="254" t="n"/>
      <c r="H39" s="254" t="n"/>
      <c r="I39" s="254" t="n"/>
      <c r="J39" s="254" t="n"/>
      <c r="K39" s="254" t="n"/>
      <c r="L39" s="254" t="n"/>
      <c r="M39" s="254" t="n"/>
      <c r="N39" s="254" t="n"/>
      <c r="O39" s="254" t="n"/>
      <c r="P39" s="254" t="n"/>
      <c r="Q39" s="254" t="n"/>
      <c r="R39" s="254" t="n"/>
      <c r="S39" s="254" t="n"/>
      <c r="T39" s="254" t="n"/>
      <c r="U39" s="254" t="n"/>
    </row>
    <row r="40">
      <c r="A40" s="254" t="n"/>
      <c r="B40" s="254" t="n"/>
      <c r="C40" s="254" t="n"/>
      <c r="D40" s="254" t="n"/>
      <c r="E40" s="254" t="n"/>
      <c r="F40" s="254" t="n"/>
      <c r="G40" s="254" t="n"/>
      <c r="H40" s="254" t="n"/>
      <c r="I40" s="254" t="n"/>
      <c r="J40" s="254" t="n"/>
      <c r="K40" s="254" t="n"/>
      <c r="L40" s="254" t="n"/>
      <c r="M40" s="254" t="n"/>
      <c r="N40" s="254" t="n"/>
      <c r="O40" s="254" t="n"/>
      <c r="P40" s="254" t="n"/>
      <c r="Q40" s="254" t="n"/>
      <c r="R40" s="254" t="n"/>
      <c r="S40" s="254" t="n"/>
      <c r="T40" s="254" t="n"/>
      <c r="U40" s="254" t="n"/>
    </row>
    <row r="41">
      <c r="A41" s="254" t="n"/>
      <c r="B41" s="254" t="n"/>
      <c r="C41" s="254" t="n"/>
      <c r="D41" s="254" t="n"/>
      <c r="E41" s="254" t="n"/>
      <c r="F41" s="254" t="n"/>
      <c r="G41" s="254" t="n"/>
      <c r="H41" s="254" t="n"/>
      <c r="I41" s="254" t="n"/>
      <c r="J41" s="254" t="n"/>
      <c r="K41" s="254" t="n"/>
      <c r="L41" s="254" t="n"/>
      <c r="M41" s="254" t="n"/>
      <c r="N41" s="254" t="n"/>
      <c r="O41" s="254" t="n"/>
      <c r="P41" s="254" t="n"/>
      <c r="Q41" s="254" t="n"/>
      <c r="R41" s="254" t="n"/>
      <c r="S41" s="254" t="n"/>
      <c r="T41" s="254" t="n"/>
      <c r="U41" s="254" t="n"/>
    </row>
    <row r="42">
      <c r="A42" s="254" t="n"/>
      <c r="B42" s="254" t="n"/>
      <c r="C42" s="254" t="n"/>
      <c r="D42" s="254" t="n"/>
      <c r="E42" s="254" t="n"/>
      <c r="F42" s="254" t="n"/>
      <c r="G42" s="254" t="n"/>
      <c r="H42" s="254" t="n"/>
      <c r="I42" s="254" t="n"/>
      <c r="J42" s="254" t="n"/>
      <c r="K42" s="254" t="n"/>
      <c r="L42" s="254" t="n"/>
      <c r="M42" s="254" t="n"/>
      <c r="N42" s="254" t="n"/>
      <c r="O42" s="254" t="n"/>
      <c r="P42" s="254" t="n"/>
      <c r="Q42" s="254" t="n"/>
      <c r="R42" s="254" t="n"/>
      <c r="S42" s="254" t="n"/>
      <c r="T42" s="254" t="n"/>
      <c r="U42" s="254" t="n"/>
    </row>
    <row r="43">
      <c r="A43" s="254" t="n"/>
      <c r="B43" s="254" t="n"/>
      <c r="C43" s="254" t="n"/>
      <c r="D43" s="254" t="n"/>
      <c r="E43" s="254" t="n"/>
      <c r="F43" s="254" t="n"/>
      <c r="G43" s="254" t="n"/>
      <c r="H43" s="254" t="n"/>
      <c r="I43" s="254" t="n"/>
      <c r="J43" s="254" t="n"/>
      <c r="K43" s="254" t="n"/>
      <c r="L43" s="254" t="n"/>
      <c r="M43" s="254" t="n"/>
      <c r="N43" s="254" t="n"/>
      <c r="O43" s="254" t="n"/>
      <c r="P43" s="254" t="n"/>
      <c r="Q43" s="254" t="n"/>
      <c r="R43" s="254" t="n"/>
      <c r="S43" s="254" t="n"/>
      <c r="T43" s="254" t="n"/>
      <c r="U43" s="254" t="n"/>
    </row>
    <row r="44">
      <c r="A44" s="254" t="n"/>
      <c r="B44" s="254" t="n"/>
      <c r="C44" s="254" t="n"/>
      <c r="D44" s="254" t="n"/>
      <c r="E44" s="254" t="n"/>
      <c r="F44" s="254" t="n"/>
      <c r="G44" s="254" t="n"/>
      <c r="H44" s="254" t="n"/>
      <c r="I44" s="254" t="n"/>
      <c r="J44" s="254" t="n"/>
      <c r="K44" s="254" t="n"/>
      <c r="L44" s="254" t="n"/>
      <c r="M44" s="254" t="n"/>
      <c r="N44" s="254" t="n"/>
      <c r="O44" s="254" t="n"/>
      <c r="P44" s="254" t="n"/>
      <c r="Q44" s="254" t="n"/>
      <c r="R44" s="254" t="n"/>
      <c r="S44" s="254" t="n"/>
      <c r="T44" s="254" t="n"/>
      <c r="U44" s="254" t="n"/>
    </row>
    <row r="45">
      <c r="A45" s="254" t="n"/>
      <c r="B45" s="254" t="n"/>
      <c r="C45" s="254" t="n"/>
      <c r="D45" s="254" t="n"/>
      <c r="E45" s="254" t="n"/>
      <c r="F45" s="254" t="n"/>
      <c r="G45" s="254" t="n"/>
      <c r="H45" s="254" t="n"/>
      <c r="I45" s="254" t="n"/>
      <c r="J45" s="254" t="n"/>
      <c r="K45" s="254" t="n"/>
      <c r="L45" s="254" t="n"/>
      <c r="M45" s="254" t="n"/>
      <c r="N45" s="254" t="n"/>
      <c r="O45" s="254" t="n"/>
      <c r="P45" s="254" t="n"/>
      <c r="Q45" s="254" t="n"/>
      <c r="R45" s="254" t="n"/>
      <c r="S45" s="254" t="n"/>
      <c r="T45" s="254" t="n"/>
      <c r="U45" s="254" t="n"/>
    </row>
    <row r="46">
      <c r="A46" s="254" t="n"/>
      <c r="B46" s="254" t="n"/>
      <c r="C46" s="254" t="n"/>
      <c r="D46" s="254" t="n"/>
      <c r="E46" s="254" t="n"/>
      <c r="F46" s="254" t="n"/>
      <c r="G46" s="254" t="n"/>
      <c r="H46" s="254" t="n"/>
      <c r="I46" s="254" t="n"/>
      <c r="J46" s="254" t="n"/>
      <c r="K46" s="254" t="n"/>
      <c r="L46" s="254" t="n"/>
      <c r="M46" s="254" t="n"/>
      <c r="N46" s="254" t="n"/>
      <c r="O46" s="254" t="n"/>
      <c r="P46" s="254" t="n"/>
      <c r="Q46" s="254" t="n"/>
      <c r="R46" s="254" t="n"/>
      <c r="S46" s="254" t="n"/>
      <c r="T46" s="254" t="n"/>
      <c r="U46" s="254" t="n"/>
    </row>
    <row r="47">
      <c r="A47" s="254" t="n"/>
      <c r="B47" s="254" t="n"/>
      <c r="C47" s="254" t="n"/>
      <c r="D47" s="254" t="n"/>
      <c r="E47" s="254" t="n"/>
      <c r="F47" s="254" t="n"/>
      <c r="G47" s="254" t="n"/>
      <c r="H47" s="254" t="n"/>
      <c r="I47" s="254" t="n"/>
      <c r="J47" s="254" t="n"/>
      <c r="K47" s="254" t="n"/>
      <c r="L47" s="254" t="n"/>
      <c r="M47" s="254" t="n"/>
      <c r="N47" s="254" t="n"/>
      <c r="O47" s="254" t="n"/>
      <c r="P47" s="254" t="n"/>
      <c r="Q47" s="254" t="n"/>
      <c r="R47" s="254" t="n"/>
      <c r="S47" s="254" t="n"/>
      <c r="T47" s="254" t="n"/>
      <c r="U47" s="254" t="n"/>
    </row>
    <row r="48">
      <c r="A48" s="254" t="n"/>
      <c r="B48" s="254" t="n"/>
      <c r="C48" s="254" t="n"/>
      <c r="D48" s="254" t="n"/>
      <c r="E48" s="254" t="n"/>
      <c r="F48" s="254" t="n"/>
      <c r="G48" s="254" t="n"/>
      <c r="H48" s="254" t="n"/>
      <c r="I48" s="254" t="n"/>
      <c r="J48" s="254" t="n"/>
      <c r="K48" s="254" t="n"/>
      <c r="L48" s="254" t="n"/>
      <c r="M48" s="254" t="n"/>
      <c r="N48" s="254" t="n"/>
      <c r="O48" s="254" t="n"/>
      <c r="P48" s="254" t="n"/>
      <c r="Q48" s="254" t="n"/>
      <c r="R48" s="254" t="n"/>
      <c r="S48" s="254" t="n"/>
      <c r="T48" s="254" t="n"/>
      <c r="U48" s="254" t="n"/>
    </row>
    <row r="49">
      <c r="A49" s="254" t="n"/>
      <c r="B49" s="254" t="n"/>
      <c r="C49" s="254" t="n"/>
      <c r="D49" s="254" t="n"/>
      <c r="E49" s="254" t="n"/>
      <c r="F49" s="254" t="n"/>
      <c r="G49" s="254" t="n"/>
      <c r="H49" s="254" t="n"/>
      <c r="I49" s="254" t="n"/>
      <c r="J49" s="254" t="n"/>
      <c r="K49" s="254" t="n"/>
      <c r="L49" s="254" t="n"/>
      <c r="M49" s="254" t="n"/>
      <c r="N49" s="254" t="n"/>
      <c r="O49" s="254" t="n"/>
      <c r="P49" s="254" t="n"/>
      <c r="Q49" s="254" t="n"/>
      <c r="R49" s="254" t="n"/>
      <c r="S49" s="254" t="n"/>
      <c r="T49" s="254" t="n"/>
      <c r="U49" s="254" t="n"/>
    </row>
    <row r="50">
      <c r="A50" s="254" t="n"/>
      <c r="B50" s="254" t="n"/>
      <c r="C50" s="254" t="n"/>
      <c r="D50" s="254" t="n"/>
      <c r="E50" s="254" t="n"/>
      <c r="F50" s="254" t="n"/>
      <c r="G50" s="254" t="n"/>
      <c r="H50" s="254" t="n"/>
      <c r="I50" s="254" t="n"/>
      <c r="J50" s="254" t="n"/>
      <c r="K50" s="254" t="n"/>
      <c r="L50" s="254" t="n"/>
      <c r="M50" s="254" t="n"/>
      <c r="N50" s="254" t="n"/>
      <c r="O50" s="254" t="n"/>
      <c r="P50" s="254" t="n"/>
      <c r="Q50" s="254" t="n"/>
      <c r="R50" s="254" t="n"/>
      <c r="S50" s="254" t="n"/>
      <c r="T50" s="254" t="n"/>
      <c r="U50" s="254" t="n"/>
    </row>
    <row r="51">
      <c r="A51" s="254" t="n"/>
      <c r="B51" s="254" t="n"/>
      <c r="C51" s="254" t="n"/>
      <c r="D51" s="254" t="n"/>
      <c r="E51" s="254" t="n"/>
      <c r="F51" s="254" t="n"/>
      <c r="G51" s="254" t="n"/>
      <c r="H51" s="254" t="n"/>
      <c r="I51" s="254" t="n"/>
      <c r="J51" s="254" t="n"/>
      <c r="K51" s="254" t="n"/>
      <c r="L51" s="254" t="n"/>
      <c r="M51" s="254" t="n"/>
      <c r="N51" s="254" t="n"/>
      <c r="O51" s="254" t="n"/>
      <c r="P51" s="254" t="n"/>
      <c r="Q51" s="254" t="n"/>
      <c r="R51" s="254" t="n"/>
      <c r="S51" s="254" t="n"/>
      <c r="T51" s="254" t="n"/>
      <c r="U51" s="254" t="n"/>
    </row>
    <row r="52">
      <c r="A52" s="254" t="n"/>
      <c r="B52" s="254" t="n"/>
      <c r="C52" s="254" t="n"/>
      <c r="D52" s="254" t="n"/>
      <c r="E52" s="254" t="n"/>
      <c r="F52" s="254" t="n"/>
      <c r="G52" s="254" t="n"/>
      <c r="H52" s="254" t="n"/>
      <c r="I52" s="254" t="n"/>
      <c r="J52" s="254" t="n"/>
      <c r="K52" s="254" t="n"/>
      <c r="L52" s="254" t="n"/>
      <c r="M52" s="254" t="n"/>
      <c r="N52" s="254" t="n"/>
      <c r="O52" s="254" t="n"/>
      <c r="P52" s="254" t="n"/>
      <c r="Q52" s="254" t="n"/>
      <c r="R52" s="254" t="n"/>
      <c r="S52" s="254" t="n"/>
      <c r="T52" s="254" t="n"/>
      <c r="U52" s="254" t="n"/>
    </row>
    <row r="53">
      <c r="A53" s="254" t="n"/>
      <c r="B53" s="254" t="n"/>
      <c r="C53" s="254" t="n"/>
      <c r="D53" s="254" t="n"/>
      <c r="E53" s="254" t="n"/>
      <c r="F53" s="254" t="n"/>
      <c r="G53" s="254" t="n"/>
      <c r="H53" s="254" t="n"/>
      <c r="I53" s="254" t="n"/>
      <c r="J53" s="254" t="n"/>
      <c r="K53" s="254" t="n"/>
      <c r="L53" s="254" t="n"/>
      <c r="M53" s="254" t="n"/>
      <c r="N53" s="254" t="n"/>
      <c r="O53" s="254" t="n"/>
      <c r="P53" s="254" t="n"/>
      <c r="Q53" s="254" t="n"/>
      <c r="R53" s="254" t="n"/>
      <c r="S53" s="254" t="n"/>
      <c r="T53" s="254" t="n"/>
      <c r="U53" s="254" t="n"/>
    </row>
    <row r="54">
      <c r="A54" s="254" t="n"/>
      <c r="B54" s="254" t="n"/>
      <c r="C54" s="254" t="n"/>
      <c r="D54" s="254" t="n"/>
      <c r="E54" s="254" t="n"/>
      <c r="F54" s="254" t="n"/>
      <c r="G54" s="254" t="n"/>
      <c r="H54" s="254" t="n"/>
      <c r="I54" s="254" t="n"/>
      <c r="J54" s="254" t="n"/>
      <c r="K54" s="254" t="n"/>
      <c r="L54" s="254" t="n"/>
      <c r="M54" s="254" t="n"/>
      <c r="N54" s="254" t="n"/>
      <c r="O54" s="254" t="n"/>
      <c r="P54" s="254" t="n"/>
      <c r="Q54" s="254" t="n"/>
      <c r="R54" s="254" t="n"/>
      <c r="S54" s="254" t="n"/>
      <c r="T54" s="254" t="n"/>
      <c r="U54" s="254" t="n"/>
    </row>
    <row r="55">
      <c r="A55" s="254" t="n"/>
      <c r="B55" s="254" t="n"/>
      <c r="C55" s="254" t="n"/>
      <c r="D55" s="254" t="n"/>
      <c r="E55" s="254" t="n"/>
      <c r="F55" s="254" t="n"/>
      <c r="G55" s="254" t="n"/>
      <c r="H55" s="254" t="n"/>
      <c r="I55" s="254" t="n"/>
      <c r="J55" s="254" t="n"/>
      <c r="K55" s="254" t="n"/>
      <c r="L55" s="254" t="n"/>
      <c r="M55" s="254" t="n"/>
      <c r="N55" s="254" t="n"/>
      <c r="O55" s="254" t="n"/>
      <c r="P55" s="254" t="n"/>
      <c r="Q55" s="254" t="n"/>
      <c r="R55" s="254" t="n"/>
      <c r="S55" s="254" t="n"/>
      <c r="T55" s="254" t="n"/>
      <c r="U55" s="254" t="n"/>
    </row>
    <row r="56">
      <c r="A56" s="254" t="n"/>
      <c r="B56" s="254" t="n"/>
      <c r="C56" s="254" t="n"/>
      <c r="D56" s="254" t="n"/>
      <c r="E56" s="254" t="n"/>
      <c r="F56" s="254" t="n"/>
      <c r="G56" s="254" t="n"/>
      <c r="H56" s="254" t="n"/>
      <c r="I56" s="254" t="n"/>
      <c r="J56" s="254" t="n"/>
      <c r="K56" s="254" t="n"/>
      <c r="L56" s="254" t="n"/>
      <c r="M56" s="254" t="n"/>
      <c r="N56" s="254" t="n"/>
      <c r="O56" s="254" t="n"/>
      <c r="P56" s="254" t="n"/>
      <c r="Q56" s="254" t="n"/>
      <c r="R56" s="254" t="n"/>
      <c r="S56" s="254" t="n"/>
      <c r="T56" s="254" t="n"/>
      <c r="U56" s="254" t="n"/>
    </row>
    <row r="57">
      <c r="A57" s="254" t="n"/>
      <c r="B57" s="254" t="n"/>
      <c r="C57" s="254" t="n"/>
      <c r="D57" s="254" t="n"/>
      <c r="E57" s="254" t="n"/>
      <c r="F57" s="254" t="n"/>
      <c r="G57" s="254" t="n"/>
      <c r="H57" s="254" t="n"/>
      <c r="I57" s="254" t="n"/>
      <c r="J57" s="254" t="n"/>
      <c r="K57" s="254" t="n"/>
      <c r="L57" s="254" t="n"/>
      <c r="M57" s="254" t="n"/>
      <c r="N57" s="254" t="n"/>
      <c r="O57" s="254" t="n"/>
      <c r="P57" s="254" t="n"/>
      <c r="Q57" s="254" t="n"/>
      <c r="R57" s="254" t="n"/>
      <c r="S57" s="254" t="n"/>
      <c r="T57" s="254" t="n"/>
      <c r="U57" s="254" t="n"/>
    </row>
    <row r="58">
      <c r="A58" s="254" t="n"/>
      <c r="B58" s="254" t="n"/>
      <c r="C58" s="254" t="n"/>
      <c r="D58" s="254" t="n"/>
      <c r="E58" s="254" t="n"/>
      <c r="F58" s="254" t="n"/>
      <c r="G58" s="254" t="n"/>
      <c r="H58" s="254" t="n"/>
      <c r="I58" s="254" t="n"/>
      <c r="J58" s="254" t="n"/>
      <c r="K58" s="254" t="n"/>
      <c r="L58" s="254" t="n"/>
      <c r="M58" s="254" t="n"/>
      <c r="N58" s="254" t="n"/>
      <c r="O58" s="254" t="n"/>
      <c r="P58" s="254" t="n"/>
      <c r="Q58" s="254" t="n"/>
      <c r="R58" s="254" t="n"/>
      <c r="S58" s="254" t="n"/>
      <c r="T58" s="254" t="n"/>
      <c r="U58" s="254" t="n"/>
    </row>
    <row r="59">
      <c r="A59" s="254" t="n"/>
      <c r="B59" s="254" t="n"/>
      <c r="C59" s="254" t="n"/>
      <c r="D59" s="254" t="n"/>
      <c r="E59" s="254" t="n"/>
      <c r="F59" s="254" t="n"/>
      <c r="G59" s="254" t="n"/>
      <c r="H59" s="254" t="n"/>
      <c r="I59" s="254" t="n"/>
      <c r="J59" s="254" t="n"/>
      <c r="K59" s="254" t="n"/>
      <c r="L59" s="254" t="n"/>
      <c r="M59" s="254" t="n"/>
      <c r="N59" s="254" t="n"/>
      <c r="O59" s="254" t="n"/>
      <c r="P59" s="254" t="n"/>
      <c r="Q59" s="254" t="n"/>
      <c r="R59" s="254" t="n"/>
      <c r="S59" s="254" t="n"/>
      <c r="T59" s="254" t="n"/>
      <c r="U59" s="254" t="n"/>
    </row>
    <row r="60">
      <c r="A60" s="254" t="n"/>
      <c r="B60" s="254" t="n"/>
      <c r="C60" s="254" t="n"/>
      <c r="D60" s="254" t="n"/>
      <c r="E60" s="254" t="n"/>
      <c r="F60" s="254" t="n"/>
      <c r="G60" s="254" t="n"/>
      <c r="H60" s="254" t="n"/>
      <c r="I60" s="254" t="n"/>
      <c r="J60" s="254" t="n"/>
      <c r="K60" s="254" t="n"/>
      <c r="L60" s="254" t="n"/>
      <c r="M60" s="254" t="n"/>
      <c r="N60" s="254" t="n"/>
      <c r="O60" s="254" t="n"/>
      <c r="P60" s="254" t="n"/>
      <c r="Q60" s="254" t="n"/>
      <c r="R60" s="254" t="n"/>
      <c r="S60" s="254" t="n"/>
      <c r="T60" s="254" t="n"/>
      <c r="U60" s="254" t="n"/>
    </row>
    <row r="61">
      <c r="A61" s="254" t="n"/>
      <c r="B61" s="254" t="n"/>
      <c r="C61" s="254" t="n"/>
      <c r="D61" s="254" t="n"/>
      <c r="E61" s="254" t="n"/>
      <c r="F61" s="254" t="n"/>
      <c r="G61" s="254" t="n"/>
      <c r="H61" s="254" t="n"/>
      <c r="I61" s="254" t="n"/>
      <c r="J61" s="254" t="n"/>
      <c r="K61" s="254" t="n"/>
      <c r="L61" s="254" t="n"/>
      <c r="M61" s="254" t="n"/>
      <c r="N61" s="254" t="n"/>
      <c r="O61" s="254" t="n"/>
      <c r="P61" s="254" t="n"/>
      <c r="Q61" s="254" t="n"/>
      <c r="R61" s="254" t="n"/>
      <c r="S61" s="254" t="n"/>
      <c r="T61" s="254" t="n"/>
      <c r="U61" s="254" t="n"/>
    </row>
    <row r="62">
      <c r="A62" s="254" t="n"/>
      <c r="B62" s="254" t="n"/>
      <c r="C62" s="254" t="n"/>
      <c r="D62" s="254" t="n"/>
      <c r="E62" s="254" t="n"/>
      <c r="F62" s="254" t="n"/>
      <c r="G62" s="254" t="n"/>
      <c r="H62" s="254" t="n"/>
      <c r="I62" s="254" t="n"/>
      <c r="J62" s="254" t="n"/>
      <c r="K62" s="254" t="n"/>
      <c r="L62" s="254" t="n"/>
      <c r="M62" s="254" t="n"/>
      <c r="N62" s="254" t="n"/>
      <c r="O62" s="254" t="n"/>
      <c r="P62" s="254" t="n"/>
      <c r="Q62" s="254" t="n"/>
      <c r="R62" s="254" t="n"/>
      <c r="S62" s="254" t="n"/>
      <c r="T62" s="254" t="n"/>
      <c r="U62" s="254" t="n"/>
    </row>
    <row r="63">
      <c r="A63" s="254" t="n"/>
      <c r="B63" s="254" t="n"/>
      <c r="C63" s="254" t="n"/>
      <c r="D63" s="254" t="n"/>
      <c r="E63" s="254" t="n"/>
      <c r="F63" s="254" t="n"/>
      <c r="G63" s="254" t="n"/>
      <c r="H63" s="254" t="n"/>
      <c r="I63" s="254" t="n"/>
      <c r="J63" s="254" t="n"/>
      <c r="K63" s="254" t="n"/>
      <c r="L63" s="254" t="n"/>
      <c r="M63" s="254" t="n"/>
      <c r="N63" s="254" t="n"/>
      <c r="O63" s="254" t="n"/>
      <c r="P63" s="254" t="n"/>
      <c r="Q63" s="254" t="n"/>
      <c r="R63" s="254" t="n"/>
      <c r="S63" s="254" t="n"/>
      <c r="T63" s="254" t="n"/>
      <c r="U63" s="254" t="n"/>
    </row>
    <row r="64">
      <c r="A64" s="254" t="n"/>
      <c r="B64" s="254" t="n"/>
      <c r="C64" s="254" t="n"/>
      <c r="D64" s="254" t="n"/>
      <c r="E64" s="254" t="n"/>
      <c r="F64" s="254" t="n"/>
      <c r="G64" s="254" t="n"/>
      <c r="H64" s="254" t="n"/>
      <c r="I64" s="254" t="n"/>
      <c r="J64" s="254" t="n"/>
      <c r="K64" s="254" t="n"/>
      <c r="L64" s="254" t="n"/>
      <c r="M64" s="254" t="n"/>
      <c r="N64" s="254" t="n"/>
      <c r="O64" s="254" t="n"/>
      <c r="P64" s="254" t="n"/>
      <c r="Q64" s="254" t="n"/>
      <c r="R64" s="254" t="n"/>
      <c r="S64" s="254" t="n"/>
      <c r="T64" s="254" t="n"/>
      <c r="U64" s="254" t="n"/>
    </row>
    <row r="65">
      <c r="A65" s="254" t="n"/>
      <c r="B65" s="254" t="n"/>
      <c r="C65" s="254" t="n"/>
      <c r="D65" s="254" t="n"/>
      <c r="E65" s="254" t="n"/>
      <c r="F65" s="254" t="n"/>
      <c r="G65" s="254" t="n"/>
      <c r="H65" s="254" t="n"/>
      <c r="I65" s="254" t="n"/>
      <c r="J65" s="254" t="n"/>
      <c r="K65" s="254" t="n"/>
      <c r="L65" s="254" t="n"/>
      <c r="M65" s="254" t="n"/>
      <c r="N65" s="254" t="n"/>
      <c r="O65" s="254" t="n"/>
      <c r="P65" s="254" t="n"/>
      <c r="Q65" s="254" t="n"/>
      <c r="R65" s="254" t="n"/>
      <c r="S65" s="254" t="n"/>
      <c r="T65" s="254" t="n"/>
      <c r="U65" s="254" t="n"/>
    </row>
    <row r="66">
      <c r="A66" s="254" t="n"/>
      <c r="B66" s="254" t="n"/>
      <c r="C66" s="254" t="n"/>
      <c r="D66" s="254" t="n"/>
      <c r="E66" s="254" t="n"/>
      <c r="F66" s="254" t="n"/>
      <c r="G66" s="254" t="n"/>
      <c r="H66" s="254" t="n"/>
      <c r="I66" s="254" t="n"/>
      <c r="J66" s="254" t="n"/>
      <c r="K66" s="254" t="n"/>
      <c r="L66" s="254" t="n"/>
      <c r="M66" s="254" t="n"/>
      <c r="N66" s="254" t="n"/>
      <c r="O66" s="254" t="n"/>
      <c r="P66" s="254" t="n"/>
      <c r="Q66" s="254" t="n"/>
      <c r="R66" s="254" t="n"/>
      <c r="S66" s="254" t="n"/>
      <c r="T66" s="254" t="n"/>
      <c r="U66" s="254" t="n"/>
    </row>
    <row r="67">
      <c r="A67" s="254" t="n"/>
      <c r="B67" s="254" t="n"/>
      <c r="C67" s="254" t="n"/>
      <c r="D67" s="254" t="n"/>
      <c r="E67" s="254" t="n"/>
      <c r="F67" s="254" t="n"/>
      <c r="G67" s="254" t="n"/>
      <c r="H67" s="254" t="n"/>
      <c r="I67" s="254" t="n"/>
      <c r="J67" s="254" t="n"/>
      <c r="K67" s="254" t="n"/>
      <c r="L67" s="254" t="n"/>
      <c r="M67" s="254" t="n"/>
      <c r="N67" s="254" t="n"/>
      <c r="O67" s="254" t="n"/>
      <c r="P67" s="254" t="n"/>
      <c r="Q67" s="254" t="n"/>
      <c r="R67" s="254" t="n"/>
      <c r="S67" s="254" t="n"/>
      <c r="T67" s="254" t="n"/>
      <c r="U67" s="254" t="n"/>
    </row>
    <row r="68">
      <c r="A68" s="254" t="n"/>
      <c r="B68" s="254" t="n"/>
      <c r="C68" s="254" t="n"/>
      <c r="D68" s="254" t="n"/>
      <c r="E68" s="254" t="n"/>
      <c r="F68" s="254" t="n"/>
      <c r="G68" s="254" t="n"/>
      <c r="H68" s="254" t="n"/>
      <c r="I68" s="254" t="n"/>
      <c r="J68" s="254" t="n"/>
      <c r="K68" s="254" t="n"/>
      <c r="L68" s="254" t="n"/>
      <c r="M68" s="254" t="n"/>
      <c r="N68" s="254" t="n"/>
      <c r="O68" s="254" t="n"/>
      <c r="P68" s="254" t="n"/>
      <c r="Q68" s="254" t="n"/>
      <c r="R68" s="254" t="n"/>
      <c r="S68" s="254" t="n"/>
      <c r="T68" s="254" t="n"/>
      <c r="U68" s="254" t="n"/>
    </row>
    <row r="69">
      <c r="A69" s="254" t="n"/>
      <c r="B69" s="254" t="n"/>
      <c r="C69" s="254" t="n"/>
      <c r="D69" s="254" t="n"/>
      <c r="E69" s="254" t="n"/>
      <c r="F69" s="254" t="n"/>
      <c r="G69" s="254" t="n"/>
      <c r="H69" s="254" t="n"/>
      <c r="I69" s="254" t="n"/>
      <c r="J69" s="254" t="n"/>
      <c r="K69" s="254" t="n"/>
      <c r="L69" s="254" t="n"/>
      <c r="M69" s="254" t="n"/>
      <c r="N69" s="254" t="n"/>
      <c r="O69" s="254" t="n"/>
      <c r="P69" s="254" t="n"/>
      <c r="Q69" s="254" t="n"/>
      <c r="R69" s="254" t="n"/>
      <c r="S69" s="254" t="n"/>
      <c r="T69" s="254" t="n"/>
      <c r="U69" s="254" t="n"/>
    </row>
    <row r="70">
      <c r="A70" s="254" t="n"/>
      <c r="B70" s="254" t="n"/>
      <c r="C70" s="254" t="n"/>
      <c r="D70" s="254" t="n"/>
      <c r="E70" s="254" t="n"/>
      <c r="F70" s="254" t="n"/>
      <c r="G70" s="254" t="n"/>
      <c r="H70" s="254" t="n"/>
      <c r="I70" s="254" t="n"/>
      <c r="J70" s="254" t="n"/>
      <c r="K70" s="254" t="n"/>
      <c r="L70" s="254" t="n"/>
      <c r="M70" s="254" t="n"/>
      <c r="N70" s="254" t="n"/>
      <c r="O70" s="254" t="n"/>
      <c r="P70" s="254" t="n"/>
      <c r="Q70" s="254" t="n"/>
      <c r="R70" s="254" t="n"/>
      <c r="S70" s="254" t="n"/>
      <c r="T70" s="254" t="n"/>
      <c r="U70" s="254" t="n"/>
    </row>
    <row r="71">
      <c r="A71" s="254" t="n"/>
      <c r="B71" s="254" t="n"/>
      <c r="C71" s="254" t="n"/>
      <c r="D71" s="254" t="n"/>
      <c r="E71" s="254" t="n"/>
      <c r="F71" s="254" t="n"/>
      <c r="G71" s="254" t="n"/>
      <c r="H71" s="254" t="n"/>
      <c r="I71" s="254" t="n"/>
      <c r="J71" s="254" t="n"/>
      <c r="K71" s="254" t="n"/>
      <c r="L71" s="254" t="n"/>
      <c r="M71" s="254" t="n"/>
      <c r="N71" s="254" t="n"/>
      <c r="O71" s="254" t="n"/>
      <c r="P71" s="254" t="n"/>
      <c r="Q71" s="254" t="n"/>
      <c r="R71" s="254" t="n"/>
      <c r="S71" s="254" t="n"/>
      <c r="T71" s="254" t="n"/>
      <c r="U71" s="254" t="n"/>
    </row>
    <row r="72">
      <c r="A72" s="254" t="n"/>
      <c r="B72" s="254" t="n"/>
      <c r="C72" s="254" t="n"/>
      <c r="D72" s="254" t="n"/>
      <c r="E72" s="254" t="n"/>
      <c r="F72" s="254" t="n"/>
      <c r="G72" s="254" t="n"/>
      <c r="H72" s="254" t="n"/>
      <c r="I72" s="254" t="n"/>
      <c r="J72" s="254" t="n"/>
      <c r="K72" s="254" t="n"/>
      <c r="L72" s="254" t="n"/>
      <c r="M72" s="254" t="n"/>
      <c r="N72" s="254" t="n"/>
      <c r="O72" s="254" t="n"/>
      <c r="P72" s="254" t="n"/>
      <c r="Q72" s="254" t="n"/>
      <c r="R72" s="254" t="n"/>
      <c r="S72" s="254" t="n"/>
      <c r="T72" s="254" t="n"/>
      <c r="U72" s="254" t="n"/>
    </row>
    <row r="73">
      <c r="A73" s="254" t="n"/>
      <c r="B73" s="254" t="n"/>
      <c r="C73" s="254" t="n"/>
      <c r="D73" s="254" t="n"/>
      <c r="E73" s="254" t="n"/>
      <c r="F73" s="254" t="n"/>
      <c r="G73" s="254" t="n"/>
      <c r="H73" s="254" t="n"/>
      <c r="I73" s="254" t="n"/>
      <c r="J73" s="254" t="n"/>
      <c r="K73" s="254" t="n"/>
      <c r="L73" s="254" t="n"/>
      <c r="M73" s="254" t="n"/>
      <c r="N73" s="254" t="n"/>
      <c r="O73" s="254" t="n"/>
      <c r="P73" s="254" t="n"/>
      <c r="Q73" s="254" t="n"/>
      <c r="R73" s="254" t="n"/>
      <c r="S73" s="254" t="n"/>
      <c r="T73" s="254" t="n"/>
      <c r="U73" s="254" t="n"/>
    </row>
    <row r="74">
      <c r="A74" s="254" t="n"/>
      <c r="B74" s="254" t="n"/>
      <c r="C74" s="254" t="n"/>
      <c r="D74" s="254" t="n"/>
      <c r="E74" s="254" t="n"/>
      <c r="F74" s="254" t="n"/>
      <c r="G74" s="254" t="n"/>
      <c r="H74" s="254" t="n"/>
      <c r="I74" s="254" t="n"/>
      <c r="J74" s="254" t="n"/>
      <c r="K74" s="254" t="n"/>
      <c r="L74" s="254" t="n"/>
      <c r="M74" s="254" t="n"/>
      <c r="N74" s="254" t="n"/>
      <c r="O74" s="254" t="n"/>
      <c r="P74" s="254" t="n"/>
      <c r="Q74" s="254" t="n"/>
      <c r="R74" s="254" t="n"/>
      <c r="S74" s="254" t="n"/>
      <c r="T74" s="254" t="n"/>
      <c r="U74" s="254" t="n"/>
    </row>
    <row r="75">
      <c r="A75" s="254" t="n"/>
      <c r="B75" s="254" t="n"/>
      <c r="C75" s="254" t="n"/>
      <c r="D75" s="254" t="n"/>
      <c r="E75" s="254" t="n"/>
      <c r="F75" s="254" t="n"/>
      <c r="G75" s="254" t="n"/>
      <c r="H75" s="254" t="n"/>
      <c r="I75" s="254" t="n"/>
      <c r="J75" s="254" t="n"/>
      <c r="K75" s="254" t="n"/>
      <c r="L75" s="254" t="n"/>
      <c r="M75" s="254" t="n"/>
      <c r="N75" s="254" t="n"/>
      <c r="O75" s="254" t="n"/>
      <c r="P75" s="254" t="n"/>
      <c r="Q75" s="254" t="n"/>
      <c r="R75" s="254" t="n"/>
      <c r="S75" s="254" t="n"/>
      <c r="T75" s="254" t="n"/>
      <c r="U75" s="254" t="n"/>
    </row>
    <row r="76">
      <c r="A76" s="254" t="n"/>
      <c r="B76" s="254" t="n"/>
      <c r="C76" s="254" t="n"/>
      <c r="D76" s="254" t="n"/>
      <c r="E76" s="254" t="n"/>
      <c r="F76" s="254" t="n"/>
      <c r="G76" s="254" t="n"/>
      <c r="H76" s="254" t="n"/>
      <c r="I76" s="254" t="n"/>
      <c r="J76" s="254" t="n"/>
      <c r="K76" s="254" t="n"/>
      <c r="L76" s="254" t="n"/>
      <c r="M76" s="254" t="n"/>
      <c r="N76" s="254" t="n"/>
      <c r="O76" s="254" t="n"/>
      <c r="P76" s="254" t="n"/>
      <c r="Q76" s="254" t="n"/>
      <c r="R76" s="254" t="n"/>
      <c r="S76" s="254" t="n"/>
      <c r="T76" s="254" t="n"/>
      <c r="U76" s="254" t="n"/>
    </row>
    <row r="77">
      <c r="A77" s="254" t="n"/>
      <c r="B77" s="254" t="n"/>
      <c r="C77" s="254" t="n"/>
      <c r="D77" s="254" t="n"/>
      <c r="E77" s="254" t="n"/>
      <c r="F77" s="254" t="n"/>
      <c r="G77" s="254" t="n"/>
      <c r="H77" s="254" t="n"/>
      <c r="I77" s="254" t="n"/>
      <c r="J77" s="254" t="n"/>
      <c r="K77" s="254" t="n"/>
      <c r="L77" s="254" t="n"/>
      <c r="M77" s="254" t="n"/>
      <c r="N77" s="254" t="n"/>
      <c r="O77" s="254" t="n"/>
      <c r="P77" s="254" t="n"/>
      <c r="Q77" s="254" t="n"/>
      <c r="R77" s="254" t="n"/>
      <c r="S77" s="254" t="n"/>
      <c r="T77" s="254" t="n"/>
      <c r="U77" s="254" t="n"/>
    </row>
    <row r="78">
      <c r="A78" s="254" t="n"/>
      <c r="B78" s="254" t="n"/>
      <c r="C78" s="254" t="n"/>
      <c r="D78" s="254" t="n"/>
      <c r="E78" s="254" t="n"/>
      <c r="F78" s="254" t="n"/>
      <c r="G78" s="254" t="n"/>
      <c r="H78" s="254" t="n"/>
      <c r="I78" s="254" t="n"/>
      <c r="J78" s="254" t="n"/>
      <c r="K78" s="254" t="n"/>
      <c r="L78" s="254" t="n"/>
      <c r="M78" s="254" t="n"/>
      <c r="N78" s="254" t="n"/>
      <c r="O78" s="254" t="n"/>
      <c r="P78" s="254" t="n"/>
      <c r="Q78" s="254" t="n"/>
      <c r="R78" s="254" t="n"/>
      <c r="S78" s="254" t="n"/>
      <c r="T78" s="254" t="n"/>
      <c r="U78" s="254" t="n"/>
    </row>
    <row r="79">
      <c r="A79" s="254" t="n"/>
      <c r="B79" s="254" t="n"/>
      <c r="C79" s="254" t="n"/>
      <c r="D79" s="254" t="n"/>
      <c r="E79" s="254" t="n"/>
      <c r="F79" s="254" t="n"/>
      <c r="G79" s="254" t="n"/>
      <c r="H79" s="254" t="n"/>
      <c r="I79" s="254" t="n"/>
      <c r="J79" s="254" t="n"/>
      <c r="K79" s="254" t="n"/>
      <c r="L79" s="254" t="n"/>
      <c r="M79" s="254" t="n"/>
      <c r="N79" s="254" t="n"/>
      <c r="O79" s="254" t="n"/>
      <c r="P79" s="254" t="n"/>
      <c r="Q79" s="254" t="n"/>
      <c r="R79" s="254" t="n"/>
      <c r="S79" s="254" t="n"/>
      <c r="T79" s="254" t="n"/>
      <c r="U79" s="254" t="n"/>
    </row>
    <row r="80">
      <c r="A80" s="254" t="n"/>
      <c r="B80" s="254" t="n"/>
      <c r="C80" s="254" t="n"/>
      <c r="D80" s="254" t="n"/>
      <c r="E80" s="254" t="n"/>
      <c r="F80" s="254" t="n"/>
      <c r="G80" s="254" t="n"/>
      <c r="H80" s="254" t="n"/>
      <c r="I80" s="254" t="n"/>
      <c r="J80" s="254" t="n"/>
      <c r="K80" s="254" t="n"/>
      <c r="L80" s="254" t="n"/>
      <c r="M80" s="254" t="n"/>
      <c r="N80" s="254" t="n"/>
      <c r="O80" s="254" t="n"/>
      <c r="P80" s="254" t="n"/>
      <c r="Q80" s="254" t="n"/>
      <c r="R80" s="254" t="n"/>
      <c r="S80" s="254" t="n"/>
      <c r="T80" s="254" t="n"/>
      <c r="U80" s="254" t="n"/>
    </row>
    <row r="81">
      <c r="A81" s="254" t="n"/>
      <c r="B81" s="254" t="n"/>
      <c r="C81" s="254" t="n"/>
      <c r="D81" s="254" t="n"/>
      <c r="E81" s="254" t="n"/>
      <c r="F81" s="254" t="n"/>
      <c r="G81" s="254" t="n"/>
      <c r="H81" s="254" t="n"/>
      <c r="I81" s="254" t="n"/>
      <c r="J81" s="254" t="n"/>
      <c r="K81" s="254" t="n"/>
      <c r="L81" s="254" t="n"/>
      <c r="M81" s="254" t="n"/>
      <c r="N81" s="254" t="n"/>
      <c r="O81" s="254" t="n"/>
      <c r="P81" s="254" t="n"/>
      <c r="Q81" s="254" t="n"/>
      <c r="R81" s="254" t="n"/>
      <c r="S81" s="254" t="n"/>
      <c r="T81" s="254" t="n"/>
      <c r="U81" s="254" t="n"/>
    </row>
    <row r="82">
      <c r="A82" s="254" t="n"/>
      <c r="B82" s="254" t="n"/>
      <c r="C82" s="254" t="n"/>
      <c r="D82" s="254" t="n"/>
      <c r="E82" s="254" t="n"/>
      <c r="F82" s="254" t="n"/>
      <c r="G82" s="254" t="n"/>
      <c r="H82" s="254" t="n"/>
      <c r="I82" s="254" t="n"/>
      <c r="J82" s="254" t="n"/>
      <c r="K82" s="254" t="n"/>
      <c r="L82" s="254" t="n"/>
      <c r="M82" s="254" t="n"/>
      <c r="N82" s="254" t="n"/>
      <c r="O82" s="254" t="n"/>
      <c r="P82" s="254" t="n"/>
      <c r="Q82" s="254" t="n"/>
      <c r="R82" s="254" t="n"/>
      <c r="S82" s="254" t="n"/>
      <c r="T82" s="254" t="n"/>
      <c r="U82" s="254" t="n"/>
    </row>
    <row r="83">
      <c r="A83" s="254" t="n"/>
      <c r="B83" s="254" t="n"/>
      <c r="C83" s="254" t="n"/>
      <c r="D83" s="254" t="n"/>
      <c r="E83" s="254" t="n"/>
      <c r="F83" s="254" t="n"/>
      <c r="G83" s="254" t="n"/>
      <c r="H83" s="254" t="n"/>
      <c r="I83" s="254" t="n"/>
      <c r="J83" s="254" t="n"/>
      <c r="K83" s="254" t="n"/>
      <c r="L83" s="254" t="n"/>
      <c r="M83" s="254" t="n"/>
      <c r="N83" s="254" t="n"/>
      <c r="O83" s="254" t="n"/>
      <c r="P83" s="254" t="n"/>
      <c r="Q83" s="254" t="n"/>
      <c r="R83" s="254" t="n"/>
      <c r="S83" s="254" t="n"/>
      <c r="T83" s="254" t="n"/>
      <c r="U83" s="254" t="n"/>
    </row>
    <row r="84">
      <c r="A84" s="254" t="n"/>
      <c r="B84" s="254" t="n"/>
      <c r="C84" s="254" t="n"/>
      <c r="D84" s="254" t="n"/>
      <c r="E84" s="254" t="n"/>
      <c r="F84" s="254" t="n"/>
      <c r="G84" s="254" t="n"/>
      <c r="H84" s="254" t="n"/>
      <c r="I84" s="254" t="n"/>
      <c r="J84" s="254" t="n"/>
      <c r="K84" s="254" t="n"/>
      <c r="L84" s="254" t="n"/>
      <c r="M84" s="254" t="n"/>
      <c r="N84" s="254" t="n"/>
      <c r="O84" s="254" t="n"/>
      <c r="P84" s="254" t="n"/>
      <c r="Q84" s="254" t="n"/>
      <c r="R84" s="254" t="n"/>
      <c r="S84" s="254" t="n"/>
      <c r="T84" s="254" t="n"/>
      <c r="U84" s="254" t="n"/>
    </row>
    <row r="85">
      <c r="A85" s="254" t="n"/>
      <c r="B85" s="254" t="n"/>
      <c r="C85" s="254" t="n"/>
      <c r="D85" s="254" t="n"/>
      <c r="E85" s="254" t="n"/>
      <c r="F85" s="254" t="n"/>
      <c r="G85" s="254" t="n"/>
      <c r="H85" s="254" t="n"/>
      <c r="I85" s="254" t="n"/>
      <c r="J85" s="254" t="n"/>
      <c r="K85" s="254" t="n"/>
      <c r="L85" s="254" t="n"/>
      <c r="M85" s="254" t="n"/>
      <c r="N85" s="254" t="n"/>
      <c r="O85" s="254" t="n"/>
      <c r="P85" s="254" t="n"/>
      <c r="Q85" s="254" t="n"/>
      <c r="R85" s="254" t="n"/>
      <c r="S85" s="254" t="n"/>
      <c r="T85" s="254" t="n"/>
      <c r="U85" s="254" t="n"/>
    </row>
    <row r="86">
      <c r="A86" s="254" t="n"/>
      <c r="B86" s="254" t="n"/>
      <c r="C86" s="254" t="n"/>
      <c r="D86" s="254" t="n"/>
      <c r="E86" s="254" t="n"/>
      <c r="F86" s="254" t="n"/>
      <c r="G86" s="254" t="n"/>
      <c r="H86" s="254" t="n"/>
      <c r="I86" s="254" t="n"/>
      <c r="J86" s="254" t="n"/>
      <c r="K86" s="254" t="n"/>
      <c r="L86" s="254" t="n"/>
      <c r="M86" s="254" t="n"/>
      <c r="N86" s="254" t="n"/>
      <c r="O86" s="254" t="n"/>
      <c r="P86" s="254" t="n"/>
      <c r="Q86" s="254" t="n"/>
      <c r="R86" s="254" t="n"/>
      <c r="S86" s="254" t="n"/>
      <c r="T86" s="254" t="n"/>
      <c r="U86" s="254" t="n"/>
    </row>
    <row r="87">
      <c r="A87" s="254" t="n"/>
      <c r="B87" s="254" t="n"/>
      <c r="C87" s="254" t="n"/>
      <c r="D87" s="254" t="n"/>
      <c r="E87" s="254" t="n"/>
      <c r="F87" s="254" t="n"/>
      <c r="G87" s="254" t="n"/>
      <c r="H87" s="254" t="n"/>
      <c r="I87" s="254" t="n"/>
      <c r="J87" s="254" t="n"/>
      <c r="K87" s="254" t="n"/>
      <c r="L87" s="254" t="n"/>
      <c r="M87" s="254" t="n"/>
      <c r="N87" s="254" t="n"/>
      <c r="O87" s="254" t="n"/>
      <c r="P87" s="254" t="n"/>
      <c r="Q87" s="254" t="n"/>
      <c r="R87" s="254" t="n"/>
      <c r="S87" s="254" t="n"/>
      <c r="T87" s="254" t="n"/>
      <c r="U87" s="254" t="n"/>
    </row>
    <row r="88">
      <c r="A88" s="254" t="n"/>
      <c r="B88" s="254" t="n"/>
      <c r="C88" s="254" t="n"/>
      <c r="D88" s="254" t="n"/>
      <c r="E88" s="254" t="n"/>
      <c r="F88" s="254" t="n"/>
      <c r="G88" s="254" t="n"/>
      <c r="H88" s="254" t="n"/>
      <c r="I88" s="254" t="n"/>
      <c r="J88" s="254" t="n"/>
      <c r="K88" s="254" t="n"/>
      <c r="L88" s="254" t="n"/>
      <c r="M88" s="254" t="n"/>
      <c r="N88" s="254" t="n"/>
      <c r="O88" s="254" t="n"/>
      <c r="P88" s="254" t="n"/>
      <c r="Q88" s="254" t="n"/>
      <c r="R88" s="254" t="n"/>
      <c r="S88" s="254" t="n"/>
      <c r="T88" s="254" t="n"/>
      <c r="U88" s="254" t="n"/>
    </row>
    <row r="89">
      <c r="A89" s="254" t="n"/>
      <c r="B89" s="254" t="n"/>
      <c r="C89" s="254" t="n"/>
      <c r="D89" s="254" t="n"/>
      <c r="E89" s="254" t="n"/>
      <c r="F89" s="254" t="n"/>
      <c r="G89" s="254" t="n"/>
      <c r="H89" s="254" t="n"/>
      <c r="I89" s="254" t="n"/>
      <c r="J89" s="254" t="n"/>
      <c r="K89" s="254" t="n"/>
      <c r="L89" s="254" t="n"/>
      <c r="M89" s="254" t="n"/>
      <c r="N89" s="254" t="n"/>
      <c r="O89" s="254" t="n"/>
      <c r="P89" s="254" t="n"/>
      <c r="Q89" s="254" t="n"/>
      <c r="R89" s="254" t="n"/>
      <c r="S89" s="254" t="n"/>
      <c r="T89" s="254" t="n"/>
      <c r="U89" s="254" t="n"/>
    </row>
    <row r="90">
      <c r="A90" s="254" t="n"/>
      <c r="B90" s="254" t="n"/>
      <c r="C90" s="254" t="n"/>
      <c r="D90" s="254" t="n"/>
      <c r="E90" s="254" t="n"/>
      <c r="F90" s="254" t="n"/>
      <c r="G90" s="254" t="n"/>
      <c r="H90" s="254" t="n"/>
      <c r="I90" s="254" t="n"/>
      <c r="J90" s="254" t="n"/>
      <c r="K90" s="254" t="n"/>
      <c r="L90" s="254" t="n"/>
      <c r="M90" s="254" t="n"/>
      <c r="N90" s="254" t="n"/>
      <c r="O90" s="254" t="n"/>
      <c r="P90" s="254" t="n"/>
      <c r="Q90" s="254" t="n"/>
      <c r="R90" s="254" t="n"/>
      <c r="S90" s="254" t="n"/>
      <c r="T90" s="254" t="n"/>
      <c r="U90" s="254" t="n"/>
    </row>
    <row r="91">
      <c r="A91" s="254" t="n"/>
      <c r="B91" s="254" t="n"/>
      <c r="C91" s="254" t="n"/>
      <c r="D91" s="254" t="n"/>
      <c r="E91" s="254" t="n"/>
      <c r="F91" s="254" t="n"/>
      <c r="G91" s="254" t="n"/>
      <c r="H91" s="254" t="n"/>
      <c r="I91" s="254" t="n"/>
      <c r="J91" s="254" t="n"/>
      <c r="K91" s="254" t="n"/>
      <c r="L91" s="254" t="n"/>
      <c r="M91" s="254" t="n"/>
      <c r="N91" s="254" t="n"/>
      <c r="O91" s="254" t="n"/>
      <c r="P91" s="254" t="n"/>
      <c r="Q91" s="254" t="n"/>
      <c r="R91" s="254" t="n"/>
      <c r="S91" s="254" t="n"/>
      <c r="T91" s="254" t="n"/>
      <c r="U91" s="254" t="n"/>
    </row>
    <row r="92">
      <c r="A92" s="254" t="n"/>
      <c r="B92" s="254" t="n"/>
      <c r="C92" s="254" t="n"/>
      <c r="D92" s="254" t="n"/>
      <c r="E92" s="254" t="n"/>
      <c r="F92" s="254" t="n"/>
      <c r="G92" s="254" t="n"/>
      <c r="H92" s="254" t="n"/>
      <c r="I92" s="254" t="n"/>
      <c r="J92" s="254" t="n"/>
      <c r="K92" s="254" t="n"/>
      <c r="L92" s="254" t="n"/>
      <c r="M92" s="254" t="n"/>
      <c r="N92" s="254" t="n"/>
      <c r="O92" s="254" t="n"/>
      <c r="P92" s="254" t="n"/>
      <c r="Q92" s="254" t="n"/>
      <c r="R92" s="254" t="n"/>
      <c r="S92" s="254" t="n"/>
      <c r="T92" s="254" t="n"/>
      <c r="U92" s="254" t="n"/>
    </row>
    <row r="93">
      <c r="A93" s="254" t="n"/>
      <c r="B93" s="254" t="n"/>
      <c r="C93" s="254" t="n"/>
      <c r="D93" s="254" t="n"/>
      <c r="E93" s="254" t="n"/>
      <c r="F93" s="254" t="n"/>
      <c r="G93" s="254" t="n"/>
      <c r="H93" s="254" t="n"/>
      <c r="I93" s="254" t="n"/>
      <c r="J93" s="254" t="n"/>
      <c r="K93" s="254" t="n"/>
      <c r="L93" s="254" t="n"/>
      <c r="M93" s="254" t="n"/>
      <c r="N93" s="254" t="n"/>
      <c r="O93" s="254" t="n"/>
      <c r="P93" s="254" t="n"/>
      <c r="Q93" s="254" t="n"/>
      <c r="R93" s="254" t="n"/>
      <c r="S93" s="254" t="n"/>
      <c r="T93" s="254" t="n"/>
      <c r="U93" s="254" t="n"/>
    </row>
    <row r="94">
      <c r="A94" s="254" t="n"/>
      <c r="B94" s="254" t="n"/>
      <c r="C94" s="254" t="n"/>
      <c r="D94" s="254" t="n"/>
      <c r="E94" s="254" t="n"/>
      <c r="F94" s="254" t="n"/>
      <c r="G94" s="254" t="n"/>
      <c r="H94" s="254" t="n"/>
      <c r="I94" s="254" t="n"/>
      <c r="J94" s="254" t="n"/>
      <c r="K94" s="254" t="n"/>
      <c r="L94" s="254" t="n"/>
      <c r="M94" s="254" t="n"/>
      <c r="N94" s="254" t="n"/>
      <c r="O94" s="254" t="n"/>
      <c r="P94" s="254" t="n"/>
      <c r="Q94" s="254" t="n"/>
      <c r="R94" s="254" t="n"/>
      <c r="S94" s="254" t="n"/>
      <c r="T94" s="254" t="n"/>
      <c r="U94" s="254" t="n"/>
    </row>
    <row r="95">
      <c r="A95" s="254" t="n"/>
      <c r="B95" s="254" t="n"/>
      <c r="C95" s="254" t="n"/>
      <c r="D95" s="254" t="n"/>
      <c r="E95" s="254" t="n"/>
      <c r="F95" s="254" t="n"/>
      <c r="G95" s="254" t="n"/>
      <c r="H95" s="254" t="n"/>
      <c r="I95" s="254" t="n"/>
      <c r="J95" s="254" t="n"/>
      <c r="K95" s="254" t="n"/>
      <c r="L95" s="254" t="n"/>
      <c r="M95" s="254" t="n"/>
      <c r="N95" s="254" t="n"/>
      <c r="O95" s="254" t="n"/>
      <c r="P95" s="254" t="n"/>
      <c r="Q95" s="254" t="n"/>
      <c r="R95" s="254" t="n"/>
      <c r="S95" s="254" t="n"/>
      <c r="T95" s="254" t="n"/>
      <c r="U95" s="254" t="n"/>
    </row>
    <row r="96">
      <c r="A96" s="254" t="n"/>
      <c r="B96" s="254" t="n"/>
      <c r="C96" s="254" t="n"/>
      <c r="D96" s="254" t="n"/>
      <c r="E96" s="254" t="n"/>
      <c r="F96" s="254" t="n"/>
      <c r="G96" s="254" t="n"/>
      <c r="H96" s="254" t="n"/>
      <c r="I96" s="254" t="n"/>
      <c r="J96" s="254" t="n"/>
      <c r="K96" s="254" t="n"/>
      <c r="L96" s="254" t="n"/>
      <c r="M96" s="254" t="n"/>
      <c r="N96" s="254" t="n"/>
      <c r="O96" s="254" t="n"/>
      <c r="P96" s="254" t="n"/>
      <c r="Q96" s="254" t="n"/>
      <c r="R96" s="254" t="n"/>
      <c r="S96" s="254" t="n"/>
      <c r="T96" s="254" t="n"/>
      <c r="U96" s="254" t="n"/>
    </row>
    <row r="97">
      <c r="A97" s="254" t="n"/>
      <c r="B97" s="254" t="n"/>
      <c r="C97" s="254" t="n"/>
      <c r="D97" s="254" t="n"/>
      <c r="E97" s="254" t="n"/>
      <c r="F97" s="254" t="n"/>
      <c r="G97" s="254" t="n"/>
      <c r="H97" s="254" t="n"/>
      <c r="I97" s="254" t="n"/>
      <c r="J97" s="254" t="n"/>
      <c r="K97" s="254" t="n"/>
      <c r="L97" s="254" t="n"/>
      <c r="M97" s="254" t="n"/>
      <c r="N97" s="254" t="n"/>
      <c r="O97" s="254" t="n"/>
      <c r="P97" s="254" t="n"/>
      <c r="Q97" s="254" t="n"/>
      <c r="R97" s="254" t="n"/>
      <c r="S97" s="254" t="n"/>
      <c r="T97" s="254" t="n"/>
      <c r="U97" s="254" t="n"/>
    </row>
    <row r="98">
      <c r="A98" s="254" t="n"/>
      <c r="B98" s="254" t="n"/>
      <c r="C98" s="254" t="n"/>
      <c r="D98" s="254" t="n"/>
      <c r="E98" s="254" t="n"/>
      <c r="F98" s="254" t="n"/>
      <c r="G98" s="254" t="n"/>
      <c r="H98" s="254" t="n"/>
      <c r="I98" s="254" t="n"/>
      <c r="J98" s="254" t="n"/>
      <c r="K98" s="254" t="n"/>
      <c r="L98" s="254" t="n"/>
      <c r="M98" s="254" t="n"/>
      <c r="N98" s="254" t="n"/>
      <c r="O98" s="254" t="n"/>
      <c r="P98" s="254" t="n"/>
      <c r="Q98" s="254" t="n"/>
      <c r="R98" s="254" t="n"/>
      <c r="S98" s="254" t="n"/>
      <c r="T98" s="254" t="n"/>
      <c r="U98" s="254" t="n"/>
    </row>
    <row r="99">
      <c r="A99" s="254" t="n"/>
      <c r="B99" s="254" t="n"/>
      <c r="C99" s="254" t="n"/>
      <c r="D99" s="254" t="n"/>
      <c r="E99" s="254" t="n"/>
      <c r="F99" s="254" t="n"/>
      <c r="G99" s="254" t="n"/>
      <c r="H99" s="254" t="n"/>
      <c r="I99" s="254" t="n"/>
      <c r="J99" s="254" t="n"/>
      <c r="K99" s="254" t="n"/>
      <c r="L99" s="254" t="n"/>
      <c r="M99" s="254" t="n"/>
      <c r="N99" s="254" t="n"/>
      <c r="O99" s="254" t="n"/>
      <c r="P99" s="254" t="n"/>
      <c r="Q99" s="254" t="n"/>
      <c r="R99" s="254" t="n"/>
      <c r="S99" s="254" t="n"/>
      <c r="T99" s="254" t="n"/>
      <c r="U99" s="254" t="n"/>
    </row>
    <row r="100">
      <c r="A100" s="254" t="n"/>
      <c r="B100" s="254" t="n"/>
      <c r="C100" s="254" t="n"/>
      <c r="D100" s="254" t="n"/>
      <c r="E100" s="254" t="n"/>
      <c r="F100" s="254" t="n"/>
      <c r="G100" s="254" t="n"/>
      <c r="H100" s="254" t="n"/>
      <c r="I100" s="254" t="n"/>
      <c r="J100" s="254" t="n"/>
      <c r="K100" s="254" t="n"/>
      <c r="L100" s="254" t="n"/>
      <c r="M100" s="254" t="n"/>
      <c r="N100" s="254" t="n"/>
      <c r="O100" s="254" t="n"/>
      <c r="P100" s="254" t="n"/>
      <c r="Q100" s="254" t="n"/>
      <c r="R100" s="254" t="n"/>
      <c r="S100" s="254" t="n"/>
      <c r="T100" s="254" t="n"/>
      <c r="U100" s="254" t="n"/>
    </row>
    <row r="101">
      <c r="A101" s="254" t="n"/>
      <c r="B101" s="254" t="n"/>
      <c r="C101" s="254" t="n"/>
      <c r="D101" s="254" t="n"/>
      <c r="E101" s="254" t="n"/>
      <c r="F101" s="254" t="n"/>
      <c r="G101" s="254" t="n"/>
      <c r="H101" s="254" t="n"/>
      <c r="I101" s="254" t="n"/>
      <c r="J101" s="254" t="n"/>
      <c r="K101" s="254" t="n"/>
      <c r="L101" s="254" t="n"/>
      <c r="M101" s="254" t="n"/>
      <c r="N101" s="254" t="n"/>
      <c r="O101" s="254" t="n"/>
      <c r="P101" s="254" t="n"/>
      <c r="Q101" s="254" t="n"/>
      <c r="R101" s="254" t="n"/>
      <c r="S101" s="254" t="n"/>
      <c r="T101" s="254" t="n"/>
      <c r="U101" s="254" t="n"/>
    </row>
    <row r="102">
      <c r="A102" s="254" t="n"/>
      <c r="B102" s="254" t="n"/>
      <c r="C102" s="254" t="n"/>
      <c r="D102" s="254" t="n"/>
      <c r="E102" s="254" t="n"/>
      <c r="F102" s="254" t="n"/>
      <c r="G102" s="254" t="n"/>
      <c r="H102" s="254" t="n"/>
      <c r="I102" s="254" t="n"/>
      <c r="J102" s="254" t="n"/>
      <c r="K102" s="254" t="n"/>
      <c r="L102" s="254" t="n"/>
      <c r="M102" s="254" t="n"/>
      <c r="N102" s="254" t="n"/>
      <c r="O102" s="254" t="n"/>
      <c r="P102" s="254" t="n"/>
      <c r="Q102" s="254" t="n"/>
      <c r="R102" s="254" t="n"/>
      <c r="S102" s="254" t="n"/>
      <c r="T102" s="254" t="n"/>
      <c r="U102" s="254" t="n"/>
    </row>
    <row r="103">
      <c r="A103" s="254" t="n"/>
      <c r="B103" s="254" t="n"/>
      <c r="C103" s="254" t="n"/>
      <c r="D103" s="254" t="n"/>
      <c r="E103" s="254" t="n"/>
      <c r="F103" s="254" t="n"/>
      <c r="G103" s="254" t="n"/>
      <c r="H103" s="254" t="n"/>
      <c r="I103" s="254" t="n"/>
      <c r="J103" s="254" t="n"/>
      <c r="K103" s="254" t="n"/>
      <c r="L103" s="254" t="n"/>
      <c r="M103" s="254" t="n"/>
      <c r="N103" s="254" t="n"/>
      <c r="O103" s="254" t="n"/>
      <c r="P103" s="254" t="n"/>
      <c r="Q103" s="254" t="n"/>
      <c r="R103" s="254" t="n"/>
      <c r="S103" s="254" t="n"/>
      <c r="T103" s="254" t="n"/>
      <c r="U103" s="254" t="n"/>
    </row>
    <row r="104">
      <c r="A104" s="254" t="n"/>
      <c r="B104" s="254" t="n"/>
      <c r="C104" s="254" t="n"/>
      <c r="D104" s="254" t="n"/>
      <c r="E104" s="254" t="n"/>
      <c r="F104" s="254" t="n"/>
      <c r="G104" s="254" t="n"/>
      <c r="H104" s="254" t="n"/>
      <c r="I104" s="254" t="n"/>
      <c r="J104" s="254" t="n"/>
      <c r="K104" s="254" t="n"/>
      <c r="L104" s="254" t="n"/>
      <c r="M104" s="254" t="n"/>
      <c r="N104" s="254" t="n"/>
      <c r="O104" s="254" t="n"/>
      <c r="P104" s="254" t="n"/>
      <c r="Q104" s="254" t="n"/>
      <c r="R104" s="254" t="n"/>
      <c r="S104" s="254" t="n"/>
      <c r="T104" s="254" t="n"/>
      <c r="U104" s="254" t="n"/>
    </row>
    <row r="105">
      <c r="A105" s="254" t="n"/>
      <c r="B105" s="254" t="n"/>
      <c r="C105" s="254" t="n"/>
      <c r="D105" s="254" t="n"/>
      <c r="E105" s="254" t="n"/>
      <c r="F105" s="254" t="n"/>
      <c r="G105" s="254" t="n"/>
      <c r="H105" s="254" t="n"/>
      <c r="I105" s="254" t="n"/>
      <c r="J105" s="254" t="n"/>
      <c r="K105" s="254" t="n"/>
      <c r="L105" s="254" t="n"/>
      <c r="M105" s="254" t="n"/>
      <c r="N105" s="254" t="n"/>
      <c r="O105" s="254" t="n"/>
      <c r="P105" s="254" t="n"/>
      <c r="Q105" s="254" t="n"/>
      <c r="R105" s="254" t="n"/>
      <c r="S105" s="254" t="n"/>
      <c r="T105" s="254" t="n"/>
      <c r="U105" s="254" t="n"/>
    </row>
    <row r="106">
      <c r="A106" s="254" t="n"/>
      <c r="B106" s="254" t="n"/>
      <c r="C106" s="254" t="n"/>
      <c r="D106" s="254" t="n"/>
      <c r="E106" s="254" t="n"/>
      <c r="F106" s="254" t="n"/>
      <c r="G106" s="254" t="n"/>
      <c r="H106" s="254" t="n"/>
      <c r="I106" s="254" t="n"/>
      <c r="J106" s="254" t="n"/>
      <c r="K106" s="254" t="n"/>
      <c r="L106" s="254" t="n"/>
      <c r="M106" s="254" t="n"/>
      <c r="N106" s="254" t="n"/>
      <c r="O106" s="254" t="n"/>
      <c r="P106" s="254" t="n"/>
      <c r="Q106" s="254" t="n"/>
      <c r="R106" s="254" t="n"/>
      <c r="S106" s="254" t="n"/>
      <c r="T106" s="254" t="n"/>
      <c r="U106" s="254" t="n"/>
    </row>
    <row r="107">
      <c r="A107" s="254" t="n"/>
      <c r="B107" s="254" t="n"/>
      <c r="C107" s="254" t="n"/>
      <c r="D107" s="254" t="n"/>
      <c r="E107" s="254" t="n"/>
      <c r="F107" s="254" t="n"/>
      <c r="G107" s="254" t="n"/>
      <c r="H107" s="254" t="n"/>
      <c r="I107" s="254" t="n"/>
      <c r="J107" s="254" t="n"/>
      <c r="K107" s="254" t="n"/>
      <c r="L107" s="254" t="n"/>
      <c r="M107" s="254" t="n"/>
      <c r="N107" s="254" t="n"/>
      <c r="O107" s="254" t="n"/>
      <c r="P107" s="254" t="n"/>
      <c r="Q107" s="254" t="n"/>
      <c r="R107" s="254" t="n"/>
      <c r="S107" s="254" t="n"/>
      <c r="T107" s="254" t="n"/>
      <c r="U107" s="254" t="n"/>
    </row>
    <row r="108">
      <c r="A108" s="254" t="n"/>
      <c r="B108" s="254" t="n"/>
      <c r="C108" s="254" t="n"/>
      <c r="D108" s="254" t="n"/>
      <c r="E108" s="254" t="n"/>
      <c r="F108" s="254" t="n"/>
      <c r="G108" s="254" t="n"/>
      <c r="H108" s="254" t="n"/>
      <c r="I108" s="254" t="n"/>
      <c r="J108" s="254" t="n"/>
      <c r="K108" s="254" t="n"/>
      <c r="L108" s="254" t="n"/>
      <c r="M108" s="254" t="n"/>
      <c r="N108" s="254" t="n"/>
      <c r="O108" s="254" t="n"/>
      <c r="P108" s="254" t="n"/>
      <c r="Q108" s="254" t="n"/>
      <c r="R108" s="254" t="n"/>
      <c r="S108" s="254" t="n"/>
      <c r="T108" s="254" t="n"/>
      <c r="U108" s="254" t="n"/>
    </row>
    <row r="109">
      <c r="A109" s="254" t="n"/>
      <c r="B109" s="254" t="n"/>
      <c r="C109" s="254" t="n"/>
      <c r="D109" s="254" t="n"/>
      <c r="E109" s="254" t="n"/>
      <c r="F109" s="254" t="n"/>
      <c r="G109" s="254" t="n"/>
      <c r="H109" s="254" t="n"/>
      <c r="I109" s="254" t="n"/>
      <c r="J109" s="254" t="n"/>
      <c r="K109" s="254" t="n"/>
      <c r="L109" s="254" t="n"/>
      <c r="M109" s="254" t="n"/>
      <c r="N109" s="254" t="n"/>
      <c r="O109" s="254" t="n"/>
      <c r="P109" s="254" t="n"/>
      <c r="Q109" s="254" t="n"/>
      <c r="R109" s="254" t="n"/>
      <c r="S109" s="254" t="n"/>
      <c r="T109" s="254" t="n"/>
      <c r="U109" s="254" t="n"/>
    </row>
    <row r="110">
      <c r="A110" s="254" t="n"/>
      <c r="B110" s="254" t="n"/>
      <c r="C110" s="254" t="n"/>
      <c r="D110" s="254" t="n"/>
      <c r="E110" s="254" t="n"/>
      <c r="F110" s="254" t="n"/>
      <c r="G110" s="254" t="n"/>
      <c r="H110" s="254" t="n"/>
      <c r="I110" s="254" t="n"/>
      <c r="J110" s="254" t="n"/>
      <c r="K110" s="254" t="n"/>
      <c r="L110" s="254" t="n"/>
      <c r="M110" s="254" t="n"/>
      <c r="N110" s="254" t="n"/>
      <c r="O110" s="254" t="n"/>
      <c r="P110" s="254" t="n"/>
      <c r="Q110" s="254" t="n"/>
      <c r="R110" s="254" t="n"/>
      <c r="S110" s="254" t="n"/>
      <c r="T110" s="254" t="n"/>
      <c r="U110" s="254" t="n"/>
    </row>
    <row r="111">
      <c r="A111" s="254" t="n"/>
      <c r="B111" s="254" t="n"/>
      <c r="C111" s="254" t="n"/>
      <c r="D111" s="254" t="n"/>
      <c r="E111" s="254" t="n"/>
      <c r="F111" s="254" t="n"/>
      <c r="G111" s="254" t="n"/>
      <c r="H111" s="254" t="n"/>
      <c r="I111" s="254" t="n"/>
      <c r="J111" s="254" t="n"/>
      <c r="K111" s="254" t="n"/>
      <c r="L111" s="254" t="n"/>
      <c r="M111" s="254" t="n"/>
      <c r="N111" s="254" t="n"/>
      <c r="O111" s="254" t="n"/>
      <c r="P111" s="254" t="n"/>
      <c r="Q111" s="254" t="n"/>
      <c r="R111" s="254" t="n"/>
      <c r="S111" s="254" t="n"/>
      <c r="T111" s="254" t="n"/>
      <c r="U111" s="254" t="n"/>
    </row>
    <row r="112">
      <c r="A112" s="254" t="n"/>
      <c r="B112" s="254" t="n"/>
      <c r="C112" s="254" t="n"/>
      <c r="D112" s="254" t="n"/>
      <c r="E112" s="254" t="n"/>
      <c r="F112" s="254" t="n"/>
      <c r="G112" s="254" t="n"/>
      <c r="H112" s="254" t="n"/>
      <c r="I112" s="254" t="n"/>
      <c r="J112" s="254" t="n"/>
      <c r="K112" s="254" t="n"/>
      <c r="L112" s="254" t="n"/>
      <c r="M112" s="254" t="n"/>
      <c r="N112" s="254" t="n"/>
      <c r="O112" s="254" t="n"/>
      <c r="P112" s="254" t="n"/>
      <c r="Q112" s="254" t="n"/>
      <c r="R112" s="254" t="n"/>
      <c r="S112" s="254" t="n"/>
      <c r="T112" s="254" t="n"/>
      <c r="U112" s="254" t="n"/>
    </row>
    <row r="113">
      <c r="A113" s="254" t="n"/>
      <c r="B113" s="254" t="n"/>
      <c r="C113" s="254" t="n"/>
      <c r="D113" s="254" t="n"/>
      <c r="E113" s="254" t="n"/>
      <c r="F113" s="254" t="n"/>
      <c r="G113" s="254" t="n"/>
      <c r="H113" s="254" t="n"/>
      <c r="I113" s="254" t="n"/>
      <c r="J113" s="254" t="n"/>
      <c r="K113" s="254" t="n"/>
      <c r="L113" s="254" t="n"/>
      <c r="M113" s="254" t="n"/>
      <c r="N113" s="254" t="n"/>
      <c r="O113" s="254" t="n"/>
      <c r="P113" s="254" t="n"/>
      <c r="Q113" s="254" t="n"/>
      <c r="R113" s="254" t="n"/>
      <c r="S113" s="254" t="n"/>
      <c r="T113" s="254" t="n"/>
      <c r="U113" s="254" t="n"/>
    </row>
    <row r="114">
      <c r="A114" s="254" t="n"/>
      <c r="B114" s="254" t="n"/>
      <c r="C114" s="254" t="n"/>
      <c r="D114" s="254" t="n"/>
      <c r="E114" s="254" t="n"/>
      <c r="F114" s="254" t="n"/>
      <c r="G114" s="254" t="n"/>
      <c r="H114" s="254" t="n"/>
      <c r="I114" s="254" t="n"/>
      <c r="J114" s="254" t="n"/>
      <c r="K114" s="254" t="n"/>
      <c r="L114" s="254" t="n"/>
      <c r="M114" s="254" t="n"/>
      <c r="N114" s="254" t="n"/>
      <c r="O114" s="254" t="n"/>
      <c r="P114" s="254" t="n"/>
      <c r="Q114" s="254" t="n"/>
      <c r="R114" s="254" t="n"/>
      <c r="S114" s="254" t="n"/>
      <c r="T114" s="254" t="n"/>
      <c r="U114" s="254" t="n"/>
    </row>
    <row r="115">
      <c r="A115" s="254" t="n"/>
      <c r="B115" s="254" t="n"/>
      <c r="C115" s="254" t="n"/>
      <c r="D115" s="254" t="n"/>
      <c r="E115" s="254" t="n"/>
      <c r="F115" s="254" t="n"/>
      <c r="G115" s="254" t="n"/>
      <c r="H115" s="254" t="n"/>
      <c r="I115" s="254" t="n"/>
      <c r="J115" s="254" t="n"/>
      <c r="K115" s="254" t="n"/>
      <c r="L115" s="254" t="n"/>
      <c r="M115" s="254" t="n"/>
      <c r="N115" s="254" t="n"/>
      <c r="O115" s="254" t="n"/>
      <c r="P115" s="254" t="n"/>
      <c r="Q115" s="254" t="n"/>
      <c r="R115" s="254" t="n"/>
      <c r="S115" s="254" t="n"/>
      <c r="T115" s="254" t="n"/>
      <c r="U115" s="254" t="n"/>
    </row>
    <row r="116">
      <c r="A116" s="254" t="n"/>
      <c r="B116" s="254" t="n"/>
      <c r="C116" s="254" t="n"/>
      <c r="D116" s="254" t="n"/>
      <c r="E116" s="254" t="n"/>
      <c r="F116" s="254" t="n"/>
      <c r="G116" s="254" t="n"/>
      <c r="H116" s="254" t="n"/>
      <c r="I116" s="254" t="n"/>
      <c r="J116" s="254" t="n"/>
      <c r="K116" s="254" t="n"/>
      <c r="L116" s="254" t="n"/>
      <c r="M116" s="254" t="n"/>
      <c r="N116" s="254" t="n"/>
      <c r="O116" s="254" t="n"/>
      <c r="P116" s="254" t="n"/>
      <c r="Q116" s="254" t="n"/>
      <c r="R116" s="254" t="n"/>
      <c r="S116" s="254" t="n"/>
      <c r="T116" s="254" t="n"/>
      <c r="U116" s="254" t="n"/>
    </row>
    <row r="117">
      <c r="A117" s="254" t="n"/>
      <c r="B117" s="254" t="n"/>
      <c r="C117" s="254" t="n"/>
      <c r="D117" s="254" t="n"/>
      <c r="E117" s="254" t="n"/>
      <c r="F117" s="254" t="n"/>
      <c r="G117" s="254" t="n"/>
      <c r="H117" s="254" t="n"/>
      <c r="I117" s="254" t="n"/>
      <c r="J117" s="254" t="n"/>
      <c r="K117" s="254" t="n"/>
      <c r="L117" s="254" t="n"/>
      <c r="M117" s="254" t="n"/>
      <c r="N117" s="254" t="n"/>
      <c r="O117" s="254" t="n"/>
      <c r="P117" s="254" t="n"/>
      <c r="Q117" s="254" t="n"/>
      <c r="R117" s="254" t="n"/>
      <c r="S117" s="254" t="n"/>
      <c r="T117" s="254" t="n"/>
      <c r="U117" s="254" t="n"/>
    </row>
    <row r="118">
      <c r="A118" s="254" t="n"/>
      <c r="B118" s="254" t="n"/>
      <c r="C118" s="254" t="n"/>
      <c r="D118" s="254" t="n"/>
      <c r="E118" s="254" t="n"/>
      <c r="F118" s="254" t="n"/>
      <c r="G118" s="254" t="n"/>
      <c r="H118" s="254" t="n"/>
      <c r="I118" s="254" t="n"/>
      <c r="J118" s="254" t="n"/>
      <c r="K118" s="254" t="n"/>
      <c r="L118" s="254" t="n"/>
      <c r="M118" s="254" t="n"/>
      <c r="N118" s="254" t="n"/>
      <c r="O118" s="254" t="n"/>
      <c r="P118" s="254" t="n"/>
      <c r="Q118" s="254" t="n"/>
      <c r="R118" s="254" t="n"/>
      <c r="S118" s="254" t="n"/>
      <c r="T118" s="254" t="n"/>
      <c r="U118" s="254" t="n"/>
    </row>
    <row r="119">
      <c r="A119" s="254" t="n"/>
      <c r="B119" s="254" t="n"/>
      <c r="C119" s="254" t="n"/>
      <c r="D119" s="254" t="n"/>
      <c r="E119" s="254" t="n"/>
      <c r="F119" s="254" t="n"/>
      <c r="G119" s="254" t="n"/>
      <c r="H119" s="254" t="n"/>
      <c r="I119" s="254" t="n"/>
      <c r="J119" s="254" t="n"/>
      <c r="K119" s="254" t="n"/>
      <c r="L119" s="254" t="n"/>
      <c r="M119" s="254" t="n"/>
      <c r="N119" s="254" t="n"/>
      <c r="O119" s="254" t="n"/>
      <c r="P119" s="254" t="n"/>
      <c r="Q119" s="254" t="n"/>
      <c r="R119" s="254" t="n"/>
      <c r="S119" s="254" t="n"/>
      <c r="T119" s="254" t="n"/>
      <c r="U119" s="254" t="n"/>
    </row>
    <row r="120">
      <c r="A120" s="254" t="n"/>
      <c r="B120" s="254" t="n"/>
      <c r="C120" s="254" t="n"/>
      <c r="D120" s="254" t="n"/>
      <c r="E120" s="254" t="n"/>
      <c r="F120" s="254" t="n"/>
      <c r="G120" s="254" t="n"/>
      <c r="H120" s="254" t="n"/>
      <c r="I120" s="254" t="n"/>
      <c r="J120" s="254" t="n"/>
      <c r="K120" s="254" t="n"/>
      <c r="L120" s="254" t="n"/>
      <c r="M120" s="254" t="n"/>
      <c r="N120" s="254" t="n"/>
      <c r="O120" s="254" t="n"/>
      <c r="P120" s="254" t="n"/>
      <c r="Q120" s="254" t="n"/>
      <c r="R120" s="254" t="n"/>
      <c r="S120" s="254" t="n"/>
      <c r="T120" s="254" t="n"/>
      <c r="U120" s="254" t="n"/>
    </row>
    <row r="121">
      <c r="A121" s="254" t="n"/>
      <c r="B121" s="254" t="n"/>
      <c r="C121" s="254" t="n"/>
      <c r="D121" s="254" t="n"/>
      <c r="E121" s="254" t="n"/>
      <c r="F121" s="254" t="n"/>
      <c r="G121" s="254" t="n"/>
      <c r="H121" s="254" t="n"/>
      <c r="I121" s="254" t="n"/>
      <c r="J121" s="254" t="n"/>
      <c r="K121" s="254" t="n"/>
      <c r="L121" s="254" t="n"/>
      <c r="M121" s="254" t="n"/>
      <c r="N121" s="254" t="n"/>
      <c r="O121" s="254" t="n"/>
      <c r="P121" s="254" t="n"/>
      <c r="Q121" s="254" t="n"/>
      <c r="R121" s="254" t="n"/>
      <c r="S121" s="254" t="n"/>
      <c r="T121" s="254" t="n"/>
      <c r="U121" s="254" t="n"/>
    </row>
    <row r="122">
      <c r="A122" s="254" t="n"/>
      <c r="B122" s="254" t="n"/>
      <c r="C122" s="254" t="n"/>
      <c r="D122" s="254" t="n"/>
      <c r="E122" s="254" t="n"/>
      <c r="F122" s="254" t="n"/>
      <c r="G122" s="254" t="n"/>
      <c r="H122" s="254" t="n"/>
      <c r="I122" s="254" t="n"/>
      <c r="J122" s="254" t="n"/>
      <c r="K122" s="254" t="n"/>
      <c r="L122" s="254" t="n"/>
      <c r="M122" s="254" t="n"/>
      <c r="N122" s="254" t="n"/>
      <c r="O122" s="254" t="n"/>
      <c r="P122" s="254" t="n"/>
      <c r="Q122" s="254" t="n"/>
      <c r="R122" s="254" t="n"/>
      <c r="S122" s="254" t="n"/>
      <c r="T122" s="254" t="n"/>
      <c r="U122" s="254" t="n"/>
    </row>
    <row r="123">
      <c r="A123" s="254" t="n"/>
      <c r="B123" s="254" t="n"/>
      <c r="C123" s="254" t="n"/>
      <c r="D123" s="254" t="n"/>
      <c r="E123" s="254" t="n"/>
      <c r="F123" s="254" t="n"/>
      <c r="G123" s="254" t="n"/>
      <c r="H123" s="254" t="n"/>
      <c r="I123" s="254" t="n"/>
      <c r="J123" s="254" t="n"/>
      <c r="K123" s="254" t="n"/>
      <c r="L123" s="254" t="n"/>
      <c r="M123" s="254" t="n"/>
      <c r="N123" s="254" t="n"/>
      <c r="O123" s="254" t="n"/>
      <c r="P123" s="254" t="n"/>
      <c r="Q123" s="254" t="n"/>
      <c r="R123" s="254" t="n"/>
      <c r="S123" s="254" t="n"/>
      <c r="T123" s="254" t="n"/>
      <c r="U123" s="254" t="n"/>
    </row>
    <row r="124">
      <c r="A124" s="254" t="n"/>
      <c r="B124" s="254" t="n"/>
      <c r="C124" s="254" t="n"/>
      <c r="D124" s="254" t="n"/>
      <c r="E124" s="254" t="n"/>
      <c r="F124" s="254" t="n"/>
      <c r="G124" s="254" t="n"/>
      <c r="H124" s="254" t="n"/>
      <c r="I124" s="254" t="n"/>
      <c r="J124" s="254" t="n"/>
      <c r="K124" s="254" t="n"/>
      <c r="L124" s="254" t="n"/>
      <c r="M124" s="254" t="n"/>
      <c r="N124" s="254" t="n"/>
      <c r="O124" s="254" t="n"/>
      <c r="P124" s="254" t="n"/>
      <c r="Q124" s="254" t="n"/>
      <c r="R124" s="254" t="n"/>
      <c r="S124" s="254" t="n"/>
      <c r="T124" s="254" t="n"/>
      <c r="U124" s="254" t="n"/>
    </row>
    <row r="125">
      <c r="A125" s="254" t="n"/>
      <c r="B125" s="254" t="n"/>
      <c r="C125" s="254" t="n"/>
      <c r="D125" s="254" t="n"/>
      <c r="E125" s="254" t="n"/>
      <c r="F125" s="254" t="n"/>
      <c r="G125" s="254" t="n"/>
      <c r="H125" s="254" t="n"/>
      <c r="I125" s="254" t="n"/>
      <c r="J125" s="254" t="n"/>
      <c r="K125" s="254" t="n"/>
      <c r="L125" s="254" t="n"/>
      <c r="M125" s="254" t="n"/>
      <c r="N125" s="254" t="n"/>
      <c r="O125" s="254" t="n"/>
      <c r="P125" s="254" t="n"/>
      <c r="Q125" s="254" t="n"/>
      <c r="R125" s="254" t="n"/>
      <c r="S125" s="254" t="n"/>
      <c r="T125" s="254" t="n"/>
      <c r="U125" s="254" t="n"/>
    </row>
    <row r="126">
      <c r="A126" s="254" t="n"/>
      <c r="B126" s="254" t="n"/>
      <c r="C126" s="254" t="n"/>
      <c r="D126" s="254" t="n"/>
      <c r="E126" s="254" t="n"/>
      <c r="F126" s="254" t="n"/>
      <c r="G126" s="254" t="n"/>
      <c r="H126" s="254" t="n"/>
      <c r="I126" s="254" t="n"/>
      <c r="J126" s="254" t="n"/>
      <c r="K126" s="254" t="n"/>
      <c r="L126" s="254" t="n"/>
      <c r="M126" s="254" t="n"/>
      <c r="N126" s="254" t="n"/>
      <c r="O126" s="254" t="n"/>
      <c r="P126" s="254" t="n"/>
      <c r="Q126" s="254" t="n"/>
      <c r="R126" s="254" t="n"/>
      <c r="S126" s="254" t="n"/>
      <c r="T126" s="254" t="n"/>
      <c r="U126" s="254" t="n"/>
    </row>
    <row r="127">
      <c r="A127" s="254" t="n"/>
      <c r="B127" s="254" t="n"/>
      <c r="C127" s="254" t="n"/>
      <c r="D127" s="254" t="n"/>
      <c r="E127" s="254" t="n"/>
      <c r="F127" s="254" t="n"/>
      <c r="G127" s="254" t="n"/>
      <c r="H127" s="254" t="n"/>
      <c r="I127" s="254" t="n"/>
      <c r="J127" s="254" t="n"/>
      <c r="K127" s="254" t="n"/>
      <c r="L127" s="254" t="n"/>
      <c r="M127" s="254" t="n"/>
      <c r="N127" s="254" t="n"/>
      <c r="O127" s="254" t="n"/>
      <c r="P127" s="254" t="n"/>
      <c r="Q127" s="254" t="n"/>
      <c r="R127" s="254" t="n"/>
      <c r="S127" s="254" t="n"/>
      <c r="T127" s="254" t="n"/>
      <c r="U127" s="254" t="n"/>
    </row>
    <row r="128">
      <c r="A128" s="254" t="n"/>
      <c r="B128" s="254" t="n"/>
      <c r="C128" s="254" t="n"/>
      <c r="D128" s="254" t="n"/>
      <c r="E128" s="254" t="n"/>
      <c r="F128" s="254" t="n"/>
      <c r="G128" s="254" t="n"/>
      <c r="H128" s="254" t="n"/>
      <c r="I128" s="254" t="n"/>
      <c r="J128" s="254" t="n"/>
      <c r="K128" s="254" t="n"/>
      <c r="L128" s="254" t="n"/>
      <c r="M128" s="254" t="n"/>
      <c r="N128" s="254" t="n"/>
      <c r="O128" s="254" t="n"/>
      <c r="P128" s="254" t="n"/>
      <c r="Q128" s="254" t="n"/>
      <c r="R128" s="254" t="n"/>
      <c r="S128" s="254" t="n"/>
      <c r="T128" s="254" t="n"/>
      <c r="U128" s="254" t="n"/>
    </row>
    <row r="129">
      <c r="A129" s="254" t="n"/>
      <c r="B129" s="254" t="n"/>
      <c r="C129" s="254" t="n"/>
      <c r="D129" s="254" t="n"/>
      <c r="E129" s="254" t="n"/>
      <c r="F129" s="254" t="n"/>
      <c r="G129" s="254" t="n"/>
      <c r="H129" s="254" t="n"/>
      <c r="I129" s="254" t="n"/>
      <c r="J129" s="254" t="n"/>
      <c r="K129" s="254" t="n"/>
      <c r="L129" s="254" t="n"/>
      <c r="M129" s="254" t="n"/>
      <c r="N129" s="254" t="n"/>
      <c r="O129" s="254" t="n"/>
      <c r="P129" s="254" t="n"/>
      <c r="Q129" s="254" t="n"/>
      <c r="R129" s="254" t="n"/>
      <c r="S129" s="254" t="n"/>
      <c r="T129" s="254" t="n"/>
      <c r="U129" s="254" t="n"/>
    </row>
    <row r="130">
      <c r="A130" s="254" t="n"/>
      <c r="B130" s="254" t="n"/>
      <c r="C130" s="254" t="n"/>
      <c r="D130" s="254" t="n"/>
      <c r="E130" s="254" t="n"/>
      <c r="F130" s="254" t="n"/>
      <c r="G130" s="254" t="n"/>
      <c r="H130" s="254" t="n"/>
      <c r="I130" s="254" t="n"/>
      <c r="J130" s="254" t="n"/>
      <c r="K130" s="254" t="n"/>
      <c r="L130" s="254" t="n"/>
      <c r="M130" s="254" t="n"/>
      <c r="N130" s="254" t="n"/>
      <c r="O130" s="254" t="n"/>
      <c r="P130" s="254" t="n"/>
      <c r="Q130" s="254" t="n"/>
      <c r="R130" s="254" t="n"/>
      <c r="S130" s="254" t="n"/>
      <c r="T130" s="254" t="n"/>
      <c r="U130" s="254" t="n"/>
    </row>
    <row r="131">
      <c r="A131" s="254" t="n"/>
      <c r="B131" s="254" t="n"/>
      <c r="C131" s="254" t="n"/>
      <c r="D131" s="254" t="n"/>
      <c r="E131" s="254" t="n"/>
      <c r="F131" s="254" t="n"/>
      <c r="G131" s="254" t="n"/>
      <c r="H131" s="254" t="n"/>
      <c r="I131" s="254" t="n"/>
      <c r="J131" s="254" t="n"/>
      <c r="K131" s="254" t="n"/>
      <c r="L131" s="254" t="n"/>
      <c r="M131" s="254" t="n"/>
      <c r="N131" s="254" t="n"/>
      <c r="O131" s="254" t="n"/>
      <c r="P131" s="254" t="n"/>
      <c r="Q131" s="254" t="n"/>
      <c r="R131" s="254" t="n"/>
      <c r="S131" s="254" t="n"/>
      <c r="T131" s="254" t="n"/>
      <c r="U131" s="254" t="n"/>
    </row>
    <row r="132">
      <c r="A132" s="254" t="n"/>
      <c r="B132" s="254" t="n"/>
      <c r="C132" s="254" t="n"/>
      <c r="D132" s="254" t="n"/>
      <c r="E132" s="254" t="n"/>
      <c r="F132" s="254" t="n"/>
      <c r="G132" s="254" t="n"/>
      <c r="H132" s="254" t="n"/>
      <c r="I132" s="254" t="n"/>
      <c r="J132" s="254" t="n"/>
      <c r="K132" s="254" t="n"/>
      <c r="L132" s="254" t="n"/>
      <c r="M132" s="254" t="n"/>
      <c r="N132" s="254" t="n"/>
      <c r="O132" s="254" t="n"/>
      <c r="P132" s="254" t="n"/>
      <c r="Q132" s="254" t="n"/>
      <c r="R132" s="254" t="n"/>
      <c r="S132" s="254" t="n"/>
      <c r="T132" s="254" t="n"/>
      <c r="U132" s="254" t="n"/>
    </row>
    <row r="133">
      <c r="A133" s="254" t="n"/>
      <c r="B133" s="254" t="n"/>
      <c r="C133" s="254" t="n"/>
      <c r="D133" s="254" t="n"/>
      <c r="E133" s="254" t="n"/>
      <c r="F133" s="254" t="n"/>
      <c r="G133" s="254" t="n"/>
      <c r="H133" s="254" t="n"/>
      <c r="I133" s="254" t="n"/>
      <c r="J133" s="254" t="n"/>
      <c r="K133" s="254" t="n"/>
      <c r="L133" s="254" t="n"/>
      <c r="M133" s="254" t="n"/>
      <c r="N133" s="254" t="n"/>
      <c r="O133" s="254" t="n"/>
      <c r="P133" s="254" t="n"/>
      <c r="Q133" s="254" t="n"/>
      <c r="R133" s="254" t="n"/>
      <c r="S133" s="254" t="n"/>
      <c r="T133" s="254" t="n"/>
      <c r="U133" s="254" t="n"/>
    </row>
    <row r="134">
      <c r="A134" s="254" t="n"/>
      <c r="B134" s="254" t="n"/>
      <c r="C134" s="254" t="n"/>
      <c r="D134" s="254" t="n"/>
      <c r="E134" s="254" t="n"/>
      <c r="F134" s="254" t="n"/>
      <c r="G134" s="254" t="n"/>
      <c r="H134" s="254" t="n"/>
      <c r="I134" s="254" t="n"/>
      <c r="J134" s="254" t="n"/>
      <c r="K134" s="254" t="n"/>
      <c r="L134" s="254" t="n"/>
      <c r="M134" s="254" t="n"/>
      <c r="N134" s="254" t="n"/>
      <c r="O134" s="254" t="n"/>
      <c r="P134" s="254" t="n"/>
      <c r="Q134" s="254" t="n"/>
      <c r="R134" s="254" t="n"/>
      <c r="S134" s="254" t="n"/>
      <c r="T134" s="254" t="n"/>
      <c r="U134" s="254" t="n"/>
    </row>
    <row r="135">
      <c r="A135" s="254" t="n"/>
      <c r="B135" s="254" t="n"/>
      <c r="C135" s="254" t="n"/>
      <c r="D135" s="254" t="n"/>
      <c r="E135" s="254" t="n"/>
      <c r="F135" s="254" t="n"/>
      <c r="G135" s="254" t="n"/>
      <c r="H135" s="254" t="n"/>
      <c r="I135" s="254" t="n"/>
      <c r="J135" s="254" t="n"/>
      <c r="K135" s="254" t="n"/>
      <c r="L135" s="254" t="n"/>
      <c r="M135" s="254" t="n"/>
      <c r="N135" s="254" t="n"/>
      <c r="O135" s="254" t="n"/>
      <c r="P135" s="254" t="n"/>
      <c r="Q135" s="254" t="n"/>
      <c r="R135" s="254" t="n"/>
      <c r="S135" s="254" t="n"/>
      <c r="T135" s="254" t="n"/>
      <c r="U135" s="254" t="n"/>
    </row>
    <row r="136">
      <c r="A136" s="254" t="n"/>
      <c r="B136" s="254" t="n"/>
      <c r="C136" s="254" t="n"/>
      <c r="D136" s="254" t="n"/>
      <c r="E136" s="254" t="n"/>
      <c r="F136" s="254" t="n"/>
      <c r="G136" s="254" t="n"/>
      <c r="H136" s="254" t="n"/>
      <c r="I136" s="254" t="n"/>
      <c r="J136" s="254" t="n"/>
      <c r="K136" s="254" t="n"/>
      <c r="L136" s="254" t="n"/>
      <c r="M136" s="254" t="n"/>
      <c r="N136" s="254" t="n"/>
      <c r="O136" s="254" t="n"/>
      <c r="P136" s="254" t="n"/>
      <c r="Q136" s="254" t="n"/>
      <c r="R136" s="254" t="n"/>
      <c r="S136" s="254" t="n"/>
      <c r="T136" s="254" t="n"/>
      <c r="U136" s="254" t="n"/>
    </row>
    <row r="137">
      <c r="A137" s="254" t="n"/>
      <c r="B137" s="254" t="n"/>
      <c r="C137" s="254" t="n"/>
      <c r="D137" s="254" t="n"/>
      <c r="E137" s="254" t="n"/>
      <c r="F137" s="254" t="n"/>
      <c r="G137" s="254" t="n"/>
      <c r="H137" s="254" t="n"/>
      <c r="I137" s="254" t="n"/>
      <c r="J137" s="254" t="n"/>
      <c r="K137" s="254" t="n"/>
      <c r="L137" s="254" t="n"/>
      <c r="M137" s="254" t="n"/>
      <c r="N137" s="254" t="n"/>
      <c r="O137" s="254" t="n"/>
      <c r="P137" s="254" t="n"/>
      <c r="Q137" s="254" t="n"/>
      <c r="R137" s="254" t="n"/>
      <c r="S137" s="254" t="n"/>
      <c r="T137" s="254" t="n"/>
      <c r="U137" s="254" t="n"/>
    </row>
    <row r="138">
      <c r="A138" s="254" t="n"/>
      <c r="B138" s="254" t="n"/>
      <c r="C138" s="254" t="n"/>
      <c r="D138" s="254" t="n"/>
      <c r="E138" s="254" t="n"/>
      <c r="F138" s="254" t="n"/>
      <c r="G138" s="254" t="n"/>
      <c r="H138" s="254" t="n"/>
      <c r="I138" s="254" t="n"/>
      <c r="J138" s="254" t="n"/>
      <c r="K138" s="254" t="n"/>
      <c r="L138" s="254" t="n"/>
      <c r="M138" s="254" t="n"/>
      <c r="N138" s="254" t="n"/>
      <c r="O138" s="254" t="n"/>
      <c r="P138" s="254" t="n"/>
      <c r="Q138" s="254" t="n"/>
      <c r="R138" s="254" t="n"/>
      <c r="S138" s="254" t="n"/>
      <c r="T138" s="254" t="n"/>
      <c r="U138" s="254" t="n"/>
    </row>
    <row r="139">
      <c r="A139" s="254" t="n"/>
      <c r="B139" s="254" t="n"/>
      <c r="C139" s="254" t="n"/>
      <c r="D139" s="254" t="n"/>
      <c r="E139" s="254" t="n"/>
      <c r="F139" s="254" t="n"/>
      <c r="G139" s="254" t="n"/>
      <c r="H139" s="254" t="n"/>
      <c r="I139" s="254" t="n"/>
      <c r="J139" s="254" t="n"/>
      <c r="K139" s="254" t="n"/>
      <c r="L139" s="254" t="n"/>
      <c r="M139" s="254" t="n"/>
      <c r="N139" s="254" t="n"/>
      <c r="O139" s="254" t="n"/>
      <c r="P139" s="254" t="n"/>
      <c r="Q139" s="254" t="n"/>
      <c r="R139" s="254" t="n"/>
      <c r="S139" s="254" t="n"/>
      <c r="T139" s="254" t="n"/>
      <c r="U139" s="254" t="n"/>
    </row>
    <row r="140">
      <c r="A140" s="254" t="n"/>
      <c r="B140" s="254" t="n"/>
      <c r="C140" s="254" t="n"/>
      <c r="D140" s="254" t="n"/>
      <c r="E140" s="254" t="n"/>
      <c r="F140" s="254" t="n"/>
      <c r="G140" s="254" t="n"/>
      <c r="H140" s="254" t="n"/>
      <c r="I140" s="254" t="n"/>
      <c r="J140" s="254" t="n"/>
      <c r="K140" s="254" t="n"/>
      <c r="L140" s="254" t="n"/>
      <c r="M140" s="254" t="n"/>
      <c r="N140" s="254" t="n"/>
      <c r="O140" s="254" t="n"/>
      <c r="P140" s="254" t="n"/>
      <c r="Q140" s="254" t="n"/>
      <c r="R140" s="254" t="n"/>
      <c r="S140" s="254" t="n"/>
      <c r="T140" s="254" t="n"/>
      <c r="U140" s="254" t="n"/>
    </row>
    <row r="141">
      <c r="A141" s="254" t="n"/>
      <c r="B141" s="254" t="n"/>
      <c r="C141" s="254" t="n"/>
      <c r="D141" s="254" t="n"/>
      <c r="E141" s="254" t="n"/>
      <c r="F141" s="254" t="n"/>
      <c r="G141" s="254" t="n"/>
      <c r="H141" s="254" t="n"/>
      <c r="I141" s="254" t="n"/>
      <c r="J141" s="254" t="n"/>
      <c r="K141" s="254" t="n"/>
      <c r="L141" s="254" t="n"/>
      <c r="M141" s="254" t="n"/>
      <c r="N141" s="254" t="n"/>
      <c r="O141" s="254" t="n"/>
      <c r="P141" s="254" t="n"/>
      <c r="Q141" s="254" t="n"/>
      <c r="R141" s="254" t="n"/>
      <c r="S141" s="254" t="n"/>
      <c r="T141" s="254" t="n"/>
      <c r="U141" s="254" t="n"/>
    </row>
    <row r="142">
      <c r="A142" s="254" t="n"/>
      <c r="B142" s="254" t="n"/>
      <c r="C142" s="254" t="n"/>
      <c r="D142" s="254" t="n"/>
      <c r="E142" s="254" t="n"/>
      <c r="F142" s="254" t="n"/>
      <c r="G142" s="254" t="n"/>
      <c r="H142" s="254" t="n"/>
      <c r="I142" s="254" t="n"/>
      <c r="J142" s="254" t="n"/>
      <c r="K142" s="254" t="n"/>
      <c r="L142" s="254" t="n"/>
      <c r="M142" s="254" t="n"/>
      <c r="N142" s="254" t="n"/>
      <c r="O142" s="254" t="n"/>
      <c r="P142" s="254" t="n"/>
      <c r="Q142" s="254" t="n"/>
      <c r="R142" s="254" t="n"/>
      <c r="S142" s="254" t="n"/>
      <c r="T142" s="254" t="n"/>
      <c r="U142" s="254" t="n"/>
    </row>
    <row r="143">
      <c r="A143" s="254" t="n"/>
      <c r="B143" s="254" t="n"/>
      <c r="C143" s="254" t="n"/>
      <c r="D143" s="254" t="n"/>
      <c r="E143" s="254" t="n"/>
      <c r="F143" s="254" t="n"/>
      <c r="G143" s="254" t="n"/>
      <c r="H143" s="254" t="n"/>
      <c r="I143" s="254" t="n"/>
      <c r="J143" s="254" t="n"/>
      <c r="K143" s="254" t="n"/>
      <c r="L143" s="254" t="n"/>
      <c r="M143" s="254" t="n"/>
      <c r="N143" s="254" t="n"/>
      <c r="O143" s="254" t="n"/>
      <c r="P143" s="254" t="n"/>
      <c r="Q143" s="254" t="n"/>
      <c r="R143" s="254" t="n"/>
      <c r="S143" s="254" t="n"/>
      <c r="T143" s="254" t="n"/>
      <c r="U143" s="254" t="n"/>
    </row>
    <row r="144">
      <c r="A144" s="254" t="n"/>
      <c r="B144" s="254" t="n"/>
      <c r="C144" s="254" t="n"/>
      <c r="D144" s="254" t="n"/>
      <c r="E144" s="254" t="n"/>
      <c r="F144" s="254" t="n"/>
      <c r="G144" s="254" t="n"/>
      <c r="H144" s="254" t="n"/>
      <c r="I144" s="254" t="n"/>
      <c r="J144" s="254" t="n"/>
      <c r="K144" s="254" t="n"/>
      <c r="L144" s="254" t="n"/>
      <c r="M144" s="254" t="n"/>
      <c r="N144" s="254" t="n"/>
      <c r="O144" s="254" t="n"/>
      <c r="P144" s="254" t="n"/>
      <c r="Q144" s="254" t="n"/>
      <c r="R144" s="254" t="n"/>
      <c r="S144" s="254" t="n"/>
      <c r="T144" s="254" t="n"/>
      <c r="U144" s="254" t="n"/>
    </row>
    <row r="145">
      <c r="A145" s="254" t="n"/>
      <c r="B145" s="254" t="n"/>
      <c r="C145" s="254" t="n"/>
      <c r="D145" s="254" t="n"/>
      <c r="E145" s="254" t="n"/>
      <c r="F145" s="254" t="n"/>
      <c r="G145" s="254" t="n"/>
      <c r="H145" s="254" t="n"/>
      <c r="I145" s="254" t="n"/>
      <c r="J145" s="254" t="n"/>
      <c r="K145" s="254" t="n"/>
      <c r="L145" s="254" t="n"/>
      <c r="M145" s="254" t="n"/>
      <c r="N145" s="254" t="n"/>
      <c r="O145" s="254" t="n"/>
      <c r="P145" s="254" t="n"/>
      <c r="Q145" s="254" t="n"/>
      <c r="R145" s="254" t="n"/>
      <c r="S145" s="254" t="n"/>
      <c r="T145" s="254" t="n"/>
      <c r="U145" s="254" t="n"/>
    </row>
    <row r="146">
      <c r="A146" s="254" t="n"/>
      <c r="B146" s="254" t="n"/>
      <c r="C146" s="254" t="n"/>
      <c r="D146" s="254" t="n"/>
      <c r="E146" s="254" t="n"/>
      <c r="F146" s="254" t="n"/>
      <c r="G146" s="254" t="n"/>
      <c r="H146" s="254" t="n"/>
      <c r="I146" s="254" t="n"/>
      <c r="J146" s="254" t="n"/>
      <c r="K146" s="254" t="n"/>
      <c r="L146" s="254" t="n"/>
      <c r="M146" s="254" t="n"/>
      <c r="N146" s="254" t="n"/>
      <c r="O146" s="254" t="n"/>
      <c r="P146" s="254" t="n"/>
      <c r="Q146" s="254" t="n"/>
      <c r="R146" s="254" t="n"/>
      <c r="S146" s="254" t="n"/>
      <c r="T146" s="254" t="n"/>
      <c r="U146" s="254" t="n"/>
    </row>
    <row r="147">
      <c r="A147" s="254" t="n"/>
      <c r="B147" s="254" t="n"/>
      <c r="C147" s="254" t="n"/>
      <c r="D147" s="254" t="n"/>
      <c r="E147" s="254" t="n"/>
      <c r="F147" s="254" t="n"/>
      <c r="G147" s="254" t="n"/>
      <c r="H147" s="254" t="n"/>
      <c r="I147" s="254" t="n"/>
      <c r="J147" s="254" t="n"/>
      <c r="K147" s="254" t="n"/>
      <c r="L147" s="254" t="n"/>
      <c r="M147" s="254" t="n"/>
      <c r="N147" s="254" t="n"/>
      <c r="O147" s="254" t="n"/>
      <c r="P147" s="254" t="n"/>
      <c r="Q147" s="254" t="n"/>
      <c r="R147" s="254" t="n"/>
      <c r="S147" s="254" t="n"/>
      <c r="T147" s="254" t="n"/>
      <c r="U147" s="254" t="n"/>
    </row>
    <row r="148">
      <c r="A148" s="254" t="n"/>
      <c r="B148" s="254" t="n"/>
      <c r="C148" s="254" t="n"/>
      <c r="D148" s="254" t="n"/>
      <c r="E148" s="254" t="n"/>
      <c r="F148" s="254" t="n"/>
      <c r="G148" s="254" t="n"/>
      <c r="H148" s="254" t="n"/>
      <c r="I148" s="254" t="n"/>
      <c r="J148" s="254" t="n"/>
      <c r="K148" s="254" t="n"/>
      <c r="L148" s="254" t="n"/>
      <c r="M148" s="254" t="n"/>
      <c r="N148" s="254" t="n"/>
      <c r="O148" s="254" t="n"/>
      <c r="P148" s="254" t="n"/>
      <c r="Q148" s="254" t="n"/>
      <c r="R148" s="254" t="n"/>
      <c r="S148" s="254" t="n"/>
      <c r="T148" s="254" t="n"/>
      <c r="U148" s="254" t="n"/>
    </row>
    <row r="149">
      <c r="A149" s="254" t="n"/>
      <c r="B149" s="254" t="n"/>
      <c r="C149" s="254" t="n"/>
      <c r="D149" s="254" t="n"/>
      <c r="E149" s="254" t="n"/>
      <c r="F149" s="254" t="n"/>
      <c r="G149" s="254" t="n"/>
      <c r="H149" s="254" t="n"/>
      <c r="I149" s="254" t="n"/>
      <c r="J149" s="254" t="n"/>
      <c r="K149" s="254" t="n"/>
      <c r="L149" s="254" t="n"/>
      <c r="M149" s="254" t="n"/>
      <c r="N149" s="254" t="n"/>
      <c r="O149" s="254" t="n"/>
      <c r="P149" s="254" t="n"/>
      <c r="Q149" s="254" t="n"/>
      <c r="R149" s="254" t="n"/>
      <c r="S149" s="254" t="n"/>
      <c r="T149" s="254" t="n"/>
      <c r="U149" s="254" t="n"/>
    </row>
    <row r="150">
      <c r="A150" s="254" t="n"/>
      <c r="B150" s="254" t="n"/>
      <c r="C150" s="254" t="n"/>
      <c r="D150" s="254" t="n"/>
      <c r="E150" s="254" t="n"/>
      <c r="F150" s="254" t="n"/>
      <c r="G150" s="254" t="n"/>
      <c r="H150" s="254" t="n"/>
      <c r="I150" s="254" t="n"/>
      <c r="J150" s="254" t="n"/>
      <c r="K150" s="254" t="n"/>
      <c r="L150" s="254" t="n"/>
      <c r="M150" s="254" t="n"/>
      <c r="N150" s="254" t="n"/>
      <c r="O150" s="254" t="n"/>
      <c r="P150" s="254" t="n"/>
      <c r="Q150" s="254" t="n"/>
      <c r="R150" s="254" t="n"/>
      <c r="S150" s="254" t="n"/>
      <c r="T150" s="254" t="n"/>
      <c r="U150" s="254" t="n"/>
    </row>
    <row r="151">
      <c r="A151" s="254" t="n"/>
      <c r="B151" s="254" t="n"/>
      <c r="C151" s="254" t="n"/>
      <c r="D151" s="254" t="n"/>
      <c r="E151" s="254" t="n"/>
      <c r="F151" s="254" t="n"/>
      <c r="G151" s="254" t="n"/>
      <c r="H151" s="254" t="n"/>
      <c r="I151" s="254" t="n"/>
      <c r="J151" s="254" t="n"/>
      <c r="K151" s="254" t="n"/>
      <c r="L151" s="254" t="n"/>
      <c r="M151" s="254" t="n"/>
      <c r="N151" s="254" t="n"/>
      <c r="O151" s="254" t="n"/>
      <c r="P151" s="254" t="n"/>
      <c r="Q151" s="254" t="n"/>
      <c r="R151" s="254" t="n"/>
      <c r="S151" s="254" t="n"/>
      <c r="T151" s="254" t="n"/>
      <c r="U151" s="254" t="n"/>
    </row>
    <row r="152">
      <c r="A152" s="254" t="n"/>
      <c r="B152" s="254" t="n"/>
      <c r="C152" s="254" t="n"/>
      <c r="D152" s="254" t="n"/>
      <c r="E152" s="254" t="n"/>
      <c r="F152" s="254" t="n"/>
      <c r="G152" s="254" t="n"/>
      <c r="H152" s="254" t="n"/>
      <c r="I152" s="254" t="n"/>
      <c r="J152" s="254" t="n"/>
      <c r="K152" s="254" t="n"/>
      <c r="L152" s="254" t="n"/>
      <c r="M152" s="254" t="n"/>
      <c r="N152" s="254" t="n"/>
      <c r="O152" s="254" t="n"/>
      <c r="P152" s="254" t="n"/>
      <c r="Q152" s="254" t="n"/>
      <c r="R152" s="254" t="n"/>
      <c r="S152" s="254" t="n"/>
      <c r="T152" s="254" t="n"/>
      <c r="U152" s="254" t="n"/>
    </row>
    <row r="153">
      <c r="A153" s="254" t="n"/>
      <c r="B153" s="254" t="n"/>
      <c r="C153" s="254" t="n"/>
      <c r="D153" s="254" t="n"/>
      <c r="E153" s="254" t="n"/>
      <c r="F153" s="254" t="n"/>
      <c r="G153" s="254" t="n"/>
      <c r="H153" s="254" t="n"/>
      <c r="I153" s="254" t="n"/>
      <c r="J153" s="254" t="n"/>
      <c r="K153" s="254" t="n"/>
      <c r="L153" s="254" t="n"/>
      <c r="M153" s="254" t="n"/>
      <c r="N153" s="254" t="n"/>
      <c r="O153" s="254" t="n"/>
      <c r="P153" s="254" t="n"/>
      <c r="Q153" s="254" t="n"/>
      <c r="R153" s="254" t="n"/>
      <c r="S153" s="254" t="n"/>
      <c r="T153" s="254" t="n"/>
      <c r="U153" s="254" t="n"/>
    </row>
    <row r="154">
      <c r="A154" s="254" t="n"/>
      <c r="B154" s="254" t="n"/>
      <c r="C154" s="254" t="n"/>
      <c r="D154" s="254" t="n"/>
      <c r="E154" s="254" t="n"/>
      <c r="F154" s="254" t="n"/>
      <c r="G154" s="254" t="n"/>
      <c r="H154" s="254" t="n"/>
      <c r="I154" s="254" t="n"/>
      <c r="J154" s="254" t="n"/>
      <c r="K154" s="254" t="n"/>
      <c r="L154" s="254" t="n"/>
      <c r="M154" s="254" t="n"/>
      <c r="N154" s="254" t="n"/>
      <c r="O154" s="254" t="n"/>
      <c r="P154" s="254" t="n"/>
      <c r="Q154" s="254" t="n"/>
      <c r="R154" s="254" t="n"/>
      <c r="S154" s="254" t="n"/>
      <c r="T154" s="254" t="n"/>
      <c r="U154" s="254" t="n"/>
    </row>
    <row r="155">
      <c r="A155" s="254" t="n"/>
      <c r="B155" s="254" t="n"/>
      <c r="C155" s="254" t="n"/>
      <c r="D155" s="254" t="n"/>
      <c r="E155" s="254" t="n"/>
      <c r="F155" s="254" t="n"/>
      <c r="G155" s="254" t="n"/>
      <c r="H155" s="254" t="n"/>
      <c r="I155" s="254" t="n"/>
      <c r="J155" s="254" t="n"/>
      <c r="K155" s="254" t="n"/>
      <c r="L155" s="254" t="n"/>
      <c r="M155" s="254" t="n"/>
      <c r="N155" s="254" t="n"/>
      <c r="O155" s="254" t="n"/>
      <c r="P155" s="254" t="n"/>
      <c r="Q155" s="254" t="n"/>
      <c r="R155" s="254" t="n"/>
      <c r="S155" s="254" t="n"/>
      <c r="T155" s="254" t="n"/>
      <c r="U155" s="254" t="n"/>
    </row>
    <row r="156">
      <c r="A156" s="254" t="n"/>
      <c r="B156" s="254" t="n"/>
      <c r="C156" s="254" t="n"/>
      <c r="D156" s="254" t="n"/>
      <c r="E156" s="254" t="n"/>
      <c r="F156" s="254" t="n"/>
      <c r="G156" s="254" t="n"/>
      <c r="H156" s="254" t="n"/>
      <c r="I156" s="254" t="n"/>
      <c r="J156" s="254" t="n"/>
      <c r="K156" s="254" t="n"/>
      <c r="L156" s="254" t="n"/>
      <c r="M156" s="254" t="n"/>
      <c r="N156" s="254" t="n"/>
      <c r="O156" s="254" t="n"/>
      <c r="P156" s="254" t="n"/>
      <c r="Q156" s="254" t="n"/>
      <c r="R156" s="254" t="n"/>
      <c r="S156" s="254" t="n"/>
      <c r="T156" s="254" t="n"/>
      <c r="U156" s="254" t="n"/>
    </row>
    <row r="157">
      <c r="A157" s="254" t="n"/>
      <c r="B157" s="254" t="n"/>
      <c r="C157" s="254" t="n"/>
      <c r="D157" s="254" t="n"/>
      <c r="E157" s="254" t="n"/>
      <c r="F157" s="254" t="n"/>
      <c r="G157" s="254" t="n"/>
      <c r="H157" s="254" t="n"/>
      <c r="I157" s="254" t="n"/>
      <c r="J157" s="254" t="n"/>
      <c r="K157" s="254" t="n"/>
      <c r="L157" s="254" t="n"/>
      <c r="M157" s="254" t="n"/>
      <c r="N157" s="254" t="n"/>
      <c r="O157" s="254" t="n"/>
      <c r="P157" s="254" t="n"/>
      <c r="Q157" s="254" t="n"/>
      <c r="R157" s="254" t="n"/>
      <c r="S157" s="254" t="n"/>
      <c r="T157" s="254" t="n"/>
      <c r="U157" s="254" t="n"/>
    </row>
    <row r="158">
      <c r="A158" s="254" t="n"/>
      <c r="B158" s="254" t="n"/>
      <c r="C158" s="254" t="n"/>
      <c r="D158" s="254" t="n"/>
      <c r="E158" s="254" t="n"/>
      <c r="F158" s="254" t="n"/>
      <c r="G158" s="254" t="n"/>
      <c r="H158" s="254" t="n"/>
      <c r="I158" s="254" t="n"/>
      <c r="J158" s="254" t="n"/>
      <c r="K158" s="254" t="n"/>
      <c r="L158" s="254" t="n"/>
      <c r="M158" s="254" t="n"/>
      <c r="N158" s="254" t="n"/>
      <c r="O158" s="254" t="n"/>
      <c r="P158" s="254" t="n"/>
      <c r="Q158" s="254" t="n"/>
      <c r="R158" s="254" t="n"/>
      <c r="S158" s="254" t="n"/>
      <c r="T158" s="254" t="n"/>
      <c r="U158" s="254" t="n"/>
    </row>
    <row r="159">
      <c r="A159" s="254" t="n"/>
      <c r="B159" s="254" t="n"/>
      <c r="C159" s="254" t="n"/>
      <c r="D159" s="254" t="n"/>
      <c r="E159" s="254" t="n"/>
      <c r="F159" s="254" t="n"/>
      <c r="G159" s="254" t="n"/>
      <c r="H159" s="254" t="n"/>
      <c r="I159" s="254" t="n"/>
      <c r="J159" s="254" t="n"/>
      <c r="K159" s="254" t="n"/>
      <c r="L159" s="254" t="n"/>
      <c r="M159" s="254" t="n"/>
      <c r="N159" s="254" t="n"/>
      <c r="O159" s="254" t="n"/>
      <c r="P159" s="254" t="n"/>
      <c r="Q159" s="254" t="n"/>
      <c r="R159" s="254" t="n"/>
      <c r="S159" s="254" t="n"/>
      <c r="T159" s="254" t="n"/>
      <c r="U159" s="254" t="n"/>
    </row>
    <row r="160">
      <c r="A160" s="254" t="n"/>
      <c r="B160" s="254" t="n"/>
      <c r="C160" s="254" t="n"/>
      <c r="D160" s="254" t="n"/>
      <c r="E160" s="254" t="n"/>
      <c r="F160" s="254" t="n"/>
      <c r="G160" s="254" t="n"/>
      <c r="H160" s="254" t="n"/>
      <c r="I160" s="254" t="n"/>
      <c r="J160" s="254" t="n"/>
      <c r="K160" s="254" t="n"/>
      <c r="L160" s="254" t="n"/>
      <c r="M160" s="254" t="n"/>
      <c r="N160" s="254" t="n"/>
      <c r="O160" s="254" t="n"/>
      <c r="P160" s="254" t="n"/>
      <c r="Q160" s="254" t="n"/>
      <c r="R160" s="254" t="n"/>
      <c r="S160" s="254" t="n"/>
      <c r="T160" s="254" t="n"/>
      <c r="U160" s="254" t="n"/>
    </row>
    <row r="161">
      <c r="A161" s="254" t="n"/>
      <c r="B161" s="254" t="n"/>
      <c r="C161" s="254" t="n"/>
      <c r="D161" s="254" t="n"/>
      <c r="E161" s="254" t="n"/>
      <c r="F161" s="254" t="n"/>
      <c r="G161" s="254" t="n"/>
      <c r="H161" s="254" t="n"/>
      <c r="I161" s="254" t="n"/>
      <c r="J161" s="254" t="n"/>
      <c r="K161" s="254" t="n"/>
      <c r="L161" s="254" t="n"/>
      <c r="M161" s="254" t="n"/>
      <c r="N161" s="254" t="n"/>
      <c r="O161" s="254" t="n"/>
      <c r="P161" s="254" t="n"/>
      <c r="Q161" s="254" t="n"/>
      <c r="R161" s="254" t="n"/>
      <c r="S161" s="254" t="n"/>
      <c r="T161" s="254" t="n"/>
      <c r="U161" s="254" t="n"/>
    </row>
    <row r="162">
      <c r="A162" s="254" t="n"/>
      <c r="B162" s="254" t="n"/>
      <c r="C162" s="254" t="n"/>
      <c r="D162" s="254" t="n"/>
      <c r="E162" s="254" t="n"/>
      <c r="F162" s="254" t="n"/>
      <c r="G162" s="254" t="n"/>
      <c r="H162" s="254" t="n"/>
      <c r="I162" s="254" t="n"/>
      <c r="J162" s="254" t="n"/>
      <c r="K162" s="254" t="n"/>
      <c r="L162" s="254" t="n"/>
      <c r="M162" s="254" t="n"/>
      <c r="N162" s="254" t="n"/>
      <c r="O162" s="254" t="n"/>
      <c r="P162" s="254" t="n"/>
      <c r="Q162" s="254" t="n"/>
      <c r="R162" s="254" t="n"/>
      <c r="S162" s="254" t="n"/>
      <c r="T162" s="254" t="n"/>
      <c r="U162" s="254" t="n"/>
    </row>
    <row r="163">
      <c r="A163" s="254" t="n"/>
      <c r="B163" s="254" t="n"/>
      <c r="C163" s="254" t="n"/>
      <c r="D163" s="254" t="n"/>
      <c r="E163" s="254" t="n"/>
      <c r="F163" s="254" t="n"/>
      <c r="G163" s="254" t="n"/>
      <c r="H163" s="254" t="n"/>
      <c r="I163" s="254" t="n"/>
      <c r="J163" s="254" t="n"/>
      <c r="K163" s="254" t="n"/>
      <c r="L163" s="254" t="n"/>
      <c r="M163" s="254" t="n"/>
      <c r="N163" s="254" t="n"/>
      <c r="O163" s="254" t="n"/>
      <c r="P163" s="254" t="n"/>
      <c r="Q163" s="254" t="n"/>
      <c r="R163" s="254" t="n"/>
      <c r="S163" s="254" t="n"/>
      <c r="T163" s="254" t="n"/>
      <c r="U163" s="254" t="n"/>
    </row>
    <row r="164">
      <c r="A164" s="254" t="n"/>
      <c r="B164" s="254" t="n"/>
      <c r="C164" s="254" t="n"/>
      <c r="D164" s="254" t="n"/>
      <c r="E164" s="254" t="n"/>
      <c r="F164" s="254" t="n"/>
      <c r="G164" s="254" t="n"/>
      <c r="H164" s="254" t="n"/>
      <c r="I164" s="254" t="n"/>
      <c r="J164" s="254" t="n"/>
      <c r="K164" s="254" t="n"/>
      <c r="L164" s="254" t="n"/>
      <c r="M164" s="254" t="n"/>
      <c r="N164" s="254" t="n"/>
      <c r="O164" s="254" t="n"/>
      <c r="P164" s="254" t="n"/>
      <c r="Q164" s="254" t="n"/>
      <c r="R164" s="254" t="n"/>
      <c r="S164" s="254" t="n"/>
      <c r="T164" s="254" t="n"/>
      <c r="U164" s="254" t="n"/>
    </row>
    <row r="165">
      <c r="A165" s="254" t="n"/>
      <c r="B165" s="254" t="n"/>
      <c r="C165" s="254" t="n"/>
      <c r="D165" s="254" t="n"/>
      <c r="E165" s="254" t="n"/>
      <c r="F165" s="254" t="n"/>
      <c r="G165" s="254" t="n"/>
      <c r="H165" s="254" t="n"/>
      <c r="I165" s="254" t="n"/>
      <c r="J165" s="254" t="n"/>
      <c r="K165" s="254" t="n"/>
      <c r="L165" s="254" t="n"/>
      <c r="M165" s="254" t="n"/>
      <c r="N165" s="254" t="n"/>
      <c r="O165" s="254" t="n"/>
      <c r="P165" s="254" t="n"/>
      <c r="Q165" s="254" t="n"/>
      <c r="R165" s="254" t="n"/>
      <c r="S165" s="254" t="n"/>
      <c r="T165" s="254" t="n"/>
      <c r="U165" s="254" t="n"/>
    </row>
    <row r="166">
      <c r="A166" s="254" t="n"/>
      <c r="B166" s="254" t="n"/>
      <c r="C166" s="254" t="n"/>
      <c r="D166" s="254" t="n"/>
      <c r="E166" s="254" t="n"/>
      <c r="F166" s="254" t="n"/>
      <c r="G166" s="254" t="n"/>
      <c r="H166" s="254" t="n"/>
      <c r="I166" s="254" t="n"/>
      <c r="J166" s="254" t="n"/>
      <c r="K166" s="254" t="n"/>
      <c r="L166" s="254" t="n"/>
      <c r="M166" s="254" t="n"/>
      <c r="N166" s="254" t="n"/>
      <c r="O166" s="254" t="n"/>
      <c r="P166" s="254" t="n"/>
      <c r="Q166" s="254" t="n"/>
      <c r="R166" s="254" t="n"/>
      <c r="S166" s="254" t="n"/>
      <c r="T166" s="254" t="n"/>
      <c r="U166" s="254" t="n"/>
    </row>
    <row r="167">
      <c r="A167" s="254" t="n"/>
      <c r="B167" s="254" t="n"/>
      <c r="C167" s="254" t="n"/>
      <c r="D167" s="254" t="n"/>
      <c r="E167" s="254" t="n"/>
      <c r="F167" s="254" t="n"/>
      <c r="G167" s="254" t="n"/>
      <c r="H167" s="254" t="n"/>
      <c r="I167" s="254" t="n"/>
      <c r="J167" s="254" t="n"/>
      <c r="K167" s="254" t="n"/>
      <c r="L167" s="254" t="n"/>
      <c r="M167" s="254" t="n"/>
      <c r="N167" s="254" t="n"/>
      <c r="O167" s="254" t="n"/>
      <c r="P167" s="254" t="n"/>
      <c r="Q167" s="254" t="n"/>
      <c r="R167" s="254" t="n"/>
      <c r="S167" s="254" t="n"/>
      <c r="T167" s="254" t="n"/>
      <c r="U167" s="254" t="n"/>
    </row>
    <row r="168">
      <c r="A168" s="254" t="n"/>
      <c r="B168" s="254" t="n"/>
      <c r="C168" s="254" t="n"/>
      <c r="D168" s="254" t="n"/>
      <c r="E168" s="254" t="n"/>
      <c r="F168" s="254" t="n"/>
      <c r="G168" s="254" t="n"/>
      <c r="H168" s="254" t="n"/>
      <c r="I168" s="254" t="n"/>
      <c r="J168" s="254" t="n"/>
      <c r="K168" s="254" t="n"/>
      <c r="L168" s="254" t="n"/>
      <c r="M168" s="254" t="n"/>
      <c r="N168" s="254" t="n"/>
      <c r="O168" s="254" t="n"/>
      <c r="P168" s="254" t="n"/>
      <c r="Q168" s="254" t="n"/>
      <c r="R168" s="254" t="n"/>
      <c r="S168" s="254" t="n"/>
      <c r="T168" s="254" t="n"/>
      <c r="U168" s="254" t="n"/>
    </row>
    <row r="169">
      <c r="A169" s="254" t="n"/>
      <c r="B169" s="254" t="n"/>
      <c r="C169" s="254" t="n"/>
      <c r="D169" s="254" t="n"/>
      <c r="E169" s="254" t="n"/>
      <c r="F169" s="254" t="n"/>
      <c r="G169" s="254" t="n"/>
      <c r="H169" s="254" t="n"/>
      <c r="I169" s="254" t="n"/>
      <c r="J169" s="254" t="n"/>
      <c r="K169" s="254" t="n"/>
      <c r="L169" s="254" t="n"/>
      <c r="M169" s="254" t="n"/>
      <c r="N169" s="254" t="n"/>
      <c r="O169" s="254" t="n"/>
      <c r="P169" s="254" t="n"/>
      <c r="Q169" s="254" t="n"/>
      <c r="R169" s="254" t="n"/>
      <c r="S169" s="254" t="n"/>
      <c r="T169" s="254" t="n"/>
      <c r="U169" s="254" t="n"/>
    </row>
    <row r="170">
      <c r="A170" s="254" t="n"/>
      <c r="B170" s="254" t="n"/>
      <c r="C170" s="254" t="n"/>
      <c r="D170" s="254" t="n"/>
      <c r="E170" s="254" t="n"/>
      <c r="F170" s="254" t="n"/>
      <c r="G170" s="254" t="n"/>
      <c r="H170" s="254" t="n"/>
      <c r="I170" s="254" t="n"/>
      <c r="J170" s="254" t="n"/>
      <c r="K170" s="254" t="n"/>
      <c r="L170" s="254" t="n"/>
      <c r="M170" s="254" t="n"/>
      <c r="N170" s="254" t="n"/>
      <c r="O170" s="254" t="n"/>
      <c r="P170" s="254" t="n"/>
      <c r="Q170" s="254" t="n"/>
      <c r="R170" s="254" t="n"/>
      <c r="S170" s="254" t="n"/>
      <c r="T170" s="254" t="n"/>
      <c r="U170" s="254" t="n"/>
    </row>
    <row r="171">
      <c r="A171" s="254" t="n"/>
      <c r="B171" s="254" t="n"/>
      <c r="C171" s="254" t="n"/>
      <c r="D171" s="254" t="n"/>
      <c r="E171" s="254" t="n"/>
      <c r="F171" s="254" t="n"/>
      <c r="G171" s="254" t="n"/>
      <c r="H171" s="254" t="n"/>
      <c r="I171" s="254" t="n"/>
      <c r="J171" s="254" t="n"/>
      <c r="K171" s="254" t="n"/>
      <c r="L171" s="254" t="n"/>
      <c r="M171" s="254" t="n"/>
      <c r="N171" s="254" t="n"/>
      <c r="O171" s="254" t="n"/>
      <c r="P171" s="254" t="n"/>
      <c r="Q171" s="254" t="n"/>
      <c r="R171" s="254" t="n"/>
      <c r="S171" s="254" t="n"/>
      <c r="T171" s="254" t="n"/>
      <c r="U171" s="254" t="n"/>
    </row>
    <row r="172">
      <c r="A172" s="254" t="n"/>
      <c r="B172" s="254" t="n"/>
      <c r="C172" s="254" t="n"/>
      <c r="D172" s="254" t="n"/>
      <c r="E172" s="254" t="n"/>
      <c r="F172" s="254" t="n"/>
      <c r="G172" s="254" t="n"/>
      <c r="H172" s="254" t="n"/>
      <c r="I172" s="254" t="n"/>
      <c r="J172" s="254" t="n"/>
      <c r="K172" s="254" t="n"/>
      <c r="L172" s="254" t="n"/>
      <c r="M172" s="254" t="n"/>
      <c r="N172" s="254" t="n"/>
      <c r="O172" s="254" t="n"/>
      <c r="P172" s="254" t="n"/>
      <c r="Q172" s="254" t="n"/>
      <c r="R172" s="254" t="n"/>
      <c r="S172" s="254" t="n"/>
      <c r="T172" s="254" t="n"/>
      <c r="U172" s="254" t="n"/>
    </row>
    <row r="173">
      <c r="A173" s="254" t="n"/>
      <c r="B173" s="254" t="n"/>
      <c r="C173" s="254" t="n"/>
      <c r="D173" s="254" t="n"/>
      <c r="E173" s="254" t="n"/>
      <c r="F173" s="254" t="n"/>
      <c r="G173" s="254" t="n"/>
      <c r="H173" s="254" t="n"/>
      <c r="I173" s="254" t="n"/>
      <c r="J173" s="254" t="n"/>
      <c r="K173" s="254" t="n"/>
      <c r="L173" s="254" t="n"/>
      <c r="M173" s="254" t="n"/>
      <c r="N173" s="254" t="n"/>
      <c r="O173" s="254" t="n"/>
      <c r="P173" s="254" t="n"/>
      <c r="Q173" s="254" t="n"/>
      <c r="R173" s="254" t="n"/>
      <c r="S173" s="254" t="n"/>
      <c r="T173" s="254" t="n"/>
      <c r="U173" s="254" t="n"/>
    </row>
    <row r="174">
      <c r="A174" s="254" t="n"/>
      <c r="B174" s="254" t="n"/>
      <c r="C174" s="254" t="n"/>
      <c r="D174" s="254" t="n"/>
      <c r="E174" s="254" t="n"/>
      <c r="F174" s="254" t="n"/>
      <c r="G174" s="254" t="n"/>
      <c r="H174" s="254" t="n"/>
      <c r="I174" s="254" t="n"/>
      <c r="J174" s="254" t="n"/>
      <c r="K174" s="254" t="n"/>
      <c r="L174" s="254" t="n"/>
      <c r="M174" s="254" t="n"/>
      <c r="N174" s="254" t="n"/>
      <c r="O174" s="254" t="n"/>
      <c r="P174" s="254" t="n"/>
      <c r="Q174" s="254" t="n"/>
      <c r="R174" s="254" t="n"/>
      <c r="S174" s="254" t="n"/>
      <c r="T174" s="254" t="n"/>
      <c r="U174" s="254" t="n"/>
    </row>
    <row r="175">
      <c r="A175" s="254" t="n"/>
      <c r="B175" s="254" t="n"/>
      <c r="C175" s="254" t="n"/>
      <c r="D175" s="254" t="n"/>
      <c r="E175" s="254" t="n"/>
      <c r="F175" s="254" t="n"/>
      <c r="G175" s="254" t="n"/>
      <c r="H175" s="254" t="n"/>
      <c r="I175" s="254" t="n"/>
      <c r="J175" s="254" t="n"/>
      <c r="K175" s="254" t="n"/>
      <c r="L175" s="254" t="n"/>
      <c r="M175" s="254" t="n"/>
      <c r="N175" s="254" t="n"/>
      <c r="O175" s="254" t="n"/>
      <c r="P175" s="254" t="n"/>
      <c r="Q175" s="254" t="n"/>
      <c r="R175" s="254" t="n"/>
      <c r="S175" s="254" t="n"/>
      <c r="T175" s="254" t="n"/>
      <c r="U175" s="254" t="n"/>
    </row>
    <row r="176">
      <c r="A176" s="254" t="n"/>
      <c r="B176" s="254" t="n"/>
      <c r="C176" s="254" t="n"/>
      <c r="D176" s="254" t="n"/>
      <c r="E176" s="254" t="n"/>
      <c r="F176" s="254" t="n"/>
      <c r="G176" s="254" t="n"/>
      <c r="H176" s="254" t="n"/>
      <c r="I176" s="254" t="n"/>
      <c r="J176" s="254" t="n"/>
      <c r="K176" s="254" t="n"/>
      <c r="L176" s="254" t="n"/>
      <c r="M176" s="254" t="n"/>
      <c r="N176" s="254" t="n"/>
      <c r="O176" s="254" t="n"/>
      <c r="P176" s="254" t="n"/>
      <c r="Q176" s="254" t="n"/>
      <c r="R176" s="254" t="n"/>
      <c r="S176" s="254" t="n"/>
      <c r="T176" s="254" t="n"/>
      <c r="U176" s="254" t="n"/>
    </row>
    <row r="177">
      <c r="A177" s="254" t="n"/>
      <c r="B177" s="254" t="n"/>
      <c r="C177" s="254" t="n"/>
      <c r="D177" s="254" t="n"/>
      <c r="E177" s="254" t="n"/>
      <c r="F177" s="254" t="n"/>
      <c r="G177" s="254" t="n"/>
      <c r="H177" s="254" t="n"/>
      <c r="I177" s="254" t="n"/>
      <c r="J177" s="254" t="n"/>
      <c r="K177" s="254" t="n"/>
      <c r="L177" s="254" t="n"/>
      <c r="M177" s="254" t="n"/>
      <c r="N177" s="254" t="n"/>
      <c r="O177" s="254" t="n"/>
      <c r="P177" s="254" t="n"/>
      <c r="Q177" s="254" t="n"/>
      <c r="R177" s="254" t="n"/>
      <c r="S177" s="254" t="n"/>
      <c r="T177" s="254" t="n"/>
      <c r="U177" s="254" t="n"/>
    </row>
    <row r="178">
      <c r="A178" s="254" t="n"/>
      <c r="B178" s="254" t="n"/>
      <c r="C178" s="254" t="n"/>
      <c r="D178" s="254" t="n"/>
      <c r="E178" s="254" t="n"/>
      <c r="F178" s="254" t="n"/>
      <c r="G178" s="254" t="n"/>
      <c r="H178" s="254" t="n"/>
      <c r="I178" s="254" t="n"/>
      <c r="J178" s="254" t="n"/>
      <c r="K178" s="254" t="n"/>
      <c r="L178" s="254" t="n"/>
      <c r="M178" s="254" t="n"/>
      <c r="N178" s="254" t="n"/>
      <c r="O178" s="254" t="n"/>
      <c r="P178" s="254" t="n"/>
      <c r="Q178" s="254" t="n"/>
      <c r="R178" s="254" t="n"/>
      <c r="S178" s="254" t="n"/>
      <c r="T178" s="254" t="n"/>
      <c r="U178" s="254" t="n"/>
    </row>
    <row r="179">
      <c r="A179" s="254" t="n"/>
      <c r="B179" s="254" t="n"/>
      <c r="C179" s="254" t="n"/>
      <c r="D179" s="254" t="n"/>
      <c r="E179" s="254" t="n"/>
      <c r="F179" s="254" t="n"/>
      <c r="G179" s="254" t="n"/>
      <c r="H179" s="254" t="n"/>
      <c r="I179" s="254" t="n"/>
      <c r="J179" s="254" t="n"/>
      <c r="K179" s="254" t="n"/>
      <c r="L179" s="254" t="n"/>
      <c r="M179" s="254" t="n"/>
      <c r="N179" s="254" t="n"/>
      <c r="O179" s="254" t="n"/>
      <c r="P179" s="254" t="n"/>
      <c r="Q179" s="254" t="n"/>
      <c r="R179" s="254" t="n"/>
      <c r="S179" s="254" t="n"/>
      <c r="T179" s="254" t="n"/>
      <c r="U179" s="254" t="n"/>
    </row>
    <row r="180">
      <c r="A180" s="254" t="n"/>
      <c r="B180" s="254" t="n"/>
      <c r="C180" s="254" t="n"/>
      <c r="D180" s="254" t="n"/>
      <c r="E180" s="254" t="n"/>
      <c r="F180" s="254" t="n"/>
      <c r="G180" s="254" t="n"/>
      <c r="H180" s="254" t="n"/>
      <c r="I180" s="254" t="n"/>
      <c r="J180" s="254" t="n"/>
      <c r="K180" s="254" t="n"/>
      <c r="L180" s="254" t="n"/>
      <c r="M180" s="254" t="n"/>
      <c r="N180" s="254" t="n"/>
      <c r="O180" s="254" t="n"/>
      <c r="P180" s="254" t="n"/>
      <c r="Q180" s="254" t="n"/>
      <c r="R180" s="254" t="n"/>
      <c r="S180" s="254" t="n"/>
      <c r="T180" s="254" t="n"/>
      <c r="U180" s="254" t="n"/>
    </row>
    <row r="181">
      <c r="A181" s="254" t="n"/>
      <c r="B181" s="254" t="n"/>
      <c r="C181" s="254" t="n"/>
      <c r="D181" s="254" t="n"/>
      <c r="E181" s="254" t="n"/>
      <c r="F181" s="254" t="n"/>
      <c r="G181" s="254" t="n"/>
      <c r="H181" s="254" t="n"/>
      <c r="I181" s="254" t="n"/>
      <c r="J181" s="254" t="n"/>
      <c r="K181" s="254" t="n"/>
      <c r="L181" s="254" t="n"/>
      <c r="M181" s="254" t="n"/>
      <c r="N181" s="254" t="n"/>
      <c r="O181" s="254" t="n"/>
      <c r="P181" s="254" t="n"/>
      <c r="Q181" s="254" t="n"/>
      <c r="R181" s="254" t="n"/>
      <c r="S181" s="254" t="n"/>
      <c r="T181" s="254" t="n"/>
      <c r="U181" s="254" t="n"/>
    </row>
    <row r="182">
      <c r="A182" s="254" t="n"/>
      <c r="B182" s="254" t="n"/>
      <c r="C182" s="254" t="n"/>
      <c r="D182" s="254" t="n"/>
      <c r="E182" s="254" t="n"/>
      <c r="F182" s="254" t="n"/>
      <c r="G182" s="254" t="n"/>
      <c r="H182" s="254" t="n"/>
      <c r="I182" s="254" t="n"/>
      <c r="J182" s="254" t="n"/>
      <c r="K182" s="254" t="n"/>
      <c r="L182" s="254" t="n"/>
      <c r="M182" s="254" t="n"/>
      <c r="N182" s="254" t="n"/>
      <c r="O182" s="254" t="n"/>
      <c r="P182" s="254" t="n"/>
      <c r="Q182" s="254" t="n"/>
      <c r="R182" s="254" t="n"/>
      <c r="S182" s="254" t="n"/>
      <c r="T182" s="254" t="n"/>
      <c r="U182" s="254" t="n"/>
    </row>
    <row r="183">
      <c r="A183" s="254" t="n"/>
      <c r="B183" s="254" t="n"/>
      <c r="C183" s="254" t="n"/>
      <c r="D183" s="254" t="n"/>
      <c r="E183" s="254" t="n"/>
      <c r="F183" s="254" t="n"/>
      <c r="G183" s="254" t="n"/>
      <c r="H183" s="254" t="n"/>
      <c r="I183" s="254" t="n"/>
      <c r="J183" s="254" t="n"/>
      <c r="K183" s="254" t="n"/>
      <c r="L183" s="254" t="n"/>
      <c r="M183" s="254" t="n"/>
      <c r="N183" s="254" t="n"/>
      <c r="O183" s="254" t="n"/>
      <c r="P183" s="254" t="n"/>
      <c r="Q183" s="254" t="n"/>
      <c r="R183" s="254" t="n"/>
      <c r="S183" s="254" t="n"/>
      <c r="T183" s="254" t="n"/>
      <c r="U183" s="254" t="n"/>
    </row>
    <row r="184">
      <c r="A184" s="254" t="n"/>
      <c r="B184" s="254" t="n"/>
      <c r="C184" s="254" t="n"/>
      <c r="D184" s="254" t="n"/>
      <c r="E184" s="254" t="n"/>
      <c r="F184" s="254" t="n"/>
      <c r="G184" s="254" t="n"/>
      <c r="H184" s="254" t="n"/>
      <c r="I184" s="254" t="n"/>
      <c r="J184" s="254" t="n"/>
      <c r="K184" s="254" t="n"/>
      <c r="L184" s="254" t="n"/>
      <c r="M184" s="254" t="n"/>
      <c r="N184" s="254" t="n"/>
      <c r="O184" s="254" t="n"/>
      <c r="P184" s="254" t="n"/>
      <c r="Q184" s="254" t="n"/>
      <c r="R184" s="254" t="n"/>
      <c r="S184" s="254" t="n"/>
      <c r="T184" s="254" t="n"/>
      <c r="U184" s="254" t="n"/>
    </row>
    <row r="185">
      <c r="A185" s="254" t="n"/>
      <c r="B185" s="254" t="n"/>
      <c r="C185" s="254" t="n"/>
      <c r="D185" s="254" t="n"/>
      <c r="E185" s="254" t="n"/>
      <c r="F185" s="254" t="n"/>
      <c r="G185" s="254" t="n"/>
      <c r="H185" s="254" t="n"/>
      <c r="I185" s="254" t="n"/>
      <c r="J185" s="254" t="n"/>
      <c r="K185" s="254" t="n"/>
      <c r="L185" s="254" t="n"/>
      <c r="M185" s="254" t="n"/>
      <c r="N185" s="254" t="n"/>
      <c r="O185" s="254" t="n"/>
      <c r="P185" s="254" t="n"/>
      <c r="Q185" s="254" t="n"/>
      <c r="R185" s="254" t="n"/>
      <c r="S185" s="254" t="n"/>
      <c r="T185" s="254" t="n"/>
      <c r="U185" s="254" t="n"/>
    </row>
    <row r="186">
      <c r="A186" s="254" t="n"/>
      <c r="B186" s="254" t="n"/>
      <c r="C186" s="254" t="n"/>
      <c r="D186" s="254" t="n"/>
      <c r="E186" s="254" t="n"/>
      <c r="F186" s="254" t="n"/>
      <c r="G186" s="254" t="n"/>
      <c r="H186" s="254" t="n"/>
      <c r="I186" s="254" t="n"/>
      <c r="J186" s="254" t="n"/>
      <c r="K186" s="254" t="n"/>
      <c r="L186" s="254" t="n"/>
      <c r="M186" s="254" t="n"/>
      <c r="N186" s="254" t="n"/>
      <c r="O186" s="254" t="n"/>
      <c r="P186" s="254" t="n"/>
      <c r="Q186" s="254" t="n"/>
      <c r="R186" s="254" t="n"/>
      <c r="S186" s="254" t="n"/>
      <c r="T186" s="254" t="n"/>
      <c r="U186" s="254" t="n"/>
    </row>
    <row r="187">
      <c r="A187" s="254" t="n"/>
      <c r="B187" s="254" t="n"/>
      <c r="C187" s="254" t="n"/>
      <c r="D187" s="254" t="n"/>
      <c r="E187" s="254" t="n"/>
      <c r="F187" s="254" t="n"/>
      <c r="G187" s="254" t="n"/>
      <c r="H187" s="254" t="n"/>
      <c r="I187" s="254" t="n"/>
      <c r="J187" s="254" t="n"/>
      <c r="K187" s="254" t="n"/>
      <c r="L187" s="254" t="n"/>
      <c r="M187" s="254" t="n"/>
      <c r="N187" s="254" t="n"/>
      <c r="O187" s="254" t="n"/>
      <c r="P187" s="254" t="n"/>
      <c r="Q187" s="254" t="n"/>
      <c r="R187" s="254" t="n"/>
      <c r="S187" s="254" t="n"/>
      <c r="T187" s="254" t="n"/>
      <c r="U187" s="254" t="n"/>
    </row>
    <row r="188">
      <c r="A188" s="254" t="n"/>
      <c r="B188" s="254" t="n"/>
      <c r="C188" s="254" t="n"/>
      <c r="D188" s="254" t="n"/>
      <c r="E188" s="254" t="n"/>
      <c r="F188" s="254" t="n"/>
      <c r="G188" s="254" t="n"/>
      <c r="H188" s="254" t="n"/>
      <c r="I188" s="254" t="n"/>
      <c r="J188" s="254" t="n"/>
      <c r="K188" s="254" t="n"/>
      <c r="L188" s="254" t="n"/>
      <c r="M188" s="254" t="n"/>
      <c r="N188" s="254" t="n"/>
      <c r="O188" s="254" t="n"/>
      <c r="P188" s="254" t="n"/>
      <c r="Q188" s="254" t="n"/>
      <c r="R188" s="254" t="n"/>
      <c r="S188" s="254" t="n"/>
      <c r="T188" s="254" t="n"/>
      <c r="U188" s="254" t="n"/>
    </row>
    <row r="189">
      <c r="A189" s="254" t="n"/>
      <c r="B189" s="254" t="n"/>
      <c r="C189" s="254" t="n"/>
      <c r="D189" s="254" t="n"/>
      <c r="E189" s="254" t="n"/>
      <c r="F189" s="254" t="n"/>
      <c r="G189" s="254" t="n"/>
      <c r="H189" s="254" t="n"/>
      <c r="I189" s="254" t="n"/>
      <c r="J189" s="254" t="n"/>
      <c r="K189" s="254" t="n"/>
      <c r="L189" s="254" t="n"/>
      <c r="M189" s="254" t="n"/>
      <c r="N189" s="254" t="n"/>
      <c r="O189" s="254" t="n"/>
      <c r="P189" s="254" t="n"/>
      <c r="Q189" s="254" t="n"/>
      <c r="R189" s="254" t="n"/>
      <c r="S189" s="254" t="n"/>
      <c r="T189" s="254" t="n"/>
      <c r="U189" s="254" t="n"/>
    </row>
    <row r="190">
      <c r="A190" s="254" t="n"/>
      <c r="B190" s="254" t="n"/>
      <c r="C190" s="254" t="n"/>
      <c r="D190" s="254" t="n"/>
      <c r="E190" s="254" t="n"/>
      <c r="F190" s="254" t="n"/>
      <c r="G190" s="254" t="n"/>
      <c r="H190" s="254" t="n"/>
      <c r="I190" s="254" t="n"/>
      <c r="J190" s="254" t="n"/>
      <c r="K190" s="254" t="n"/>
      <c r="L190" s="254" t="n"/>
      <c r="M190" s="254" t="n"/>
      <c r="N190" s="254" t="n"/>
      <c r="O190" s="254" t="n"/>
      <c r="P190" s="254" t="n"/>
      <c r="Q190" s="254" t="n"/>
      <c r="R190" s="254" t="n"/>
      <c r="S190" s="254" t="n"/>
      <c r="T190" s="254" t="n"/>
      <c r="U190" s="254" t="n"/>
    </row>
    <row r="191">
      <c r="A191" s="254" t="n"/>
      <c r="B191" s="254" t="n"/>
      <c r="C191" s="254" t="n"/>
      <c r="D191" s="254" t="n"/>
      <c r="E191" s="254" t="n"/>
      <c r="F191" s="254" t="n"/>
      <c r="G191" s="254" t="n"/>
      <c r="H191" s="254" t="n"/>
      <c r="I191" s="254" t="n"/>
      <c r="J191" s="254" t="n"/>
      <c r="K191" s="254" t="n"/>
      <c r="L191" s="254" t="n"/>
      <c r="M191" s="254" t="n"/>
      <c r="N191" s="254" t="n"/>
      <c r="O191" s="254" t="n"/>
      <c r="P191" s="254" t="n"/>
      <c r="Q191" s="254" t="n"/>
      <c r="R191" s="254" t="n"/>
      <c r="S191" s="254" t="n"/>
      <c r="T191" s="254" t="n"/>
      <c r="U191" s="254" t="n"/>
    </row>
    <row r="192">
      <c r="A192" s="254" t="n"/>
      <c r="B192" s="254" t="n"/>
      <c r="C192" s="254" t="n"/>
      <c r="D192" s="254" t="n"/>
      <c r="E192" s="254" t="n"/>
      <c r="F192" s="254" t="n"/>
      <c r="G192" s="254" t="n"/>
      <c r="H192" s="254" t="n"/>
      <c r="I192" s="254" t="n"/>
      <c r="J192" s="254" t="n"/>
      <c r="K192" s="254" t="n"/>
      <c r="L192" s="254" t="n"/>
      <c r="M192" s="254" t="n"/>
      <c r="N192" s="254" t="n"/>
      <c r="O192" s="254" t="n"/>
      <c r="P192" s="254" t="n"/>
      <c r="Q192" s="254" t="n"/>
      <c r="R192" s="254" t="n"/>
      <c r="S192" s="254" t="n"/>
      <c r="T192" s="254" t="n"/>
      <c r="U192" s="254" t="n"/>
    </row>
    <row r="193">
      <c r="A193" s="254" t="n"/>
      <c r="B193" s="254" t="n"/>
      <c r="C193" s="254" t="n"/>
      <c r="D193" s="254" t="n"/>
      <c r="E193" s="254" t="n"/>
      <c r="F193" s="254" t="n"/>
      <c r="G193" s="254" t="n"/>
      <c r="H193" s="254" t="n"/>
      <c r="I193" s="254" t="n"/>
      <c r="J193" s="254" t="n"/>
      <c r="K193" s="254" t="n"/>
      <c r="L193" s="254" t="n"/>
      <c r="M193" s="254" t="n"/>
      <c r="N193" s="254" t="n"/>
      <c r="O193" s="254" t="n"/>
      <c r="P193" s="254" t="n"/>
      <c r="Q193" s="254" t="n"/>
      <c r="R193" s="254" t="n"/>
      <c r="S193" s="254" t="n"/>
      <c r="T193" s="254" t="n"/>
      <c r="U193" s="254" t="n"/>
    </row>
    <row r="194">
      <c r="A194" s="254" t="n"/>
      <c r="B194" s="254" t="n"/>
      <c r="C194" s="254" t="n"/>
      <c r="D194" s="254" t="n"/>
      <c r="E194" s="254" t="n"/>
      <c r="F194" s="254" t="n"/>
      <c r="G194" s="254" t="n"/>
      <c r="H194" s="254" t="n"/>
      <c r="I194" s="254" t="n"/>
      <c r="J194" s="254" t="n"/>
      <c r="K194" s="254" t="n"/>
      <c r="L194" s="254" t="n"/>
      <c r="M194" s="254" t="n"/>
      <c r="N194" s="254" t="n"/>
      <c r="O194" s="254" t="n"/>
      <c r="P194" s="254" t="n"/>
      <c r="Q194" s="254" t="n"/>
      <c r="R194" s="254" t="n"/>
      <c r="S194" s="254" t="n"/>
      <c r="T194" s="254" t="n"/>
      <c r="U194" s="254" t="n"/>
    </row>
    <row r="195">
      <c r="A195" s="254" t="n"/>
      <c r="B195" s="254" t="n"/>
      <c r="C195" s="254" t="n"/>
      <c r="D195" s="254" t="n"/>
      <c r="E195" s="254" t="n"/>
      <c r="F195" s="254" t="n"/>
      <c r="G195" s="254" t="n"/>
      <c r="H195" s="254" t="n"/>
      <c r="I195" s="254" t="n"/>
      <c r="J195" s="254" t="n"/>
      <c r="K195" s="254" t="n"/>
      <c r="L195" s="254" t="n"/>
      <c r="M195" s="254" t="n"/>
      <c r="N195" s="254" t="n"/>
      <c r="O195" s="254" t="n"/>
      <c r="P195" s="254" t="n"/>
      <c r="Q195" s="254" t="n"/>
      <c r="R195" s="254" t="n"/>
      <c r="S195" s="254" t="n"/>
      <c r="T195" s="254" t="n"/>
      <c r="U195" s="254" t="n"/>
    </row>
    <row r="196">
      <c r="A196" s="254" t="n"/>
      <c r="B196" s="254" t="n"/>
      <c r="C196" s="254" t="n"/>
      <c r="D196" s="254" t="n"/>
      <c r="E196" s="254" t="n"/>
      <c r="F196" s="254" t="n"/>
      <c r="G196" s="254" t="n"/>
      <c r="H196" s="254" t="n"/>
      <c r="I196" s="254" t="n"/>
      <c r="J196" s="254" t="n"/>
      <c r="K196" s="254" t="n"/>
      <c r="L196" s="254" t="n"/>
      <c r="M196" s="254" t="n"/>
      <c r="N196" s="254" t="n"/>
      <c r="O196" s="254" t="n"/>
      <c r="P196" s="254" t="n"/>
      <c r="Q196" s="254" t="n"/>
      <c r="R196" s="254" t="n"/>
      <c r="S196" s="254" t="n"/>
      <c r="T196" s="254" t="n"/>
      <c r="U196" s="254" t="n"/>
    </row>
    <row r="197">
      <c r="A197" s="254" t="n"/>
      <c r="B197" s="254" t="n"/>
      <c r="C197" s="254" t="n"/>
      <c r="D197" s="254" t="n"/>
      <c r="E197" s="254" t="n"/>
      <c r="F197" s="254" t="n"/>
      <c r="G197" s="254" t="n"/>
      <c r="H197" s="254" t="n"/>
      <c r="I197" s="254" t="n"/>
      <c r="J197" s="254" t="n"/>
      <c r="K197" s="254" t="n"/>
      <c r="L197" s="254" t="n"/>
      <c r="M197" s="254" t="n"/>
      <c r="N197" s="254" t="n"/>
      <c r="O197" s="254" t="n"/>
      <c r="P197" s="254" t="n"/>
      <c r="Q197" s="254" t="n"/>
      <c r="R197" s="254" t="n"/>
      <c r="S197" s="254" t="n"/>
      <c r="T197" s="254" t="n"/>
      <c r="U197" s="254" t="n"/>
    </row>
    <row r="198">
      <c r="A198" s="254" t="n"/>
      <c r="B198" s="254" t="n"/>
      <c r="C198" s="254" t="n"/>
      <c r="D198" s="254" t="n"/>
      <c r="E198" s="254" t="n"/>
      <c r="F198" s="254" t="n"/>
      <c r="G198" s="254" t="n"/>
      <c r="H198" s="254" t="n"/>
      <c r="I198" s="254" t="n"/>
      <c r="J198" s="254" t="n"/>
      <c r="K198" s="254" t="n"/>
      <c r="L198" s="254" t="n"/>
      <c r="M198" s="254" t="n"/>
      <c r="N198" s="254" t="n"/>
      <c r="O198" s="254" t="n"/>
      <c r="P198" s="254" t="n"/>
      <c r="Q198" s="254" t="n"/>
      <c r="R198" s="254" t="n"/>
      <c r="S198" s="254" t="n"/>
      <c r="T198" s="254" t="n"/>
      <c r="U198" s="254" t="n"/>
    </row>
    <row r="199">
      <c r="A199" s="254" t="n"/>
      <c r="B199" s="254" t="n"/>
      <c r="C199" s="254" t="n"/>
      <c r="D199" s="254" t="n"/>
      <c r="E199" s="254" t="n"/>
      <c r="F199" s="254" t="n"/>
      <c r="G199" s="254" t="n"/>
      <c r="H199" s="254" t="n"/>
      <c r="I199" s="254" t="n"/>
      <c r="J199" s="254" t="n"/>
      <c r="K199" s="254" t="n"/>
      <c r="L199" s="254" t="n"/>
      <c r="M199" s="254" t="n"/>
      <c r="N199" s="254" t="n"/>
      <c r="O199" s="254" t="n"/>
      <c r="P199" s="254" t="n"/>
      <c r="Q199" s="254" t="n"/>
      <c r="R199" s="254" t="n"/>
      <c r="S199" s="254" t="n"/>
      <c r="T199" s="254" t="n"/>
      <c r="U199" s="254" t="n"/>
    </row>
    <row r="200">
      <c r="A200" s="254" t="n"/>
      <c r="B200" s="254" t="n"/>
      <c r="C200" s="254" t="n"/>
      <c r="D200" s="254" t="n"/>
      <c r="E200" s="254" t="n"/>
      <c r="F200" s="254" t="n"/>
      <c r="G200" s="254" t="n"/>
      <c r="H200" s="254" t="n"/>
      <c r="I200" s="254" t="n"/>
      <c r="J200" s="254" t="n"/>
      <c r="K200" s="254" t="n"/>
      <c r="L200" s="254" t="n"/>
      <c r="M200" s="254" t="n"/>
      <c r="N200" s="254" t="n"/>
      <c r="O200" s="254" t="n"/>
      <c r="P200" s="254" t="n"/>
      <c r="Q200" s="254" t="n"/>
      <c r="R200" s="254" t="n"/>
      <c r="S200" s="254" t="n"/>
      <c r="T200" s="254" t="n"/>
      <c r="U200" s="254" t="n"/>
    </row>
  </sheetData>
  <mergeCells count="3">
    <mergeCell ref="A1:O1"/>
    <mergeCell ref="A3:B3"/>
    <mergeCell ref="A8:A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441" t="inlineStr">
        <is>
          <t>Category</t>
        </is>
      </c>
      <c r="B1" s="441" t="inlineStr">
        <is>
          <t>Operating Mechanism</t>
        </is>
      </c>
      <c r="C1" s="441" t="inlineStr">
        <is>
          <t>Group</t>
        </is>
      </c>
      <c r="D1" s="441" t="inlineStr">
        <is>
          <t>Definition</t>
        </is>
      </c>
      <c r="E1" s="357" t="n"/>
      <c r="F1" s="254" t="n"/>
      <c r="G1" s="254" t="n"/>
      <c r="H1" s="254" t="n"/>
      <c r="I1" s="254" t="n"/>
      <c r="J1" s="254" t="n"/>
      <c r="K1" s="254" t="n"/>
      <c r="L1" s="254" t="n"/>
      <c r="M1" s="254" t="n"/>
      <c r="N1" s="254" t="n"/>
      <c r="O1" s="254" t="n"/>
      <c r="P1" s="254" t="n"/>
      <c r="Q1" s="254" t="n"/>
      <c r="R1" s="254" t="n"/>
      <c r="S1" s="254" t="n"/>
      <c r="T1" s="254" t="n"/>
    </row>
    <row r="2" ht="15" customHeight="1">
      <c r="A2" s="367" t="inlineStr">
        <is>
          <t>Economic instruments</t>
        </is>
      </c>
      <c r="B2" s="367" t="inlineStr">
        <is>
          <t>Incentivise</t>
        </is>
      </c>
      <c r="C2" s="368" t="inlineStr">
        <is>
          <t>Subsidy</t>
        </is>
      </c>
      <c r="D2" s="368" t="inlineStr">
        <is>
          <t>Unrequited payments from government to non-government units</t>
        </is>
      </c>
      <c r="E2" s="357" t="n"/>
      <c r="F2" s="254" t="n"/>
      <c r="G2" s="254" t="n"/>
      <c r="H2" s="254" t="n"/>
      <c r="I2" s="254" t="n"/>
      <c r="J2" s="254" t="n"/>
      <c r="K2" s="254" t="n"/>
      <c r="L2" s="254" t="n"/>
      <c r="M2" s="254" t="n"/>
      <c r="N2" s="254" t="n"/>
      <c r="O2" s="254" t="n"/>
      <c r="P2" s="254" t="n"/>
      <c r="Q2" s="254" t="n"/>
      <c r="R2" s="254" t="n"/>
      <c r="S2" s="254" t="n"/>
      <c r="T2" s="254" t="n"/>
    </row>
    <row r="3" ht="15" customHeight="1">
      <c r="A3" s="369" t="n"/>
      <c r="B3" s="369" t="n"/>
      <c r="C3" s="368" t="inlineStr">
        <is>
          <t>Tax</t>
        </is>
      </c>
      <c r="D3" s="368" t="inlineStr">
        <is>
          <t>Compulsory unrequited payments to a government unit</t>
        </is>
      </c>
      <c r="E3" s="357" t="n"/>
      <c r="F3" s="254" t="n"/>
      <c r="G3" s="254" t="n"/>
      <c r="H3" s="254" t="n"/>
      <c r="I3" s="254" t="n"/>
      <c r="J3" s="254" t="n"/>
      <c r="K3" s="254" t="n"/>
      <c r="L3" s="254" t="n"/>
      <c r="M3" s="254" t="n"/>
      <c r="N3" s="254" t="n"/>
      <c r="O3" s="254" t="n"/>
      <c r="P3" s="254" t="n"/>
      <c r="Q3" s="254" t="n"/>
      <c r="R3" s="254" t="n"/>
      <c r="S3" s="254" t="n"/>
      <c r="T3" s="254" t="n"/>
    </row>
    <row r="4" ht="45" customHeight="1">
      <c r="A4" s="369" t="n"/>
      <c r="B4" s="369" t="n"/>
      <c r="C4" s="368" t="inlineStr">
        <is>
          <t>Trading scheme</t>
        </is>
      </c>
      <c r="D4" s="368" t="inlineStr">
        <is>
          <t>Trading schemes cause changes in the relative costs or prices faced by economic agents by regulating the trade of permits or certificates, which may cause a direct financial benefit (e.g. by providing the options of selling them) or set a price on the behaviour of the regulated agents (e.g. by providing the options of purchasing them).</t>
        </is>
      </c>
      <c r="E4" s="357" t="n"/>
      <c r="F4" s="254" t="n"/>
      <c r="G4" s="254" t="n"/>
      <c r="H4" s="254" t="n"/>
      <c r="I4" s="254" t="n"/>
      <c r="J4" s="254" t="n"/>
      <c r="K4" s="254" t="n"/>
      <c r="L4" s="254" t="n"/>
      <c r="M4" s="254" t="n"/>
      <c r="N4" s="254" t="n"/>
      <c r="O4" s="254" t="n"/>
      <c r="P4" s="254" t="n"/>
      <c r="Q4" s="254" t="n"/>
      <c r="R4" s="254" t="n"/>
      <c r="S4" s="254" t="n"/>
      <c r="T4" s="254" t="n"/>
    </row>
    <row r="5" ht="30" customHeight="1">
      <c r="A5" s="361" t="n"/>
      <c r="B5" s="361" t="n"/>
      <c r="C5" s="368" t="inlineStr">
        <is>
          <t>Administered price</t>
        </is>
      </c>
      <c r="D5" s="368" t="inlineStr">
        <is>
          <t>Government-administered pricing mechanisms that directly set, differentiate, or regulate prices of energy or emissions-intensive activities to influence behaviour, without operating through explicit fiscal transfers or tax instruments.</t>
        </is>
      </c>
      <c r="E5" s="357" t="n"/>
      <c r="F5" s="254" t="n"/>
      <c r="G5" s="254" t="n"/>
      <c r="H5" s="254" t="n"/>
      <c r="I5" s="254" t="n"/>
      <c r="J5" s="254" t="n"/>
      <c r="K5" s="254" t="n"/>
      <c r="L5" s="254" t="n"/>
      <c r="M5" s="254" t="n"/>
      <c r="N5" s="254" t="n"/>
      <c r="O5" s="254" t="n"/>
      <c r="P5" s="254" t="n"/>
      <c r="Q5" s="254" t="n"/>
      <c r="R5" s="254" t="n"/>
      <c r="S5" s="254" t="n"/>
      <c r="T5" s="254" t="n"/>
    </row>
    <row r="6" ht="30" customHeight="1">
      <c r="A6" s="370" t="inlineStr">
        <is>
          <t>Regulatory instruments</t>
        </is>
      </c>
      <c r="B6" s="370" t="inlineStr">
        <is>
          <t>Mandate</t>
        </is>
      </c>
      <c r="C6" s="371" t="inlineStr">
        <is>
          <t>Performance standard</t>
        </is>
      </c>
      <c r="D6" s="371" t="inlineStr">
        <is>
          <t>Performance standards mandate a specific outcome, giving regulated agents the freedom to choose technologies and processes to achieve the specified performance level.</t>
        </is>
      </c>
      <c r="E6" s="357" t="n"/>
      <c r="F6" s="254" t="n"/>
      <c r="G6" s="254" t="n"/>
      <c r="H6" s="254" t="n"/>
      <c r="I6" s="254" t="n"/>
      <c r="J6" s="254" t="n"/>
      <c r="K6" s="254" t="n"/>
      <c r="L6" s="254" t="n"/>
      <c r="M6" s="254" t="n"/>
      <c r="N6" s="254" t="n"/>
      <c r="O6" s="254" t="n"/>
      <c r="P6" s="254" t="n"/>
      <c r="Q6" s="254" t="n"/>
      <c r="R6" s="254" t="n"/>
      <c r="S6" s="254" t="n"/>
      <c r="T6" s="254" t="n"/>
    </row>
    <row r="7" ht="15" customHeight="1">
      <c r="A7" s="369" t="n"/>
      <c r="B7" s="369" t="n"/>
      <c r="C7" s="371" t="inlineStr">
        <is>
          <t>Technology standard</t>
        </is>
      </c>
      <c r="D7" s="371" t="inlineStr">
        <is>
          <t>Technology standards require or prohibit a specific input or technology, or design for production.</t>
        </is>
      </c>
      <c r="E7" s="357" t="n"/>
      <c r="F7" s="254" t="n"/>
      <c r="G7" s="254" t="n"/>
      <c r="H7" s="254" t="n"/>
      <c r="I7" s="254" t="n"/>
      <c r="J7" s="254" t="n"/>
      <c r="K7" s="254" t="n"/>
      <c r="L7" s="254" t="n"/>
      <c r="M7" s="254" t="n"/>
      <c r="N7" s="254" t="n"/>
      <c r="O7" s="254" t="n"/>
      <c r="P7" s="254" t="n"/>
      <c r="Q7" s="254" t="n"/>
      <c r="R7" s="254" t="n"/>
      <c r="S7" s="254" t="n"/>
      <c r="T7" s="254" t="n"/>
    </row>
    <row r="8" ht="45" customHeight="1">
      <c r="A8" s="361" t="n"/>
      <c r="B8" s="361" t="n"/>
      <c r="C8" s="371" t="inlineStr">
        <is>
          <t>Framework regulation</t>
        </is>
      </c>
      <c r="D8" s="371" t="inlineStr">
        <is>
          <t>Framework standards prescribe requirements on production processes without mandating the use of specific inputs or technologies or prescribing a specific outcome. Often, these requirements are of qualitative nature and they may require case-by-case interpretation and application. They may also regulate the functioning of markets.</t>
        </is>
      </c>
      <c r="E8" s="357" t="n"/>
      <c r="F8" s="254" t="n"/>
      <c r="G8" s="254" t="n"/>
      <c r="H8" s="254" t="n"/>
      <c r="I8" s="254" t="n"/>
      <c r="J8" s="254" t="n"/>
      <c r="K8" s="254" t="n"/>
      <c r="L8" s="254" t="n"/>
      <c r="M8" s="254" t="n"/>
      <c r="N8" s="254" t="n"/>
      <c r="O8" s="254" t="n"/>
      <c r="P8" s="254" t="n"/>
      <c r="Q8" s="254" t="n"/>
      <c r="R8" s="254" t="n"/>
      <c r="S8" s="254" t="n"/>
      <c r="T8" s="254" t="n"/>
    </row>
    <row r="9" ht="30" customHeight="1">
      <c r="A9" s="372" t="inlineStr">
        <is>
          <t>Government investment and consumption</t>
        </is>
      </c>
      <c r="B9" s="372" t="inlineStr">
        <is>
          <t>Enable and guide</t>
        </is>
      </c>
      <c r="C9" s="373" t="inlineStr">
        <is>
          <t>Public investment</t>
        </is>
      </c>
      <c r="D9" s="373" t="inlineStr">
        <is>
          <t>Spending by a government unit towards forming fixed capital such as transport and energy infrastructure, or nature-based infrastructure solutions, as well as intangible assets such as R&amp;D.</t>
        </is>
      </c>
      <c r="E9" s="357" t="n"/>
      <c r="F9" s="254" t="n"/>
      <c r="G9" s="254" t="n"/>
      <c r="H9" s="254" t="n"/>
      <c r="I9" s="254" t="n"/>
      <c r="J9" s="254" t="n"/>
      <c r="K9" s="254" t="n"/>
      <c r="L9" s="254" t="n"/>
      <c r="M9" s="254" t="n"/>
      <c r="N9" s="254" t="n"/>
      <c r="O9" s="254" t="n"/>
      <c r="P9" s="254" t="n"/>
      <c r="Q9" s="254" t="n"/>
      <c r="R9" s="254" t="n"/>
      <c r="S9" s="254" t="n"/>
      <c r="T9" s="254" t="n"/>
    </row>
    <row r="10" ht="30" customHeight="1">
      <c r="A10" s="369" t="n"/>
      <c r="B10" s="369" t="n"/>
      <c r="C10" s="373" t="inlineStr">
        <is>
          <t>Public procuremet</t>
        </is>
      </c>
      <c r="D10" s="373" t="inlineStr">
        <is>
          <t>Instruments that oblige or encourage public agents to consider climate change mitigation impacts when purchasing the goods, services and works from external suppliers or providers to fulfil public sector needs, deliver public services, and execute government projects and programmes.</t>
        </is>
      </c>
      <c r="E10" s="357" t="n"/>
      <c r="F10" s="254" t="n"/>
      <c r="G10" s="254" t="n"/>
      <c r="H10" s="254" t="n"/>
      <c r="I10" s="254" t="n"/>
      <c r="J10" s="254" t="n"/>
      <c r="K10" s="254" t="n"/>
      <c r="L10" s="254" t="n"/>
      <c r="M10" s="254" t="n"/>
      <c r="N10" s="254" t="n"/>
      <c r="O10" s="254" t="n"/>
      <c r="P10" s="254" t="n"/>
      <c r="Q10" s="254" t="n"/>
      <c r="R10" s="254" t="n"/>
      <c r="S10" s="254" t="n"/>
      <c r="T10" s="254" t="n"/>
    </row>
    <row r="11" ht="45" customHeight="1">
      <c r="A11" s="361" t="n"/>
      <c r="B11" s="361" t="n"/>
      <c r="C11" s="373" t="inlineStr">
        <is>
          <t>Public appraisal rule</t>
        </is>
      </c>
      <c r="D11" s="373" t="inlineStr">
        <is>
          <t>Public appraisal rules prescribe requirements on the decision-making processes and operations of the government without mandating the use of specific inputs or technologies or prescribing a specific outcome. Rather, they specify the process to be followed in decision-making processes and operations or define qualitative outcomes that may require case-by-case interpretation.</t>
        </is>
      </c>
      <c r="E11" s="357" t="n"/>
      <c r="F11" s="254" t="n"/>
      <c r="G11" s="254" t="n"/>
      <c r="H11" s="254" t="n"/>
      <c r="I11" s="254" t="n"/>
      <c r="J11" s="254" t="n"/>
      <c r="K11" s="254" t="n"/>
      <c r="L11" s="254" t="n"/>
      <c r="M11" s="254" t="n"/>
      <c r="N11" s="254" t="n"/>
      <c r="O11" s="254" t="n"/>
      <c r="P11" s="254" t="n"/>
      <c r="Q11" s="254" t="n"/>
      <c r="R11" s="254" t="n"/>
      <c r="S11" s="254" t="n"/>
      <c r="T11" s="254" t="n"/>
    </row>
    <row r="12" ht="30" customHeight="1">
      <c r="A12" s="374" t="inlineStr">
        <is>
          <t>Information instruments</t>
        </is>
      </c>
      <c r="B12" s="374" t="inlineStr">
        <is>
          <t>Enable and guide</t>
        </is>
      </c>
      <c r="C12" s="375" t="inlineStr">
        <is>
          <t>Comparative energy efficiency label</t>
        </is>
      </c>
      <c r="D12" s="375" t="inlineStr">
        <is>
          <t>A mandatory label that provides standardised, comparable information on the energy efficiency of products, buildings, or vehicles to guide consumer decision-making.</t>
        </is>
      </c>
      <c r="E12" s="357" t="n"/>
      <c r="F12" s="254" t="n"/>
      <c r="G12" s="254" t="n"/>
      <c r="H12" s="254" t="n"/>
      <c r="I12" s="254" t="n"/>
      <c r="J12" s="254" t="n"/>
      <c r="K12" s="254" t="n"/>
      <c r="L12" s="254" t="n"/>
      <c r="M12" s="254" t="n"/>
      <c r="N12" s="254" t="n"/>
      <c r="O12" s="254" t="n"/>
      <c r="P12" s="254" t="n"/>
      <c r="Q12" s="254" t="n"/>
      <c r="R12" s="254" t="n"/>
      <c r="S12" s="254" t="n"/>
      <c r="T12" s="254" t="n"/>
    </row>
    <row r="13" ht="15" customHeight="1">
      <c r="A13" s="369" t="n"/>
      <c r="B13" s="369" t="n"/>
      <c r="C13" s="375" t="inlineStr">
        <is>
          <t>Reporting requirement</t>
        </is>
      </c>
      <c r="D13" s="375" t="inlineStr">
        <is>
          <t>Reporting requirements mandate agents to submit regular reports, disclosures, or documentation to the regulating agents, oversight bodies, or stakeholders.</t>
        </is>
      </c>
      <c r="E13" s="357" t="n"/>
      <c r="F13" s="254" t="n"/>
      <c r="G13" s="254" t="n"/>
      <c r="H13" s="254" t="n"/>
      <c r="I13" s="254" t="n"/>
      <c r="J13" s="254" t="n"/>
      <c r="K13" s="254" t="n"/>
      <c r="L13" s="254" t="n"/>
      <c r="M13" s="254" t="n"/>
      <c r="N13" s="254" t="n"/>
      <c r="O13" s="254" t="n"/>
      <c r="P13" s="254" t="n"/>
      <c r="Q13" s="254" t="n"/>
      <c r="R13" s="254" t="n"/>
      <c r="S13" s="254" t="n"/>
      <c r="T13" s="254" t="n"/>
    </row>
    <row r="14" ht="30" customHeight="1">
      <c r="A14" s="361" t="n"/>
      <c r="B14" s="361" t="n"/>
      <c r="C14" s="375" t="inlineStr">
        <is>
          <t>Capacity building and public awareness</t>
        </is>
      </c>
      <c r="D14" s="375" t="inlineStr">
        <is>
          <t>Government provides information to non-government units to disseminate information, raise awareness, and enhance understanding on specific issues, initiatives, or policies.</t>
        </is>
      </c>
      <c r="E14" s="357" t="n"/>
      <c r="F14" s="254" t="n"/>
      <c r="G14" s="254" t="n"/>
      <c r="H14" s="254" t="n"/>
      <c r="I14" s="254" t="n"/>
      <c r="J14" s="254" t="n"/>
      <c r="K14" s="254" t="n"/>
      <c r="L14" s="254" t="n"/>
      <c r="M14" s="254" t="n"/>
      <c r="N14" s="254" t="n"/>
      <c r="O14" s="254" t="n"/>
      <c r="P14" s="254" t="n"/>
      <c r="Q14" s="254" t="n"/>
      <c r="R14" s="254" t="n"/>
      <c r="S14" s="254" t="n"/>
      <c r="T14" s="254" t="n"/>
    </row>
    <row r="15" ht="45" customHeight="1">
      <c r="A15" s="376" t="inlineStr">
        <is>
          <t>Voluntary approaches</t>
        </is>
      </c>
      <c r="B15" s="376" t="inlineStr">
        <is>
          <t>Enable and guide</t>
        </is>
      </c>
      <c r="C15" s="377" t="inlineStr">
        <is>
          <t>Voluntary information instrument</t>
        </is>
      </c>
      <c r="D15" s="377" t="inlineStr">
        <is>
          <t>Voluntary information instruments are established by governments to facilitate private action towards climate objectives. Participation is voluntary. Firms can choose to adopt to inform stakeholders and consumers about their environmental performance.
Examples: voluntary energy efficiency labels; voluntary financial labels, voluntary reporting standards; voluntary audits.</t>
        </is>
      </c>
      <c r="E15" s="357" t="n"/>
      <c r="F15" s="254" t="n"/>
      <c r="G15" s="254" t="n"/>
      <c r="H15" s="254" t="n"/>
      <c r="I15" s="254" t="n"/>
      <c r="J15" s="254" t="n"/>
      <c r="K15" s="254" t="n"/>
      <c r="L15" s="254" t="n"/>
      <c r="M15" s="254" t="n"/>
      <c r="N15" s="254" t="n"/>
      <c r="O15" s="254" t="n"/>
      <c r="P15" s="254" t="n"/>
      <c r="Q15" s="254" t="n"/>
      <c r="R15" s="254" t="n"/>
      <c r="S15" s="254" t="n"/>
      <c r="T15" s="254" t="n"/>
    </row>
    <row r="16" ht="45" customHeight="1">
      <c r="A16" s="369" t="n"/>
      <c r="B16" s="369" t="n"/>
      <c r="C16" s="377" t="inlineStr">
        <is>
          <t>Voluntary trading system</t>
        </is>
      </c>
      <c r="D16" s="377" t="inlineStr">
        <is>
          <t>Voluntary trading systems are established by government to allow organisations or companies to trade credits or allowances representing emissions reductions or other environmental benefits. Participation is voluntary, and these systems often operate parallel to or in the absence of mandatory trading systems. 
Examples: voluntary GHG emission trading systems.</t>
        </is>
      </c>
      <c r="E16" s="357" t="n"/>
      <c r="F16" s="254" t="n"/>
      <c r="G16" s="254" t="n"/>
      <c r="H16" s="254" t="n"/>
      <c r="I16" s="254" t="n"/>
      <c r="J16" s="254" t="n"/>
      <c r="K16" s="254" t="n"/>
      <c r="L16" s="254" t="n"/>
      <c r="M16" s="254" t="n"/>
      <c r="N16" s="254" t="n"/>
      <c r="O16" s="254" t="n"/>
      <c r="P16" s="254" t="n"/>
      <c r="Q16" s="254" t="n"/>
      <c r="R16" s="254" t="n"/>
      <c r="S16" s="254" t="n"/>
      <c r="T16" s="254" t="n"/>
    </row>
    <row r="17" ht="45" customHeight="1">
      <c r="A17" s="361" t="n"/>
      <c r="B17" s="361" t="n"/>
      <c r="C17" s="377" t="inlineStr">
        <is>
          <t>Voluntary target</t>
        </is>
      </c>
      <c r="D17" s="377" t="inlineStr">
        <is>
          <t>Specific self-imposed goals set by organisations or companies to achieve climate objectives or improve environmental performance beyond regulatory compliance in collaboration with the government.
Examples: voluntary GHG emission reduction targets, voluntary energy performance targets.</t>
        </is>
      </c>
      <c r="E17" s="357" t="n"/>
      <c r="F17" s="254" t="n"/>
      <c r="G17" s="254" t="n"/>
      <c r="H17" s="254" t="n"/>
      <c r="I17" s="254" t="n"/>
      <c r="J17" s="254" t="n"/>
      <c r="K17" s="254" t="n"/>
      <c r="L17" s="254" t="n"/>
      <c r="M17" s="254" t="n"/>
      <c r="N17" s="254" t="n"/>
      <c r="O17" s="254" t="n"/>
      <c r="P17" s="254" t="n"/>
      <c r="Q17" s="254" t="n"/>
      <c r="R17" s="254" t="n"/>
      <c r="S17" s="254" t="n"/>
      <c r="T17" s="254" t="n"/>
    </row>
    <row r="18">
      <c r="A18" s="365" t="n"/>
      <c r="B18" s="365" t="n"/>
      <c r="C18" s="365" t="n"/>
      <c r="D18" s="365" t="n"/>
      <c r="E18" s="254" t="n"/>
      <c r="F18" s="254" t="n"/>
      <c r="G18" s="254" t="n"/>
      <c r="H18" s="254" t="n"/>
      <c r="I18" s="254" t="n"/>
      <c r="J18" s="254" t="n"/>
      <c r="K18" s="254" t="n"/>
      <c r="L18" s="254" t="n"/>
      <c r="M18" s="254" t="n"/>
      <c r="N18" s="254" t="n"/>
      <c r="O18" s="254" t="n"/>
      <c r="P18" s="254" t="n"/>
      <c r="Q18" s="254" t="n"/>
      <c r="R18" s="254" t="n"/>
      <c r="S18" s="254" t="n"/>
      <c r="T18" s="254" t="n"/>
    </row>
    <row r="19">
      <c r="A19" s="498" t="inlineStr">
        <is>
          <t>Source: IFCMA(2024), MGF Lab.</t>
        </is>
      </c>
      <c r="B19" s="254" t="n"/>
      <c r="C19" s="254" t="n"/>
      <c r="D19" s="254" t="n"/>
      <c r="E19" s="254" t="n"/>
      <c r="F19" s="254" t="n"/>
      <c r="G19" s="254" t="n"/>
      <c r="H19" s="254" t="n"/>
      <c r="I19" s="254" t="n"/>
      <c r="J19" s="254" t="n"/>
      <c r="K19" s="254" t="n"/>
      <c r="L19" s="254" t="n"/>
      <c r="M19" s="254" t="n"/>
      <c r="N19" s="254" t="n"/>
      <c r="O19" s="254" t="n"/>
      <c r="P19" s="254" t="n"/>
      <c r="Q19" s="254" t="n"/>
      <c r="R19" s="254" t="n"/>
      <c r="S19" s="254" t="n"/>
      <c r="T19" s="254" t="n"/>
    </row>
  </sheetData>
  <mergeCells count="10">
    <mergeCell ref="A12:A14"/>
    <mergeCell ref="A6:A8"/>
    <mergeCell ref="B12:B14"/>
    <mergeCell ref="A2:A5"/>
    <mergeCell ref="A9:A11"/>
    <mergeCell ref="A15:A17"/>
    <mergeCell ref="B15:B17"/>
    <mergeCell ref="B9:B11"/>
    <mergeCell ref="B2:B5"/>
    <mergeCell ref="B6:B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94"/>
  <sheetViews>
    <sheetView tabSelected="1" workbookViewId="0">
      <selection activeCell="A1" sqref="A1"/>
    </sheetView>
  </sheetViews>
  <sheetFormatPr baseColWidth="8" defaultRowHeight="14.25"/>
  <cols>
    <col width="34.46484375" customWidth="1" min="1" max="1"/>
    <col width="54.06640625" customWidth="1" min="2" max="2"/>
    <col width="29.73046875" customWidth="1" min="3" max="3"/>
    <col width="125.86328125" customWidth="1" min="5" max="5"/>
  </cols>
  <sheetData>
    <row r="1" ht="15" customHeight="1">
      <c r="A1" s="443" t="inlineStr">
        <is>
          <t>Block</t>
        </is>
      </c>
      <c r="B1" s="443" t="inlineStr">
        <is>
          <t>Attribute</t>
        </is>
      </c>
      <c r="C1" s="443" t="inlineStr">
        <is>
          <t>Attribute definition</t>
        </is>
      </c>
      <c r="D1" s="443" t="inlineStr">
        <is>
          <t>Entry Type</t>
        </is>
      </c>
      <c r="E1" s="443" t="inlineStr">
        <is>
          <t>Details</t>
        </is>
      </c>
      <c r="F1" s="459" t="n"/>
      <c r="G1" s="499" t="n"/>
      <c r="H1" s="499" t="n"/>
      <c r="I1" s="499" t="n"/>
      <c r="J1" s="499" t="n"/>
      <c r="K1" s="499" t="n"/>
      <c r="L1" s="499" t="n"/>
      <c r="M1" s="499" t="n"/>
      <c r="N1" s="499" t="n"/>
      <c r="O1" s="499" t="n"/>
      <c r="P1" s="499" t="n"/>
      <c r="Q1" s="499" t="n"/>
      <c r="R1" s="499" t="n"/>
      <c r="S1" s="499" t="n"/>
      <c r="T1" s="499" t="n"/>
    </row>
    <row r="2" ht="15" customHeight="1">
      <c r="A2" s="446" t="inlineStr">
        <is>
          <t>Common Attributes</t>
        </is>
      </c>
      <c r="B2" s="339" t="n"/>
      <c r="C2" s="339" t="n"/>
      <c r="D2" s="339" t="n"/>
      <c r="E2" s="340" t="n"/>
      <c r="F2" s="459" t="n"/>
      <c r="G2" s="499" t="n"/>
      <c r="H2" s="499" t="n"/>
      <c r="I2" s="499" t="n"/>
      <c r="J2" s="499" t="n"/>
      <c r="K2" s="499" t="n"/>
      <c r="L2" s="499" t="n"/>
      <c r="M2" s="499" t="n"/>
      <c r="N2" s="499" t="n"/>
      <c r="O2" s="499" t="n"/>
      <c r="P2" s="499" t="n"/>
      <c r="Q2" s="499" t="n"/>
      <c r="R2" s="499" t="n"/>
      <c r="S2" s="499" t="n"/>
      <c r="T2" s="499" t="n"/>
    </row>
    <row r="3" ht="15" customHeight="1">
      <c r="A3" s="447" t="inlineStr">
        <is>
          <t>Identification</t>
        </is>
      </c>
      <c r="B3" s="448" t="inlineStr">
        <is>
          <t>Instrument / subscheme</t>
        </is>
      </c>
      <c r="C3" s="449" t="inlineStr">
        <is>
          <t>Indicates whether the entry (the row in the Excel sheet) is the policy instrument or a sub-scheme (i.e. a variation of the policy instrument)</t>
        </is>
      </c>
      <c r="D3" s="449" t="inlineStr">
        <is>
          <t>Categorial</t>
        </is>
      </c>
      <c r="E3" s="449" t="inlineStr">
        <is>
          <t>Instrument; Subscheme</t>
        </is>
      </c>
      <c r="F3" s="459" t="n"/>
      <c r="G3" s="499" t="n"/>
      <c r="H3" s="499" t="n"/>
      <c r="I3" s="499" t="n"/>
      <c r="J3" s="499" t="n"/>
      <c r="K3" s="499" t="n"/>
      <c r="L3" s="499" t="n"/>
      <c r="M3" s="499" t="n"/>
      <c r="N3" s="499" t="n"/>
      <c r="O3" s="499" t="n"/>
      <c r="P3" s="499" t="n"/>
      <c r="Q3" s="499" t="n"/>
      <c r="R3" s="499" t="n"/>
      <c r="S3" s="499" t="n"/>
      <c r="T3" s="499" t="n"/>
    </row>
    <row r="4" ht="15" customHeight="1">
      <c r="A4" s="450" t="inlineStr">
        <is>
          <t>Instrument typology</t>
        </is>
      </c>
      <c r="B4" s="449" t="inlineStr">
        <is>
          <t>Instrument type</t>
        </is>
      </c>
      <c r="C4" s="449" t="inlineStr">
        <is>
          <t>Instrument type according to IFCMA typology (cf IFCMA(2024)4/REV1)</t>
        </is>
      </c>
      <c r="D4" s="449" t="inlineStr">
        <is>
          <t>Categorial</t>
        </is>
      </c>
      <c r="E4" s="449" t="inlineStr">
        <is>
          <t>E.g., Taxes, Subsidies; Technology standards; Performance standards, …</t>
        </is>
      </c>
      <c r="F4" s="459" t="n"/>
      <c r="G4" s="499" t="n"/>
      <c r="H4" s="499" t="n"/>
      <c r="I4" s="499" t="n"/>
      <c r="J4" s="499" t="n"/>
      <c r="K4" s="499" t="n"/>
      <c r="L4" s="499" t="n"/>
      <c r="M4" s="499" t="n"/>
      <c r="N4" s="499" t="n"/>
      <c r="O4" s="499" t="n"/>
      <c r="P4" s="499" t="n"/>
      <c r="Q4" s="499" t="n"/>
      <c r="R4" s="499" t="n"/>
      <c r="S4" s="499" t="n"/>
      <c r="T4" s="499" t="n"/>
    </row>
    <row r="5" ht="15" customHeight="1">
      <c r="A5" s="369" t="n"/>
      <c r="B5" s="449" t="inlineStr">
        <is>
          <t>Instrument name</t>
        </is>
      </c>
      <c r="C5" s="449" t="inlineStr">
        <is>
          <t>Preliminary IFCMA harmonised instrument name (instrument list is under development)</t>
        </is>
      </c>
      <c r="D5" s="449" t="inlineStr">
        <is>
          <t>Categorial</t>
        </is>
      </c>
      <c r="E5" s="449" t="inlineStr">
        <is>
          <t>E.g., Carbon tax, Renewable electricity feed-in tariff, Subsidy for CCS, Bans and phase outs of ICE vehicles, Fuel Economy Standards, …</t>
        </is>
      </c>
      <c r="F5" s="459" t="n"/>
      <c r="G5" s="499" t="n"/>
      <c r="H5" s="499" t="n"/>
      <c r="I5" s="499" t="n"/>
      <c r="J5" s="499" t="n"/>
      <c r="K5" s="499" t="n"/>
      <c r="L5" s="499" t="n"/>
      <c r="M5" s="499" t="n"/>
      <c r="N5" s="499" t="n"/>
      <c r="O5" s="499" t="n"/>
      <c r="P5" s="499" t="n"/>
      <c r="Q5" s="499" t="n"/>
      <c r="R5" s="499" t="n"/>
      <c r="S5" s="499" t="n"/>
      <c r="T5" s="499" t="n"/>
    </row>
    <row r="6" ht="15" customHeight="1">
      <c r="A6" s="369" t="n"/>
      <c r="B6" s="449" t="inlineStr">
        <is>
          <t>Emission sector</t>
        </is>
      </c>
      <c r="C6" s="449" t="inlineStr">
        <is>
          <t>Preliminary IFCMA classification based on IPCC emission source sector classification, simplified version</t>
        </is>
      </c>
      <c r="D6" s="449" t="inlineStr">
        <is>
          <t>Categorial</t>
        </is>
      </c>
      <c r="E6" s="451" t="inlineStr">
        <is>
          <t>Energy, transport, buildings, industry, agriculture, waste, LULUCF</t>
        </is>
      </c>
      <c r="F6" s="459" t="n"/>
      <c r="G6" s="499" t="n"/>
      <c r="H6" s="499" t="n"/>
      <c r="I6" s="499" t="n"/>
      <c r="J6" s="499" t="n"/>
      <c r="K6" s="499" t="n"/>
      <c r="L6" s="499" t="n"/>
      <c r="M6" s="499" t="n"/>
      <c r="N6" s="499" t="n"/>
      <c r="O6" s="499" t="n"/>
      <c r="P6" s="499" t="n"/>
      <c r="Q6" s="499" t="n"/>
      <c r="R6" s="499" t="n"/>
      <c r="S6" s="499" t="n"/>
      <c r="T6" s="499" t="n"/>
    </row>
    <row r="7" ht="15" customHeight="1">
      <c r="A7" s="361" t="n"/>
      <c r="B7" s="449" t="inlineStr">
        <is>
          <t>Sub-sector</t>
        </is>
      </c>
      <c r="C7" s="451" t="inlineStr">
        <is>
          <t>Specify the sub-sector(s) under the "Emission sector" ; otherwise, use the same designation as the "Emission sector".</t>
        </is>
      </c>
      <c r="D7" s="449" t="inlineStr">
        <is>
          <t>Categorial</t>
        </is>
      </c>
      <c r="E7" s="449" t="inlineStr">
        <is>
          <t>Coal, solar power, wind power, hydrogen, nuclear power, steel, cement, automobile, battery, etc.</t>
        </is>
      </c>
      <c r="F7" s="459" t="n"/>
      <c r="G7" s="499" t="n"/>
      <c r="H7" s="499" t="n"/>
      <c r="I7" s="499" t="n"/>
      <c r="J7" s="499" t="n"/>
      <c r="K7" s="499" t="n"/>
      <c r="L7" s="499" t="n"/>
      <c r="M7" s="499" t="n"/>
      <c r="N7" s="499" t="n"/>
      <c r="O7" s="499" t="n"/>
      <c r="P7" s="499" t="n"/>
      <c r="Q7" s="499" t="n"/>
      <c r="R7" s="499" t="n"/>
      <c r="S7" s="499" t="n"/>
      <c r="T7" s="499" t="n"/>
    </row>
    <row r="8" ht="15" customHeight="1">
      <c r="A8" s="450" t="inlineStr">
        <is>
          <t>General information</t>
        </is>
      </c>
      <c r="B8" s="448" t="inlineStr">
        <is>
          <t>Domestic name</t>
        </is>
      </c>
      <c r="C8" s="448" t="inlineStr">
        <is>
          <t>Instrument name in original language. Preferably the name the policy is commonly known for. If there is ambiguity about the instrument name, the name used in the instrument's legal statute(s)</t>
        </is>
      </c>
      <c r="D8" s="449" t="inlineStr">
        <is>
          <t>Free text</t>
        </is>
      </c>
      <c r="E8" s="449" t="inlineStr">
        <is>
          <t>N/A</t>
        </is>
      </c>
      <c r="F8" s="459" t="n"/>
      <c r="G8" s="499" t="n"/>
      <c r="H8" s="499" t="n"/>
      <c r="I8" s="499" t="n"/>
      <c r="J8" s="499" t="n"/>
      <c r="K8" s="499" t="n"/>
      <c r="L8" s="499" t="n"/>
      <c r="M8" s="499" t="n"/>
      <c r="N8" s="499" t="n"/>
      <c r="O8" s="499" t="n"/>
      <c r="P8" s="499" t="n"/>
      <c r="Q8" s="499" t="n"/>
      <c r="R8" s="499" t="n"/>
      <c r="S8" s="499" t="n"/>
      <c r="T8" s="499" t="n"/>
    </row>
    <row r="9" ht="15" customHeight="1">
      <c r="A9" s="369" t="n"/>
      <c r="B9" s="448" t="inlineStr">
        <is>
          <t>English name</t>
        </is>
      </c>
      <c r="C9" s="448" t="inlineStr">
        <is>
          <t>English translation of domestic instrument name</t>
        </is>
      </c>
      <c r="D9" s="449" t="inlineStr">
        <is>
          <t>Free text</t>
        </is>
      </c>
      <c r="E9" s="449" t="inlineStr">
        <is>
          <t>N/A</t>
        </is>
      </c>
      <c r="F9" s="459" t="n"/>
      <c r="G9" s="499" t="n"/>
      <c r="H9" s="499" t="n"/>
      <c r="I9" s="499" t="n"/>
      <c r="J9" s="499" t="n"/>
      <c r="K9" s="499" t="n"/>
      <c r="L9" s="499" t="n"/>
      <c r="M9" s="499" t="n"/>
      <c r="N9" s="499" t="n"/>
      <c r="O9" s="499" t="n"/>
      <c r="P9" s="499" t="n"/>
      <c r="Q9" s="499" t="n"/>
      <c r="R9" s="499" t="n"/>
      <c r="S9" s="499" t="n"/>
      <c r="T9" s="499" t="n"/>
    </row>
    <row r="10" ht="15" customHeight="1">
      <c r="A10" s="369" t="n"/>
      <c r="B10" s="448" t="inlineStr">
        <is>
          <t>Policy package name</t>
        </is>
      </c>
      <c r="C10" s="448" t="inlineStr">
        <is>
          <t>The name of the policy package, if applicable. A policy package refers to an overarching framework that deliberately bundles and implements multiple instruments together to achieve synergistic effects, maximise overall impact, or minimise potential trade-offs. Examples include broad legislative packages such as building codes, or frameworks such as the United States 2022 Inflation Reduction Act or the European Union’s Fit for 55 legislation. It excludes “horizontal” linkages between policies, such as earmarking tax revenue for specific subsidies; these linkages are captured through the instrument-specific attributes</t>
        </is>
      </c>
      <c r="D10" s="449" t="inlineStr">
        <is>
          <t>Free</t>
        </is>
      </c>
      <c r="E10" s="449" t="inlineStr">
        <is>
          <t>N/A</t>
        </is>
      </c>
      <c r="F10" s="459" t="n"/>
      <c r="G10" s="499" t="n"/>
      <c r="H10" s="499" t="n"/>
      <c r="I10" s="499" t="n"/>
      <c r="J10" s="499" t="n"/>
      <c r="K10" s="499" t="n"/>
      <c r="L10" s="499" t="n"/>
      <c r="M10" s="499" t="n"/>
      <c r="N10" s="499" t="n"/>
      <c r="O10" s="499" t="n"/>
      <c r="P10" s="499" t="n"/>
      <c r="Q10" s="499" t="n"/>
      <c r="R10" s="499" t="n"/>
      <c r="S10" s="499" t="n"/>
      <c r="T10" s="499" t="n"/>
    </row>
    <row r="11" ht="15" customHeight="1">
      <c r="A11" s="369" t="n"/>
      <c r="B11" s="448" t="inlineStr">
        <is>
          <t>Description</t>
        </is>
      </c>
      <c r="C11" s="448" t="inlineStr">
        <is>
          <t>Brief description of the policy mechanism and specific design features</t>
        </is>
      </c>
      <c r="D11" s="449" t="inlineStr">
        <is>
          <t>Free</t>
        </is>
      </c>
      <c r="E11" s="449" t="inlineStr">
        <is>
          <t>N/A</t>
        </is>
      </c>
      <c r="F11" s="459" t="n"/>
      <c r="G11" s="499" t="n"/>
      <c r="H11" s="499" t="n"/>
      <c r="I11" s="499" t="n"/>
      <c r="J11" s="499" t="n"/>
      <c r="K11" s="499" t="n"/>
      <c r="L11" s="499" t="n"/>
      <c r="M11" s="499" t="n"/>
      <c r="N11" s="499" t="n"/>
      <c r="O11" s="499" t="n"/>
      <c r="P11" s="499" t="n"/>
      <c r="Q11" s="499" t="n"/>
      <c r="R11" s="499" t="n"/>
      <c r="S11" s="499" t="n"/>
      <c r="T11" s="499" t="n"/>
    </row>
    <row r="12" ht="15" customHeight="1">
      <c r="A12" s="369" t="n"/>
      <c r="B12" s="448" t="inlineStr">
        <is>
          <t>Objective</t>
        </is>
      </c>
      <c r="C12" s="448" t="inlineStr">
        <is>
          <t>Policy objective as explicitly stated in the legislation</t>
        </is>
      </c>
      <c r="D12" s="449" t="inlineStr">
        <is>
          <t>Categorial (multiple choice)</t>
        </is>
      </c>
      <c r="E12" s="449" t="inlineStr">
        <is>
          <t>Climate change mitigation; Non-fossil energy; Energy efficiency; Green economy; Technological innovation; Energy security; Pollution control; Ecological protection; Circular economy; Adaptation; Green finance; Electrification; Industrial development; Green consumption; Information disclosure; Public awareness; Ozone layer protection</t>
        </is>
      </c>
      <c r="F12" s="459" t="n"/>
      <c r="G12" s="499" t="n"/>
      <c r="H12" s="499" t="n"/>
      <c r="I12" s="499" t="n"/>
      <c r="J12" s="499" t="n"/>
      <c r="K12" s="499" t="n"/>
      <c r="L12" s="499" t="n"/>
      <c r="M12" s="499" t="n"/>
      <c r="N12" s="499" t="n"/>
      <c r="O12" s="499" t="n"/>
      <c r="P12" s="499" t="n"/>
      <c r="Q12" s="499" t="n"/>
      <c r="R12" s="499" t="n"/>
      <c r="S12" s="499" t="n"/>
      <c r="T12" s="499" t="n"/>
    </row>
    <row r="13" ht="15" customHeight="1">
      <c r="A13" s="369" t="n"/>
      <c r="B13" s="448" t="inlineStr">
        <is>
          <t>Mitigation relevance</t>
        </is>
      </c>
      <c r="C13" s="448" t="inlineStr">
        <is>
          <t>Indicates whether the policy instrument is a climate change mitigation one or a mitigation-relevant one. Direct means it is a mitigation instrument which explicitly intends to reduce or remove GHG emissions. Indirect means it is a mitigation-relevant instrument which may induce changes in emissions (positive or negative) without necessarily having emission reductions or removals as a primary goal.</t>
        </is>
      </c>
      <c r="D13" s="449" t="inlineStr">
        <is>
          <t>Categorial</t>
        </is>
      </c>
      <c r="E13" s="449" t="inlineStr">
        <is>
          <t>Direct; Indirect</t>
        </is>
      </c>
      <c r="F13" s="459" t="n"/>
      <c r="G13" s="499" t="n"/>
      <c r="H13" s="499" t="n"/>
      <c r="I13" s="499" t="n"/>
      <c r="J13" s="499" t="n"/>
      <c r="K13" s="499" t="n"/>
      <c r="L13" s="499" t="n"/>
      <c r="M13" s="499" t="n"/>
      <c r="N13" s="499" t="n"/>
      <c r="O13" s="499" t="n"/>
      <c r="P13" s="499" t="n"/>
      <c r="Q13" s="499" t="n"/>
      <c r="R13" s="499" t="n"/>
      <c r="S13" s="499" t="n"/>
      <c r="T13" s="499" t="n"/>
    </row>
    <row r="14" ht="15" customHeight="1">
      <c r="A14" s="369" t="n"/>
      <c r="B14" s="448" t="inlineStr">
        <is>
          <t>Jurisdiction level</t>
        </is>
      </c>
      <c r="C14" s="448" t="inlineStr">
        <is>
          <t>Jurisdiction level where the instrument is applied</t>
        </is>
      </c>
      <c r="D14" s="449" t="inlineStr">
        <is>
          <t>Categorial (single choice)</t>
        </is>
      </c>
      <c r="E14" s="449" t="inlineStr">
        <is>
          <t>National; Sub-national; Supra-national; Special economic zone</t>
        </is>
      </c>
      <c r="F14" s="459" t="n"/>
      <c r="G14" s="499" t="n"/>
      <c r="H14" s="499" t="n"/>
      <c r="I14" s="499" t="n"/>
      <c r="J14" s="499" t="n"/>
      <c r="K14" s="499" t="n"/>
      <c r="L14" s="499" t="n"/>
      <c r="M14" s="499" t="n"/>
      <c r="N14" s="499" t="n"/>
      <c r="O14" s="499" t="n"/>
      <c r="P14" s="499" t="n"/>
      <c r="Q14" s="499" t="n"/>
      <c r="R14" s="499" t="n"/>
      <c r="S14" s="499" t="n"/>
      <c r="T14" s="499" t="n"/>
    </row>
    <row r="15" ht="15" customHeight="1">
      <c r="A15" s="369" t="n"/>
      <c r="B15" s="448" t="inlineStr">
        <is>
          <t>Jurisdiction name</t>
        </is>
      </c>
      <c r="C15" s="448" t="inlineStr">
        <is>
          <t>Name of jurisdiction if it is applied at supra- / international or subnational level in english language</t>
        </is>
      </c>
      <c r="D15" s="449" t="inlineStr">
        <is>
          <t>Free</t>
        </is>
      </c>
      <c r="E15" s="449" t="inlineStr">
        <is>
          <t>N/A</t>
        </is>
      </c>
      <c r="F15" s="459" t="n"/>
      <c r="G15" s="499" t="n"/>
      <c r="H15" s="499" t="n"/>
      <c r="I15" s="499" t="n"/>
      <c r="J15" s="499" t="n"/>
      <c r="K15" s="499" t="n"/>
      <c r="L15" s="499" t="n"/>
      <c r="M15" s="499" t="n"/>
      <c r="N15" s="499" t="n"/>
      <c r="O15" s="499" t="n"/>
      <c r="P15" s="499" t="n"/>
      <c r="Q15" s="499" t="n"/>
      <c r="R15" s="499" t="n"/>
      <c r="S15" s="499" t="n"/>
      <c r="T15" s="499" t="n"/>
    </row>
    <row r="16" ht="15" customHeight="1">
      <c r="A16" s="369" t="n"/>
      <c r="B16" s="448" t="inlineStr">
        <is>
          <t>Status</t>
        </is>
      </c>
      <c r="C16" s="448" t="inlineStr">
        <is>
          <t>Defines if the instrument is active or inactive, and whether it is in force</t>
        </is>
      </c>
      <c r="D16" s="449" t="inlineStr">
        <is>
          <t>Categorial (single choice)</t>
        </is>
      </c>
      <c r="E16" s="449" t="inlineStr">
        <is>
          <t>In force; Scheduled; Ended; Non-existent</t>
        </is>
      </c>
      <c r="F16" s="459" t="n"/>
      <c r="G16" s="499" t="n"/>
      <c r="H16" s="499" t="n"/>
      <c r="I16" s="499" t="n"/>
      <c r="J16" s="499" t="n"/>
      <c r="K16" s="499" t="n"/>
      <c r="L16" s="499" t="n"/>
      <c r="M16" s="499" t="n"/>
      <c r="N16" s="499" t="n"/>
      <c r="O16" s="499" t="n"/>
      <c r="P16" s="499" t="n"/>
      <c r="Q16" s="499" t="n"/>
      <c r="R16" s="499" t="n"/>
      <c r="S16" s="499" t="n"/>
      <c r="T16" s="499" t="n"/>
    </row>
    <row r="17" ht="15" customHeight="1">
      <c r="A17" s="369" t="n"/>
      <c r="B17" s="448" t="inlineStr">
        <is>
          <t>Adoption date</t>
        </is>
      </c>
      <c r="C17" s="448" t="inlineStr">
        <is>
          <t>Date when the instrument is approved</t>
        </is>
      </c>
      <c r="D17" s="449" t="inlineStr">
        <is>
          <t>DMY protocol</t>
        </is>
      </c>
      <c r="E17" s="449" t="inlineStr">
        <is>
          <t>Fixed structure [mm/yyyy] or [yyyy]</t>
        </is>
      </c>
      <c r="F17" s="459" t="n"/>
      <c r="G17" s="499" t="n"/>
      <c r="H17" s="499" t="n"/>
      <c r="I17" s="499" t="n"/>
      <c r="J17" s="499" t="n"/>
      <c r="K17" s="499" t="n"/>
      <c r="L17" s="499" t="n"/>
      <c r="M17" s="499" t="n"/>
      <c r="N17" s="499" t="n"/>
      <c r="O17" s="499" t="n"/>
      <c r="P17" s="499" t="n"/>
      <c r="Q17" s="499" t="n"/>
      <c r="R17" s="499" t="n"/>
      <c r="S17" s="499" t="n"/>
      <c r="T17" s="499" t="n"/>
    </row>
    <row r="18" ht="15" customHeight="1">
      <c r="A18" s="369" t="n"/>
      <c r="B18" s="448" t="inlineStr">
        <is>
          <t>Start date</t>
        </is>
      </c>
      <c r="C18" s="448" t="inlineStr">
        <is>
          <t>Date of entry into force/ when the instrument became or will become legally binding</t>
        </is>
      </c>
      <c r="D18" s="449" t="inlineStr">
        <is>
          <t>DMY protocol</t>
        </is>
      </c>
      <c r="E18" s="449" t="inlineStr">
        <is>
          <t>Fixed structure [mm/yyyy] or [yyyy]</t>
        </is>
      </c>
      <c r="F18" s="459" t="n"/>
      <c r="G18" s="499" t="n"/>
      <c r="H18" s="499" t="n"/>
      <c r="I18" s="499" t="n"/>
      <c r="J18" s="499" t="n"/>
      <c r="K18" s="499" t="n"/>
      <c r="L18" s="499" t="n"/>
      <c r="M18" s="499" t="n"/>
      <c r="N18" s="499" t="n"/>
      <c r="O18" s="499" t="n"/>
      <c r="P18" s="499" t="n"/>
      <c r="Q18" s="499" t="n"/>
      <c r="R18" s="499" t="n"/>
      <c r="S18" s="499" t="n"/>
      <c r="T18" s="499" t="n"/>
    </row>
    <row r="19" ht="15" customHeight="1">
      <c r="A19" s="369" t="n"/>
      <c r="B19" s="448" t="inlineStr">
        <is>
          <t>End date</t>
        </is>
      </c>
      <c r="C19" s="448" t="inlineStr">
        <is>
          <t>Date when the final requirement of the legal mandate takes effect, if relevant</t>
        </is>
      </c>
      <c r="D19" s="449" t="inlineStr">
        <is>
          <t>DMY protocol</t>
        </is>
      </c>
      <c r="E19" s="449" t="inlineStr">
        <is>
          <t>Fixed structure [mm/yyyy] or [yyyy]</t>
        </is>
      </c>
      <c r="F19" s="459" t="n"/>
      <c r="G19" s="499" t="n"/>
      <c r="H19" s="499" t="n"/>
      <c r="I19" s="499" t="n"/>
      <c r="J19" s="499" t="n"/>
      <c r="K19" s="499" t="n"/>
      <c r="L19" s="499" t="n"/>
      <c r="M19" s="499" t="n"/>
      <c r="N19" s="499" t="n"/>
      <c r="O19" s="499" t="n"/>
      <c r="P19" s="499" t="n"/>
      <c r="Q19" s="499" t="n"/>
      <c r="R19" s="499" t="n"/>
      <c r="S19" s="499" t="n"/>
      <c r="T19" s="499" t="n"/>
    </row>
    <row r="20" ht="15" customHeight="1">
      <c r="A20" s="369" t="n"/>
      <c r="B20" s="448" t="inlineStr">
        <is>
          <t>Last revision</t>
        </is>
      </c>
      <c r="C20" s="448" t="inlineStr">
        <is>
          <t>Date of the last update/revision to the policy instrument</t>
        </is>
      </c>
      <c r="D20" s="449" t="inlineStr">
        <is>
          <t>DMY protocol</t>
        </is>
      </c>
      <c r="E20" s="449" t="inlineStr">
        <is>
          <t>Fixed structure [mm/yyyy] or [yyyy]</t>
        </is>
      </c>
      <c r="F20" s="459" t="n"/>
      <c r="G20" s="499" t="n"/>
      <c r="H20" s="499" t="n"/>
      <c r="I20" s="499" t="n"/>
      <c r="J20" s="499" t="n"/>
      <c r="K20" s="499" t="n"/>
      <c r="L20" s="499" t="n"/>
      <c r="M20" s="499" t="n"/>
      <c r="N20" s="499" t="n"/>
      <c r="O20" s="499" t="n"/>
      <c r="P20" s="499" t="n"/>
      <c r="Q20" s="499" t="n"/>
      <c r="R20" s="499" t="n"/>
      <c r="S20" s="499" t="n"/>
      <c r="T20" s="499" t="n"/>
    </row>
    <row r="21" ht="15" customHeight="1">
      <c r="A21" s="369" t="n"/>
      <c r="B21" s="448" t="inlineStr">
        <is>
          <t>Last revision details</t>
        </is>
      </c>
      <c r="C21" s="448" t="inlineStr">
        <is>
          <t>Informs on the nature of the last revision if applicable, what has been modified [broader scope, different intensity, new earmarking, etc) and/or previous relevant revisions</t>
        </is>
      </c>
      <c r="D21" s="449" t="inlineStr">
        <is>
          <t>Free text</t>
        </is>
      </c>
      <c r="E21" s="449" t="n"/>
      <c r="F21" s="459" t="n"/>
      <c r="G21" s="499" t="n"/>
      <c r="H21" s="499" t="n"/>
      <c r="I21" s="499" t="n"/>
      <c r="J21" s="499" t="n"/>
      <c r="K21" s="499" t="n"/>
      <c r="L21" s="499" t="n"/>
      <c r="M21" s="499" t="n"/>
      <c r="N21" s="499" t="n"/>
      <c r="O21" s="499" t="n"/>
      <c r="P21" s="499" t="n"/>
      <c r="Q21" s="499" t="n"/>
      <c r="R21" s="499" t="n"/>
      <c r="S21" s="499" t="n"/>
      <c r="T21" s="499" t="n"/>
    </row>
    <row r="22" ht="15" customHeight="1">
      <c r="A22" s="361" t="n"/>
      <c r="B22" s="448" t="inlineStr">
        <is>
          <t>Aministrating authority</t>
        </is>
      </c>
      <c r="C22" s="448" t="inlineStr">
        <is>
          <t>The institution(s) that implement and manage the instrument. This involves setting rates and/or defining the policy base</t>
        </is>
      </c>
      <c r="D22" s="449" t="inlineStr">
        <is>
          <t>Free</t>
        </is>
      </c>
      <c r="E22" s="449" t="inlineStr">
        <is>
          <t>N/A</t>
        </is>
      </c>
      <c r="F22" s="459" t="n"/>
      <c r="G22" s="499" t="n"/>
      <c r="H22" s="499" t="n"/>
      <c r="I22" s="499" t="n"/>
      <c r="J22" s="499" t="n"/>
      <c r="K22" s="499" t="n"/>
      <c r="L22" s="499" t="n"/>
      <c r="M22" s="499" t="n"/>
      <c r="N22" s="499" t="n"/>
      <c r="O22" s="499" t="n"/>
      <c r="P22" s="499" t="n"/>
      <c r="Q22" s="499" t="n"/>
      <c r="R22" s="499" t="n"/>
      <c r="S22" s="499" t="n"/>
      <c r="T22" s="499" t="n"/>
    </row>
    <row r="23" ht="15" customHeight="1">
      <c r="A23" s="452" t="inlineStr">
        <is>
          <t>Policy regulatory base and intensity</t>
        </is>
      </c>
      <c r="B23" s="448" t="inlineStr">
        <is>
          <t>Regulated asset</t>
        </is>
      </c>
      <c r="C23" s="448" t="inlineStr">
        <is>
          <t>The object that is regulated; this can be a structure (e.g. boilers and turbines), a fuel (e.g. coal or gas), emissions, more generic objects such as products and inputs, as well as intangible assets</t>
        </is>
      </c>
      <c r="D23" s="449" t="inlineStr">
        <is>
          <t>Categorial (multiple choice), free for details</t>
        </is>
      </c>
      <c r="E23" s="449" t="inlineStr">
        <is>
          <t>Non-exhaustive list</t>
        </is>
      </c>
      <c r="F23" s="459" t="n"/>
      <c r="G23" s="499" t="n"/>
      <c r="H23" s="499" t="n"/>
      <c r="I23" s="499" t="n"/>
      <c r="J23" s="499" t="n"/>
      <c r="K23" s="499" t="n"/>
      <c r="L23" s="499" t="n"/>
      <c r="M23" s="499" t="n"/>
      <c r="N23" s="499" t="n"/>
      <c r="O23" s="499" t="n"/>
      <c r="P23" s="499" t="n"/>
      <c r="Q23" s="499" t="n"/>
      <c r="R23" s="499" t="n"/>
      <c r="S23" s="499" t="n"/>
      <c r="T23" s="499" t="n"/>
    </row>
    <row r="24" ht="15" customHeight="1">
      <c r="A24" s="369" t="n"/>
      <c r="B24" s="448" t="inlineStr">
        <is>
          <t>Regulated asset (Status)</t>
        </is>
      </c>
      <c r="C24" s="448" t="inlineStr">
        <is>
          <t>Asset status, i.e. whether an asset is newly sold or build, already existing (building stock or vehicle fleet) or is sold used</t>
        </is>
      </c>
      <c r="D24" s="449" t="inlineStr">
        <is>
          <t>Categorial</t>
        </is>
      </c>
      <c r="E24" s="449" t="inlineStr">
        <is>
          <t>New; existing</t>
        </is>
      </c>
      <c r="F24" s="459" t="n"/>
      <c r="G24" s="499" t="n"/>
      <c r="H24" s="499" t="n"/>
      <c r="I24" s="499" t="n"/>
      <c r="J24" s="499" t="n"/>
      <c r="K24" s="499" t="n"/>
      <c r="L24" s="499" t="n"/>
      <c r="M24" s="499" t="n"/>
      <c r="N24" s="499" t="n"/>
      <c r="O24" s="499" t="n"/>
      <c r="P24" s="499" t="n"/>
      <c r="Q24" s="499" t="n"/>
      <c r="R24" s="499" t="n"/>
      <c r="S24" s="499" t="n"/>
      <c r="T24" s="499" t="n"/>
    </row>
    <row r="25" ht="15" customHeight="1">
      <c r="A25" s="369" t="n"/>
      <c r="B25" s="448" t="inlineStr">
        <is>
          <t>Regulated asset (Details)</t>
        </is>
      </c>
      <c r="C25" s="448" t="inlineStr">
        <is>
          <t>Asset type, which can take various forms depending on asset. Could include enginge types, or other technological specifications</t>
        </is>
      </c>
      <c r="D25" s="449" t="inlineStr">
        <is>
          <t>Categorial</t>
        </is>
      </c>
      <c r="E25" s="449" t="inlineStr">
        <is>
          <t>Non-exhaustive list</t>
        </is>
      </c>
      <c r="F25" s="459" t="n"/>
      <c r="G25" s="499" t="n"/>
      <c r="H25" s="499" t="n"/>
      <c r="I25" s="499" t="n"/>
      <c r="J25" s="499" t="n"/>
      <c r="K25" s="499" t="n"/>
      <c r="L25" s="499" t="n"/>
      <c r="M25" s="499" t="n"/>
      <c r="N25" s="499" t="n"/>
      <c r="O25" s="499" t="n"/>
      <c r="P25" s="499" t="n"/>
      <c r="Q25" s="499" t="n"/>
      <c r="R25" s="499" t="n"/>
      <c r="S25" s="499" t="n"/>
      <c r="T25" s="499" t="n"/>
    </row>
    <row r="26" ht="15" customHeight="1">
      <c r="A26" s="369" t="n"/>
      <c r="B26" s="448" t="inlineStr">
        <is>
          <t>Regulated asset (Other)</t>
        </is>
      </c>
      <c r="C26" s="448" t="inlineStr">
        <is>
          <t>Other details relevant to define the regulated assets</t>
        </is>
      </c>
      <c r="D26" s="449" t="inlineStr">
        <is>
          <t>Free</t>
        </is>
      </c>
      <c r="E26" s="449" t="inlineStr">
        <is>
          <t>N/A</t>
        </is>
      </c>
      <c r="F26" s="459" t="n"/>
      <c r="G26" s="499" t="n"/>
      <c r="H26" s="499" t="n"/>
      <c r="I26" s="499" t="n"/>
      <c r="J26" s="499" t="n"/>
      <c r="K26" s="499" t="n"/>
      <c r="L26" s="499" t="n"/>
      <c r="M26" s="499" t="n"/>
      <c r="N26" s="499" t="n"/>
      <c r="O26" s="499" t="n"/>
      <c r="P26" s="499" t="n"/>
      <c r="Q26" s="499" t="n"/>
      <c r="R26" s="499" t="n"/>
      <c r="S26" s="499" t="n"/>
      <c r="T26" s="499" t="n"/>
    </row>
    <row r="27" ht="15" customHeight="1">
      <c r="A27" s="369" t="n"/>
      <c r="B27" s="448" t="inlineStr">
        <is>
          <t>Regulated asset (Cut-off range)</t>
        </is>
      </c>
      <c r="C27" s="448" t="inlineStr">
        <is>
          <t>Refers to the specific details outlining the range or category of the regulatory base that is subject to the regulation by the instrument. The brackets delineate the boundaries within which regulatory stipulations are applied by the instrument. It could be income brackets, asset classes (e.g. based on size).</t>
        </is>
      </c>
      <c r="D27" s="449" t="inlineStr">
        <is>
          <t>Open structure</t>
        </is>
      </c>
      <c r="E27" s="449" t="inlineStr">
        <is>
          <t>[XXXX ; YYYY] + unit</t>
        </is>
      </c>
      <c r="F27" s="459" t="n"/>
      <c r="G27" s="499" t="n"/>
      <c r="H27" s="499" t="n"/>
      <c r="I27" s="499" t="n"/>
      <c r="J27" s="499" t="n"/>
      <c r="K27" s="499" t="n"/>
      <c r="L27" s="499" t="n"/>
      <c r="M27" s="499" t="n"/>
      <c r="N27" s="499" t="n"/>
      <c r="O27" s="499" t="n"/>
      <c r="P27" s="499" t="n"/>
      <c r="Q27" s="499" t="n"/>
      <c r="R27" s="499" t="n"/>
      <c r="S27" s="499" t="n"/>
      <c r="T27" s="499" t="n"/>
    </row>
    <row r="28" ht="15" customHeight="1">
      <c r="A28" s="369" t="n"/>
      <c r="B28" s="448" t="inlineStr">
        <is>
          <t>Regulated agent</t>
        </is>
      </c>
      <c r="C28" s="448" t="inlineStr">
        <is>
          <t>Entity that must legally comply with the policy instrument, or that receive the established benefit or information</t>
        </is>
      </c>
      <c r="D28" s="449" t="inlineStr">
        <is>
          <t>Categorial (multiple choice), free for details</t>
        </is>
      </c>
      <c r="E28" s="449" t="inlineStr">
        <is>
          <t>Households; Firms; Governments; Non-governmental organisations</t>
        </is>
      </c>
      <c r="F28" s="459" t="n"/>
      <c r="G28" s="499" t="n"/>
      <c r="H28" s="499" t="n"/>
      <c r="I28" s="499" t="n"/>
      <c r="J28" s="499" t="n"/>
      <c r="K28" s="499" t="n"/>
      <c r="L28" s="499" t="n"/>
      <c r="M28" s="499" t="n"/>
      <c r="N28" s="499" t="n"/>
      <c r="O28" s="499" t="n"/>
      <c r="P28" s="499" t="n"/>
      <c r="Q28" s="499" t="n"/>
      <c r="R28" s="499" t="n"/>
      <c r="S28" s="499" t="n"/>
      <c r="T28" s="499" t="n"/>
    </row>
    <row r="29" ht="15" customHeight="1">
      <c r="A29" s="369" t="n"/>
      <c r="B29" s="448" t="inlineStr">
        <is>
          <t>Regulated agent (Detail)</t>
        </is>
      </c>
      <c r="C29" s="448" t="inlineStr">
        <is>
          <t>Details relevant to define the regulated agents (e.g., vehicles older than 10 years, housholds/firms above a certain revenue treshhold, etc.)</t>
        </is>
      </c>
      <c r="D29" s="449" t="inlineStr">
        <is>
          <t>Free</t>
        </is>
      </c>
      <c r="E29" s="449" t="inlineStr">
        <is>
          <t>N/A</t>
        </is>
      </c>
      <c r="F29" s="459" t="n"/>
      <c r="G29" s="499" t="n"/>
      <c r="H29" s="499" t="n"/>
      <c r="I29" s="499" t="n"/>
      <c r="J29" s="499" t="n"/>
      <c r="K29" s="499" t="n"/>
      <c r="L29" s="499" t="n"/>
      <c r="M29" s="499" t="n"/>
      <c r="N29" s="499" t="n"/>
      <c r="O29" s="499" t="n"/>
      <c r="P29" s="499" t="n"/>
      <c r="Q29" s="499" t="n"/>
      <c r="R29" s="499" t="n"/>
      <c r="S29" s="499" t="n"/>
      <c r="T29" s="499" t="n"/>
    </row>
    <row r="30" ht="15" customHeight="1">
      <c r="A30" s="369" t="n"/>
      <c r="B30" s="448" t="inlineStr">
        <is>
          <t>Regulated activity</t>
        </is>
      </c>
      <c r="C30" s="448" t="inlineStr">
        <is>
          <t>The point of incidence when the policy instrument intervenes</t>
        </is>
      </c>
      <c r="D30" s="449" t="inlineStr">
        <is>
          <t>Categorial (multiple choice), free for details</t>
        </is>
      </c>
      <c r="E30" s="449" t="inlineStr">
        <is>
          <t>Non-exhaustive list</t>
        </is>
      </c>
      <c r="F30" s="459" t="n"/>
      <c r="G30" s="499" t="n"/>
      <c r="H30" s="499" t="n"/>
      <c r="I30" s="499" t="n"/>
      <c r="J30" s="499" t="n"/>
      <c r="K30" s="499" t="n"/>
      <c r="L30" s="499" t="n"/>
      <c r="M30" s="499" t="n"/>
      <c r="N30" s="499" t="n"/>
      <c r="O30" s="499" t="n"/>
      <c r="P30" s="499" t="n"/>
      <c r="Q30" s="499" t="n"/>
      <c r="R30" s="499" t="n"/>
      <c r="S30" s="499" t="n"/>
      <c r="T30" s="499" t="n"/>
    </row>
    <row r="31" ht="15" customHeight="1">
      <c r="A31" s="369" t="n"/>
      <c r="B31" s="448" t="inlineStr">
        <is>
          <t>Regulated activity (Details)</t>
        </is>
      </c>
      <c r="C31" s="448" t="inlineStr">
        <is>
          <t>Other details relevant to define the regulated activity</t>
        </is>
      </c>
      <c r="D31" s="449" t="inlineStr">
        <is>
          <t>Free</t>
        </is>
      </c>
      <c r="E31" s="449" t="inlineStr">
        <is>
          <t>N/A</t>
        </is>
      </c>
      <c r="F31" s="459" t="n"/>
      <c r="G31" s="499" t="n"/>
      <c r="H31" s="499" t="n"/>
      <c r="I31" s="499" t="n"/>
      <c r="J31" s="499" t="n"/>
      <c r="K31" s="499" t="n"/>
      <c r="L31" s="499" t="n"/>
      <c r="M31" s="499" t="n"/>
      <c r="N31" s="499" t="n"/>
      <c r="O31" s="499" t="n"/>
      <c r="P31" s="499" t="n"/>
      <c r="Q31" s="499" t="n"/>
      <c r="R31" s="499" t="n"/>
      <c r="S31" s="499" t="n"/>
      <c r="T31" s="499" t="n"/>
    </row>
    <row r="32" ht="15" customHeight="1">
      <c r="A32" s="369" t="n"/>
      <c r="B32" s="448" t="inlineStr">
        <is>
          <t>Intensity (Value)</t>
        </is>
      </c>
      <c r="C32" s="448" t="inlineStr">
        <is>
          <t>The numerical value used in the legislation (level, rate, target, etc)</t>
        </is>
      </c>
      <c r="D32" s="449" t="inlineStr">
        <is>
          <t>Free</t>
        </is>
      </c>
      <c r="E32" s="449" t="inlineStr">
        <is>
          <t>N/A</t>
        </is>
      </c>
      <c r="F32" s="459" t="n"/>
      <c r="G32" s="499" t="n"/>
      <c r="H32" s="499" t="n"/>
      <c r="I32" s="499" t="n"/>
      <c r="J32" s="499" t="n"/>
      <c r="K32" s="499" t="n"/>
      <c r="L32" s="499" t="n"/>
      <c r="M32" s="499" t="n"/>
      <c r="N32" s="499" t="n"/>
      <c r="O32" s="499" t="n"/>
      <c r="P32" s="499" t="n"/>
      <c r="Q32" s="499" t="n"/>
      <c r="R32" s="499" t="n"/>
      <c r="S32" s="499" t="n"/>
      <c r="T32" s="499" t="n"/>
    </row>
    <row r="33" ht="15" customHeight="1">
      <c r="A33" s="369" t="n"/>
      <c r="B33" s="448" t="inlineStr">
        <is>
          <t>Intensity (Unit)</t>
        </is>
      </c>
      <c r="C33" s="448" t="inlineStr">
        <is>
          <t>The unit of the intensity value, e.g. EUR, km, %, level, etc.</t>
        </is>
      </c>
      <c r="D33" s="449" t="inlineStr">
        <is>
          <t>Free</t>
        </is>
      </c>
      <c r="E33" s="449" t="inlineStr">
        <is>
          <t>[unit as stated in the regulation]</t>
        </is>
      </c>
      <c r="F33" s="459" t="n"/>
      <c r="G33" s="499" t="n"/>
      <c r="H33" s="499" t="n"/>
      <c r="I33" s="499" t="n"/>
      <c r="J33" s="499" t="n"/>
      <c r="K33" s="499" t="n"/>
      <c r="L33" s="499" t="n"/>
      <c r="M33" s="499" t="n"/>
      <c r="N33" s="499" t="n"/>
      <c r="O33" s="499" t="n"/>
      <c r="P33" s="499" t="n"/>
      <c r="Q33" s="499" t="n"/>
      <c r="R33" s="499" t="n"/>
      <c r="S33" s="499" t="n"/>
      <c r="T33" s="499" t="n"/>
    </row>
    <row r="34" ht="15" customHeight="1">
      <c r="A34" s="369" t="n"/>
      <c r="B34" s="448" t="inlineStr">
        <is>
          <t>Intensity (Details)</t>
        </is>
      </c>
      <c r="C34" s="448" t="inlineStr">
        <is>
          <t>Further details about the intensity, if necessary, e.g. if the intensity is calculated on a formula, the formula and an average intensity value can be provided</t>
        </is>
      </c>
      <c r="D34" s="449" t="inlineStr">
        <is>
          <t>Free</t>
        </is>
      </c>
      <c r="E34" s="449" t="inlineStr">
        <is>
          <t>N/A</t>
        </is>
      </c>
      <c r="F34" s="459" t="n"/>
      <c r="G34" s="499" t="n"/>
      <c r="H34" s="499" t="n"/>
      <c r="I34" s="499" t="n"/>
      <c r="J34" s="499" t="n"/>
      <c r="K34" s="499" t="n"/>
      <c r="L34" s="499" t="n"/>
      <c r="M34" s="499" t="n"/>
      <c r="N34" s="499" t="n"/>
      <c r="O34" s="499" t="n"/>
      <c r="P34" s="499" t="n"/>
      <c r="Q34" s="499" t="n"/>
      <c r="R34" s="499" t="n"/>
      <c r="S34" s="499" t="n"/>
      <c r="T34" s="499" t="n"/>
    </row>
    <row r="35" ht="15" customHeight="1">
      <c r="A35" s="369" t="n"/>
      <c r="B35" s="448" t="inlineStr">
        <is>
          <t>Requirement specification</t>
        </is>
      </c>
      <c r="C35" s="448" t="inlineStr">
        <is>
          <t>If an intensity changes based on a requirement not yet captured in the asset, activity or agent attributes but is relevant to understand and describe a policy instrument, this requirement is entered here.</t>
        </is>
      </c>
      <c r="D35" s="449" t="inlineStr">
        <is>
          <t>Free</t>
        </is>
      </c>
      <c r="E35" s="449" t="inlineStr">
        <is>
          <t>N/A</t>
        </is>
      </c>
      <c r="F35" s="459" t="n"/>
      <c r="G35" s="499" t="n"/>
      <c r="H35" s="499" t="n"/>
      <c r="I35" s="499" t="n"/>
      <c r="J35" s="499" t="n"/>
      <c r="K35" s="499" t="n"/>
      <c r="L35" s="499" t="n"/>
      <c r="M35" s="499" t="n"/>
      <c r="N35" s="499" t="n"/>
      <c r="O35" s="499" t="n"/>
      <c r="P35" s="499" t="n"/>
      <c r="Q35" s="499" t="n"/>
      <c r="R35" s="499" t="n"/>
      <c r="S35" s="499" t="n"/>
      <c r="T35" s="499" t="n"/>
    </row>
    <row r="36" ht="15" customHeight="1">
      <c r="A36" s="369" t="n"/>
      <c r="B36" s="448" t="inlineStr">
        <is>
          <t>Compliance calculation methodology I</t>
        </is>
      </c>
      <c r="C36" s="448" t="inlineStr">
        <is>
          <t>Indicates whether the instrument applies to individual regulated assets or an aggregate of assets (e.g., their total production, operation, or sales).</t>
        </is>
      </c>
      <c r="D36" s="449" t="inlineStr">
        <is>
          <t>Free</t>
        </is>
      </c>
      <c r="E36" s="449" t="inlineStr">
        <is>
          <t>N/A</t>
        </is>
      </c>
      <c r="F36" s="459" t="n"/>
      <c r="G36" s="499" t="n"/>
      <c r="H36" s="499" t="n"/>
      <c r="I36" s="499" t="n"/>
      <c r="J36" s="499" t="n"/>
      <c r="K36" s="499" t="n"/>
      <c r="L36" s="499" t="n"/>
      <c r="M36" s="499" t="n"/>
      <c r="N36" s="499" t="n"/>
      <c r="O36" s="499" t="n"/>
      <c r="P36" s="499" t="n"/>
      <c r="Q36" s="499" t="n"/>
      <c r="R36" s="499" t="n"/>
      <c r="S36" s="499" t="n"/>
      <c r="T36" s="499" t="n"/>
    </row>
    <row r="37" ht="15" customHeight="1">
      <c r="A37" s="361" t="n"/>
      <c r="B37" s="448" t="inlineStr">
        <is>
          <t>Compliance calculation methodology II</t>
        </is>
      </c>
      <c r="C37" s="448" t="inlineStr">
        <is>
          <t>Describes the methodology or rules used to evaluate compliance with the instrument’s requirements.</t>
        </is>
      </c>
      <c r="D37" s="449" t="inlineStr">
        <is>
          <t>Free</t>
        </is>
      </c>
      <c r="E37" s="449" t="inlineStr">
        <is>
          <t>N/A</t>
        </is>
      </c>
      <c r="F37" s="459" t="n"/>
      <c r="G37" s="499" t="n"/>
      <c r="H37" s="499" t="n"/>
      <c r="I37" s="499" t="n"/>
      <c r="J37" s="499" t="n"/>
      <c r="K37" s="499" t="n"/>
      <c r="L37" s="499" t="n"/>
      <c r="M37" s="499" t="n"/>
      <c r="N37" s="499" t="n"/>
      <c r="O37" s="499" t="n"/>
      <c r="P37" s="499" t="n"/>
      <c r="Q37" s="499" t="n"/>
      <c r="R37" s="499" t="n"/>
      <c r="S37" s="499" t="n"/>
      <c r="T37" s="499" t="n"/>
    </row>
    <row r="38" ht="15" customHeight="1">
      <c r="A38" s="452" t="inlineStr">
        <is>
          <t xml:space="preserve">References to legislation   </t>
        </is>
      </c>
      <c r="B38" s="448" t="inlineStr">
        <is>
          <t>Legal statute</t>
        </is>
      </c>
      <c r="C38" s="448" t="inlineStr">
        <is>
          <t>Name of relevant legal document(s) and chapter(s) and/or article(s) that established or modified the instrument (if revised)</t>
        </is>
      </c>
      <c r="D38" s="449" t="inlineStr">
        <is>
          <t>Free</t>
        </is>
      </c>
      <c r="E38" s="449" t="inlineStr">
        <is>
          <t>N/A</t>
        </is>
      </c>
      <c r="F38" s="459" t="n"/>
      <c r="G38" s="499" t="n"/>
      <c r="H38" s="499" t="n"/>
      <c r="I38" s="499" t="n"/>
      <c r="J38" s="499" t="n"/>
      <c r="K38" s="499" t="n"/>
      <c r="L38" s="499" t="n"/>
      <c r="M38" s="499" t="n"/>
      <c r="N38" s="499" t="n"/>
      <c r="O38" s="499" t="n"/>
      <c r="P38" s="499" t="n"/>
      <c r="Q38" s="499" t="n"/>
      <c r="R38" s="499" t="n"/>
      <c r="S38" s="499" t="n"/>
      <c r="T38" s="499" t="n"/>
    </row>
    <row r="39" ht="15" customHeight="1">
      <c r="A39" s="369" t="n"/>
      <c r="B39" s="448" t="inlineStr">
        <is>
          <t>Legal document</t>
        </is>
      </c>
      <c r="C39" s="448" t="inlineStr">
        <is>
          <t>Weblink to the relevant legal document that established or modified the instrument (if revised)</t>
        </is>
      </c>
      <c r="D39" s="449" t="inlineStr">
        <is>
          <t>Free</t>
        </is>
      </c>
      <c r="E39" s="449" t="inlineStr">
        <is>
          <t>N/A</t>
        </is>
      </c>
      <c r="F39" s="459" t="n"/>
      <c r="G39" s="499" t="n"/>
      <c r="H39" s="499" t="n"/>
      <c r="I39" s="499" t="n"/>
      <c r="J39" s="499" t="n"/>
      <c r="K39" s="499" t="n"/>
      <c r="L39" s="499" t="n"/>
      <c r="M39" s="499" t="n"/>
      <c r="N39" s="499" t="n"/>
      <c r="O39" s="499" t="n"/>
      <c r="P39" s="499" t="n"/>
      <c r="Q39" s="499" t="n"/>
      <c r="R39" s="499" t="n"/>
      <c r="S39" s="499" t="n"/>
      <c r="T39" s="499" t="n"/>
    </row>
    <row r="40" ht="15" customHeight="1">
      <c r="A40" s="361" t="n"/>
      <c r="B40" s="448" t="inlineStr">
        <is>
          <t>Other relevant websites</t>
        </is>
      </c>
      <c r="C40" s="448" t="inlineStr">
        <is>
          <t>Weblinks to other relevant websites</t>
        </is>
      </c>
      <c r="D40" s="449" t="inlineStr">
        <is>
          <t>Free</t>
        </is>
      </c>
      <c r="E40" s="449" t="inlineStr">
        <is>
          <t>N/A</t>
        </is>
      </c>
      <c r="F40" s="459" t="n"/>
      <c r="G40" s="499" t="n"/>
      <c r="H40" s="499" t="n"/>
      <c r="I40" s="499" t="n"/>
      <c r="J40" s="499" t="n"/>
      <c r="K40" s="499" t="n"/>
      <c r="L40" s="499" t="n"/>
      <c r="M40" s="499" t="n"/>
      <c r="N40" s="499" t="n"/>
      <c r="O40" s="499" t="n"/>
      <c r="P40" s="499" t="n"/>
      <c r="Q40" s="499" t="n"/>
      <c r="R40" s="499" t="n"/>
      <c r="S40" s="499" t="n"/>
      <c r="T40" s="499" t="n"/>
    </row>
    <row r="41" ht="15" customHeight="1">
      <c r="A41" s="452" t="inlineStr">
        <is>
          <t xml:space="preserve">GHG emission base  </t>
        </is>
      </c>
      <c r="B41" s="448" t="inlineStr">
        <is>
          <t>GHG emission coverage (absolute)</t>
        </is>
      </c>
      <c r="C41" s="448" t="inlineStr">
        <is>
          <t>Quantification of the instrument's emission base, in absolute terms</t>
        </is>
      </c>
      <c r="D41" s="449" t="inlineStr">
        <is>
          <t>Numerical</t>
        </is>
      </c>
      <c r="E41" s="449" t="inlineStr">
        <is>
          <t>in KtCO2eq</t>
        </is>
      </c>
      <c r="F41" s="500" t="n"/>
      <c r="G41" s="501" t="n"/>
      <c r="H41" s="501" t="n"/>
      <c r="I41" s="502" t="n"/>
      <c r="J41" s="499" t="n"/>
      <c r="K41" s="499" t="n"/>
      <c r="L41" s="499" t="n"/>
      <c r="M41" s="499" t="n"/>
      <c r="N41" s="499" t="n"/>
      <c r="O41" s="499" t="n"/>
      <c r="P41" s="499" t="n"/>
      <c r="Q41" s="499" t="n"/>
      <c r="R41" s="499" t="n"/>
      <c r="S41" s="499" t="n"/>
      <c r="T41" s="499" t="n"/>
    </row>
    <row r="42" ht="15" customHeight="1">
      <c r="A42" s="361" t="n"/>
      <c r="B42" s="448" t="inlineStr">
        <is>
          <t>GHG emission base (% domestic emissions)</t>
        </is>
      </c>
      <c r="C42" s="448" t="inlineStr">
        <is>
          <t>Quantification of the instrument's emission base, relative to total domestic emissions</t>
        </is>
      </c>
      <c r="D42" s="449" t="inlineStr">
        <is>
          <t>Numerical</t>
        </is>
      </c>
      <c r="E42" s="449" t="inlineStr">
        <is>
          <t>in % [over domestic emissions]</t>
        </is>
      </c>
      <c r="F42" s="500" t="n"/>
      <c r="G42" s="501" t="n"/>
      <c r="H42" s="501" t="n"/>
      <c r="I42" s="502" t="n"/>
      <c r="J42" s="499" t="n"/>
      <c r="K42" s="499" t="n"/>
      <c r="L42" s="499" t="n"/>
      <c r="M42" s="499" t="n"/>
      <c r="N42" s="499" t="n"/>
      <c r="O42" s="499" t="n"/>
      <c r="P42" s="499" t="n"/>
      <c r="Q42" s="499" t="n"/>
      <c r="R42" s="499" t="n"/>
      <c r="S42" s="499" t="n"/>
      <c r="T42" s="499" t="n"/>
    </row>
    <row r="43" ht="15" customHeight="1">
      <c r="A43" s="452" t="inlineStr">
        <is>
          <t xml:space="preserve">Classifications &amp; Indicators  </t>
        </is>
      </c>
      <c r="B43" s="448" t="inlineStr">
        <is>
          <t>Economic sector</t>
        </is>
      </c>
      <c r="C43" s="448" t="inlineStr">
        <is>
          <t>Classification based on the regulated agent. If the regulated agent is a firm, the sector will be allocated according to the International Standard Industrial Classification of All Economic Activities (ISIC)</t>
        </is>
      </c>
      <c r="D43" s="449" t="inlineStr">
        <is>
          <t>Categorial</t>
        </is>
      </c>
      <c r="E43" s="449" t="inlineStr">
        <is>
          <t>2-digit ISIC classification</t>
        </is>
      </c>
      <c r="F43" s="459" t="n"/>
      <c r="G43" s="499" t="n"/>
      <c r="H43" s="499" t="n"/>
      <c r="I43" s="499" t="n"/>
      <c r="J43" s="499" t="n"/>
      <c r="K43" s="499" t="n"/>
      <c r="L43" s="499" t="n"/>
      <c r="M43" s="499" t="n"/>
      <c r="N43" s="499" t="n"/>
      <c r="O43" s="499" t="n"/>
      <c r="P43" s="499" t="n"/>
      <c r="Q43" s="499" t="n"/>
      <c r="R43" s="499" t="n"/>
      <c r="S43" s="499" t="n"/>
      <c r="T43" s="499" t="n"/>
    </row>
    <row r="44" ht="15" customHeight="1">
      <c r="A44" s="369" t="n"/>
      <c r="B44" s="448" t="inlineStr">
        <is>
          <t>GHGs affected</t>
        </is>
      </c>
      <c r="C44" s="448" t="inlineStr">
        <is>
          <t>GHGs that are regulated (where directly regulated); otherwise GHG that are likely to be affected by the instrument.</t>
        </is>
      </c>
      <c r="D44" s="449" t="inlineStr">
        <is>
          <t>Categorial</t>
        </is>
      </c>
      <c r="E44" s="449" t="inlineStr">
        <is>
          <t>CO2; CH4; N2O; SF6; HFCs; PFCs; NF3</t>
        </is>
      </c>
      <c r="F44" s="459" t="n"/>
      <c r="G44" s="499" t="n"/>
      <c r="H44" s="499" t="n"/>
      <c r="I44" s="499" t="n"/>
      <c r="J44" s="499" t="n"/>
      <c r="K44" s="499" t="n"/>
      <c r="L44" s="499" t="n"/>
      <c r="M44" s="499" t="n"/>
      <c r="N44" s="499" t="n"/>
      <c r="O44" s="499" t="n"/>
      <c r="P44" s="499" t="n"/>
      <c r="Q44" s="499" t="n"/>
      <c r="R44" s="499" t="n"/>
      <c r="S44" s="499" t="n"/>
      <c r="T44" s="499" t="n"/>
    </row>
    <row r="45" ht="15" customHeight="1">
      <c r="A45" s="369" t="n"/>
      <c r="B45" s="448" t="inlineStr">
        <is>
          <t>Mitigation effect</t>
        </is>
      </c>
      <c r="C45" s="448" t="inlineStr">
        <is>
          <t>Describes whether effect on GHG emissions/sinks is likely to be positive, negative, or unknown</t>
        </is>
      </c>
      <c r="D45" s="449" t="inlineStr">
        <is>
          <t>Categorial</t>
        </is>
      </c>
      <c r="E45" s="449" t="inlineStr">
        <is>
          <t>positive, negative, neutral, unknown</t>
        </is>
      </c>
      <c r="F45" s="459" t="n"/>
      <c r="G45" s="499" t="n"/>
      <c r="H45" s="499" t="n"/>
      <c r="I45" s="499" t="n"/>
      <c r="J45" s="499" t="n"/>
      <c r="K45" s="499" t="n"/>
      <c r="L45" s="499" t="n"/>
      <c r="M45" s="499" t="n"/>
      <c r="N45" s="499" t="n"/>
      <c r="O45" s="499" t="n"/>
      <c r="P45" s="499" t="n"/>
      <c r="Q45" s="499" t="n"/>
      <c r="R45" s="499" t="n"/>
      <c r="S45" s="499" t="n"/>
      <c r="T45" s="499" t="n"/>
    </row>
    <row r="46" ht="15" customHeight="1">
      <c r="A46" s="361" t="n"/>
      <c r="B46" s="448" t="inlineStr">
        <is>
          <t>Mitigation co-benefits</t>
        </is>
      </c>
      <c r="C46" s="448" t="inlineStr">
        <is>
          <t>Additional, non-mitigation positive outcomes or advantages that result from the implementation of climate change mitigating measures, identified by the IFCMA Secretariat.</t>
        </is>
      </c>
      <c r="D46" s="449" t="inlineStr">
        <is>
          <t>Categorial</t>
        </is>
      </c>
      <c r="E46" s="449" t="inlineStr">
        <is>
          <t>Adaptation; Air pollution; Energy supply security; Technological innovation; Poverty reduction; Employment; Industrial development; Other (non-exhaustive list, current options here based on IPCC)</t>
        </is>
      </c>
      <c r="F46" s="459" t="n"/>
      <c r="G46" s="499" t="n"/>
      <c r="H46" s="499" t="n"/>
      <c r="I46" s="499" t="n"/>
      <c r="J46" s="499" t="n"/>
      <c r="K46" s="499" t="n"/>
      <c r="L46" s="499" t="n"/>
      <c r="M46" s="499" t="n"/>
      <c r="N46" s="499" t="n"/>
      <c r="O46" s="499" t="n"/>
      <c r="P46" s="499" t="n"/>
      <c r="Q46" s="499" t="n"/>
      <c r="R46" s="499" t="n"/>
      <c r="S46" s="499" t="n"/>
      <c r="T46" s="499" t="n"/>
    </row>
    <row r="47" ht="15" customHeight="1">
      <c r="A47" s="446" t="inlineStr">
        <is>
          <t>Instrument type-specific attributes</t>
        </is>
      </c>
      <c r="B47" s="339" t="n"/>
      <c r="C47" s="339" t="n"/>
      <c r="D47" s="339" t="n"/>
      <c r="E47" s="340" t="n"/>
      <c r="F47" s="459" t="n"/>
      <c r="G47" s="499" t="n"/>
      <c r="H47" s="499" t="n"/>
      <c r="I47" s="499" t="n"/>
      <c r="J47" s="499" t="n"/>
      <c r="K47" s="499" t="n"/>
      <c r="L47" s="499" t="n"/>
      <c r="M47" s="499" t="n"/>
      <c r="N47" s="499" t="n"/>
      <c r="O47" s="499" t="n"/>
      <c r="P47" s="499" t="n"/>
      <c r="Q47" s="499" t="n"/>
      <c r="R47" s="499" t="n"/>
      <c r="S47" s="499" t="n"/>
      <c r="T47" s="499" t="n"/>
    </row>
    <row r="48" ht="15" customHeight="1">
      <c r="A48" s="452" t="inlineStr">
        <is>
          <t>Taxes</t>
        </is>
      </c>
      <c r="B48" s="456" t="inlineStr">
        <is>
          <t>Annual revenue</t>
        </is>
      </c>
      <c r="C48" s="456" t="inlineStr">
        <is>
          <t>Tax revenue of the recorded tax</t>
        </is>
      </c>
      <c r="D48" s="456" t="inlineStr">
        <is>
          <t>Numerical</t>
        </is>
      </c>
      <c r="E48" s="456" t="inlineStr">
        <is>
          <t>in millions of domestic currency, USD or otherwise applicable unit</t>
        </is>
      </c>
      <c r="F48" s="503" t="n"/>
      <c r="G48" s="504" t="n"/>
      <c r="H48" s="504" t="n"/>
      <c r="I48" s="504" t="n"/>
      <c r="J48" s="504" t="n"/>
      <c r="K48" s="504" t="n"/>
      <c r="L48" s="504" t="n"/>
      <c r="M48" s="504" t="n"/>
      <c r="N48" s="504" t="n"/>
      <c r="O48" s="504" t="n"/>
      <c r="P48" s="504" t="n"/>
      <c r="Q48" s="504" t="n"/>
      <c r="R48" s="504" t="n"/>
      <c r="S48" s="504" t="n"/>
      <c r="T48" s="504" t="n"/>
    </row>
    <row r="49" ht="15" customHeight="1">
      <c r="A49" s="369" t="n"/>
      <c r="B49" s="449" t="inlineStr">
        <is>
          <t>Earmarked revenue*</t>
        </is>
      </c>
      <c r="C49" s="449" t="inlineStr">
        <is>
          <t>The policy financed by the revenue of the recorded tax (recorded even if not otherwise part of this database)</t>
        </is>
      </c>
      <c r="D49" s="449" t="inlineStr">
        <is>
          <t>Free or binary</t>
        </is>
      </c>
      <c r="E49" s="449" t="inlineStr">
        <is>
          <t>ID of the financed policy instrument or “Earmarked” if financed policy is not included in the database</t>
        </is>
      </c>
      <c r="F49" s="459" t="n"/>
      <c r="G49" s="499" t="n"/>
      <c r="H49" s="499" t="n"/>
      <c r="I49" s="499" t="n"/>
      <c r="J49" s="499" t="n"/>
      <c r="K49" s="499" t="n"/>
      <c r="L49" s="499" t="n"/>
      <c r="M49" s="499" t="n"/>
      <c r="N49" s="499" t="n"/>
      <c r="O49" s="499" t="n"/>
      <c r="P49" s="499" t="n"/>
      <c r="Q49" s="499" t="n"/>
      <c r="R49" s="499" t="n"/>
      <c r="S49" s="499" t="n"/>
      <c r="T49" s="499" t="n"/>
    </row>
    <row r="50" ht="15" customHeight="1">
      <c r="A50" s="361" t="n"/>
      <c r="B50" s="449" t="inlineStr">
        <is>
          <t>Annual revenue forgone</t>
        </is>
      </c>
      <c r="C50" s="449" t="inlineStr">
        <is>
          <t>If tax incentive, estimated loss in tax revenue due to the recorded tax incentive (recorded for the year the instrument is recorded)</t>
        </is>
      </c>
      <c r="D50" s="449" t="inlineStr">
        <is>
          <t>Numerical</t>
        </is>
      </c>
      <c r="E50" s="449" t="inlineStr">
        <is>
          <t>in millions of domestic currency, USD or otherwise applicable unit</t>
        </is>
      </c>
      <c r="F50" s="459" t="n"/>
      <c r="G50" s="499" t="n"/>
      <c r="H50" s="499" t="n"/>
      <c r="I50" s="499" t="n"/>
      <c r="J50" s="499" t="n"/>
      <c r="K50" s="499" t="n"/>
      <c r="L50" s="499" t="n"/>
      <c r="M50" s="499" t="n"/>
      <c r="N50" s="499" t="n"/>
      <c r="O50" s="499" t="n"/>
      <c r="P50" s="499" t="n"/>
      <c r="Q50" s="499" t="n"/>
      <c r="R50" s="499" t="n"/>
      <c r="S50" s="499" t="n"/>
      <c r="T50" s="499" t="n"/>
    </row>
    <row r="51" ht="15" customHeight="1">
      <c r="A51" s="447" t="inlineStr">
        <is>
          <t>Subsidies</t>
        </is>
      </c>
      <c r="B51" s="449" t="inlineStr">
        <is>
          <t>Annual expenditure</t>
        </is>
      </c>
      <c r="C51" s="449" t="inlineStr">
        <is>
          <t>The financial allocation or budget earmarked in the year preceding the data collecting</t>
        </is>
      </c>
      <c r="D51" s="449" t="inlineStr">
        <is>
          <t>Numerical</t>
        </is>
      </c>
      <c r="E51" s="449" t="inlineStr">
        <is>
          <t>in millions of domestic currency, USD or otherwise applicable unit</t>
        </is>
      </c>
      <c r="F51" s="459" t="n"/>
      <c r="G51" s="499" t="n"/>
      <c r="H51" s="499" t="n"/>
      <c r="I51" s="499" t="n"/>
      <c r="J51" s="499" t="n"/>
      <c r="K51" s="499" t="n"/>
      <c r="L51" s="499" t="n"/>
      <c r="M51" s="499" t="n"/>
      <c r="N51" s="499" t="n"/>
      <c r="O51" s="499" t="n"/>
      <c r="P51" s="499" t="n"/>
      <c r="Q51" s="499" t="n"/>
      <c r="R51" s="499" t="n"/>
      <c r="S51" s="499" t="n"/>
      <c r="T51" s="499" t="n"/>
    </row>
    <row r="52" ht="15" customHeight="1">
      <c r="A52" s="369" t="n"/>
      <c r="B52" s="449" t="inlineStr">
        <is>
          <t>Limit</t>
        </is>
      </c>
      <c r="C52" s="449" t="inlineStr">
        <is>
          <t>The overall financial allocation, budget earmarked over the entire duration of the instrument, the amount of assets subsidised (capacity limit), the time horizon of the subsidyor other limits on totals for the subsidy</t>
        </is>
      </c>
      <c r="D52" s="449" t="inlineStr">
        <is>
          <t>Numerical</t>
        </is>
      </c>
      <c r="E52" s="449" t="inlineStr">
        <is>
          <t>in domestic currency, USD or otherwise applicable unit</t>
        </is>
      </c>
      <c r="F52" s="459" t="n"/>
      <c r="G52" s="499" t="n"/>
      <c r="H52" s="499" t="n"/>
      <c r="I52" s="499" t="n"/>
      <c r="J52" s="499" t="n"/>
      <c r="K52" s="499" t="n"/>
      <c r="L52" s="499" t="n"/>
      <c r="M52" s="499" t="n"/>
      <c r="N52" s="499" t="n"/>
      <c r="O52" s="499" t="n"/>
      <c r="P52" s="499" t="n"/>
      <c r="Q52" s="499" t="n"/>
      <c r="R52" s="499" t="n"/>
      <c r="S52" s="499" t="n"/>
      <c r="T52" s="499" t="n"/>
    </row>
    <row r="53" ht="15" customHeight="1">
      <c r="A53" s="369" t="n"/>
      <c r="B53" s="449" t="inlineStr">
        <is>
          <t>Distribution mechanism</t>
        </is>
      </c>
      <c r="C53" s="449" t="inlineStr">
        <is>
          <t>The mechanism by which the subsidy is awarded</t>
        </is>
      </c>
      <c r="D53" s="449" t="inlineStr">
        <is>
          <t>Categorial</t>
        </is>
      </c>
      <c r="E53" s="449" t="inlineStr">
        <is>
          <t>from list, e.g. auction type, by default, lottery, etc.</t>
        </is>
      </c>
      <c r="F53" s="459" t="n"/>
      <c r="G53" s="499" t="n"/>
      <c r="H53" s="499" t="n"/>
      <c r="I53" s="499" t="n"/>
      <c r="J53" s="499" t="n"/>
      <c r="K53" s="499" t="n"/>
      <c r="L53" s="499" t="n"/>
      <c r="M53" s="499" t="n"/>
      <c r="N53" s="499" t="n"/>
      <c r="O53" s="499" t="n"/>
      <c r="P53" s="499" t="n"/>
      <c r="Q53" s="499" t="n"/>
      <c r="R53" s="499" t="n"/>
      <c r="S53" s="499" t="n"/>
      <c r="T53" s="499" t="n"/>
    </row>
    <row r="54" ht="15" customHeight="1">
      <c r="A54" s="369" t="n"/>
      <c r="B54" s="449" t="inlineStr">
        <is>
          <t>Enforcement mechanism</t>
        </is>
      </c>
      <c r="C54" s="449" t="inlineStr">
        <is>
          <t>If a performance is expected, how is non-compliance punished</t>
        </is>
      </c>
      <c r="D54" s="449" t="inlineStr">
        <is>
          <t>Categorial, free for details</t>
        </is>
      </c>
      <c r="E54" s="449" t="inlineStr">
        <is>
          <t>administrative action (e.g. warning, permit withdrawal); legal action (e.g. prosecution); monetary fines</t>
        </is>
      </c>
      <c r="F54" s="459" t="n"/>
      <c r="G54" s="499" t="n"/>
      <c r="H54" s="499" t="n"/>
      <c r="I54" s="499" t="n"/>
      <c r="J54" s="499" t="n"/>
      <c r="K54" s="499" t="n"/>
      <c r="L54" s="499" t="n"/>
      <c r="M54" s="499" t="n"/>
      <c r="N54" s="499" t="n"/>
      <c r="O54" s="499" t="n"/>
      <c r="P54" s="499" t="n"/>
      <c r="Q54" s="499" t="n"/>
      <c r="R54" s="499" t="n"/>
      <c r="S54" s="499" t="n"/>
      <c r="T54" s="499" t="n"/>
    </row>
    <row r="55" ht="15" customHeight="1">
      <c r="A55" s="369" t="n"/>
      <c r="B55" s="449" t="inlineStr">
        <is>
          <t>Subsidy floor or ceiling</t>
        </is>
      </c>
      <c r="C55" s="449" t="inlineStr">
        <is>
          <t>The minimum or maximum limits set for subsidies per year (for the year the instrument is recorded), indicating the lower and upper bounds within which subsidy amounts must fall.</t>
        </is>
      </c>
      <c r="D55" s="449" t="inlineStr">
        <is>
          <t>Numerical</t>
        </is>
      </c>
      <c r="E55" s="449" t="inlineStr">
        <is>
          <t>Value in domestic currency</t>
        </is>
      </c>
      <c r="F55" s="459" t="n"/>
      <c r="G55" s="499" t="n"/>
      <c r="H55" s="499" t="n"/>
      <c r="I55" s="499" t="n"/>
      <c r="J55" s="499" t="n"/>
      <c r="K55" s="499" t="n"/>
      <c r="L55" s="499" t="n"/>
      <c r="M55" s="499" t="n"/>
      <c r="N55" s="499" t="n"/>
      <c r="O55" s="499" t="n"/>
      <c r="P55" s="499" t="n"/>
      <c r="Q55" s="499" t="n"/>
      <c r="R55" s="499" t="n"/>
      <c r="S55" s="499" t="n"/>
      <c r="T55" s="499" t="n"/>
    </row>
    <row r="56" ht="15" customHeight="1">
      <c r="A56" s="369" t="n"/>
      <c r="B56" s="449" t="inlineStr">
        <is>
          <t>Support Duration</t>
        </is>
      </c>
      <c r="C56" s="449" t="inlineStr">
        <is>
          <t>The time range during which the support is provided (contract length, annual payments, etc)</t>
        </is>
      </c>
      <c r="D56" s="449" t="inlineStr">
        <is>
          <t>Free</t>
        </is>
      </c>
      <c r="E56" s="449" t="inlineStr">
        <is>
          <t>Expressed in years, or months</t>
        </is>
      </c>
      <c r="F56" s="459" t="n"/>
      <c r="G56" s="499" t="n"/>
      <c r="H56" s="499" t="n"/>
      <c r="I56" s="499" t="n"/>
      <c r="J56" s="499" t="n"/>
      <c r="K56" s="499" t="n"/>
      <c r="L56" s="499" t="n"/>
      <c r="M56" s="499" t="n"/>
      <c r="N56" s="499" t="n"/>
      <c r="O56" s="499" t="n"/>
      <c r="P56" s="499" t="n"/>
      <c r="Q56" s="499" t="n"/>
      <c r="R56" s="499" t="n"/>
      <c r="S56" s="499" t="n"/>
      <c r="T56" s="499" t="n"/>
    </row>
    <row r="57" ht="15" customHeight="1">
      <c r="A57" s="361" t="n"/>
      <c r="B57" s="449" t="inlineStr">
        <is>
          <t>Subsidies: Monitoring mechanism</t>
        </is>
      </c>
      <c r="C57" s="449" t="inlineStr">
        <is>
          <t>Any monitoring scheme</t>
        </is>
      </c>
      <c r="D57" s="449" t="inlineStr">
        <is>
          <t>Categorial, free for details</t>
        </is>
      </c>
      <c r="E57" s="449" t="n"/>
      <c r="F57" s="459" t="n"/>
      <c r="G57" s="499" t="n"/>
      <c r="H57" s="499" t="n"/>
      <c r="I57" s="499" t="n"/>
      <c r="J57" s="499" t="n"/>
      <c r="K57" s="499" t="n"/>
      <c r="L57" s="499" t="n"/>
      <c r="M57" s="499" t="n"/>
      <c r="N57" s="499" t="n"/>
      <c r="O57" s="499" t="n"/>
      <c r="P57" s="499" t="n"/>
      <c r="Q57" s="499" t="n"/>
      <c r="R57" s="499" t="n"/>
      <c r="S57" s="499" t="n"/>
      <c r="T57" s="499" t="n"/>
    </row>
    <row r="58" ht="15" customHeight="1">
      <c r="A58" s="452" t="inlineStr">
        <is>
          <t>Trading scheme</t>
        </is>
      </c>
      <c r="B58" s="449" t="inlineStr">
        <is>
          <t>Type</t>
        </is>
      </c>
      <c r="C58" s="449" t="inlineStr">
        <is>
          <t>The trading system in place, i.e., trading of permits or credits</t>
        </is>
      </c>
      <c r="D58" s="449" t="inlineStr">
        <is>
          <t>Categorial</t>
        </is>
      </c>
      <c r="E58" s="449" t="inlineStr">
        <is>
          <t>from list, e.g. permits, credits, etc</t>
        </is>
      </c>
      <c r="F58" s="459" t="n"/>
      <c r="G58" s="499" t="n"/>
      <c r="H58" s="499" t="n"/>
      <c r="I58" s="499" t="n"/>
      <c r="J58" s="499" t="n"/>
      <c r="K58" s="499" t="n"/>
      <c r="L58" s="499" t="n"/>
      <c r="M58" s="499" t="n"/>
      <c r="N58" s="499" t="n"/>
      <c r="O58" s="499" t="n"/>
      <c r="P58" s="499" t="n"/>
      <c r="Q58" s="499" t="n"/>
      <c r="R58" s="499" t="n"/>
      <c r="S58" s="499" t="n"/>
      <c r="T58" s="499" t="n"/>
    </row>
    <row r="59" ht="15" customHeight="1">
      <c r="A59" s="369" t="n"/>
      <c r="B59" s="449" t="inlineStr">
        <is>
          <t>Cap</t>
        </is>
      </c>
      <c r="C59" s="449" t="inlineStr">
        <is>
          <t>The upper limit or cap imposed on the total greenhouse gas emissions allowed within a specific period under a GHG cap-and-trade or emissions trading system; if this cell is filled, it is a permit, otherwise a credit (relevant for UNFCCC reporting)</t>
        </is>
      </c>
      <c r="D59" s="449" t="inlineStr">
        <is>
          <t>Free</t>
        </is>
      </c>
      <c r="E59" s="449" t="inlineStr">
        <is>
          <t>CO2eq for ETS, but could be others if ever we cover other trading systems (nitrogen trading in agriculture)</t>
        </is>
      </c>
      <c r="F59" s="459" t="n"/>
      <c r="G59" s="499" t="n"/>
      <c r="H59" s="499" t="n"/>
      <c r="I59" s="499" t="n"/>
      <c r="J59" s="499" t="n"/>
      <c r="K59" s="499" t="n"/>
      <c r="L59" s="499" t="n"/>
      <c r="M59" s="499" t="n"/>
      <c r="N59" s="499" t="n"/>
      <c r="O59" s="499" t="n"/>
      <c r="P59" s="499" t="n"/>
      <c r="Q59" s="499" t="n"/>
      <c r="R59" s="499" t="n"/>
      <c r="S59" s="499" t="n"/>
      <c r="T59" s="499" t="n"/>
    </row>
    <row r="60" ht="15" customHeight="1">
      <c r="A60" s="369" t="n"/>
      <c r="B60" s="449" t="inlineStr">
        <is>
          <t>Allowance mechanism</t>
        </is>
      </c>
      <c r="C60" s="449" t="inlineStr">
        <is>
          <t>The system or method used to distribute or allocate emission allowances within the trading system, specifying how entities receive their allowances, as well as the allowance size and potentially other aspects</t>
        </is>
      </c>
      <c r="D60" s="449" t="inlineStr">
        <is>
          <t>Free</t>
        </is>
      </c>
      <c r="E60" s="449" t="inlineStr">
        <is>
          <t>free allowance; auctioning; mixture of the two</t>
        </is>
      </c>
      <c r="F60" s="459" t="n"/>
      <c r="G60" s="499" t="n"/>
      <c r="H60" s="499" t="n"/>
      <c r="I60" s="499" t="n"/>
      <c r="J60" s="499" t="n"/>
      <c r="K60" s="499" t="n"/>
      <c r="L60" s="499" t="n"/>
      <c r="M60" s="499" t="n"/>
      <c r="N60" s="499" t="n"/>
      <c r="O60" s="499" t="n"/>
      <c r="P60" s="499" t="n"/>
      <c r="Q60" s="499" t="n"/>
      <c r="R60" s="499" t="n"/>
      <c r="S60" s="499" t="n"/>
      <c r="T60" s="499" t="n"/>
    </row>
    <row r="61" ht="15" customHeight="1">
      <c r="A61" s="369" t="n"/>
      <c r="B61" s="449" t="inlineStr">
        <is>
          <t>Free allowance</t>
        </is>
      </c>
      <c r="C61" s="449" t="inlineStr">
        <is>
          <t>Share of free allowance</t>
        </is>
      </c>
      <c r="D61" s="449" t="inlineStr">
        <is>
          <t>Numerial</t>
        </is>
      </c>
      <c r="E61" s="449" t="inlineStr">
        <is>
          <t>In percentages</t>
        </is>
      </c>
      <c r="F61" s="459" t="n"/>
      <c r="G61" s="499" t="n"/>
      <c r="H61" s="499" t="n"/>
      <c r="I61" s="499" t="n"/>
      <c r="J61" s="499" t="n"/>
      <c r="K61" s="499" t="n"/>
      <c r="L61" s="499" t="n"/>
      <c r="M61" s="499" t="n"/>
      <c r="N61" s="499" t="n"/>
      <c r="O61" s="499" t="n"/>
      <c r="P61" s="499" t="n"/>
      <c r="Q61" s="499" t="n"/>
      <c r="R61" s="499" t="n"/>
      <c r="S61" s="499" t="n"/>
      <c r="T61" s="499" t="n"/>
    </row>
    <row r="62" ht="15" customHeight="1">
      <c r="A62" s="369" t="n"/>
      <c r="B62" s="449" t="inlineStr">
        <is>
          <t>Volume</t>
        </is>
      </c>
      <c r="C62" s="449" t="inlineStr">
        <is>
          <t>Traded volume in collection year-1</t>
        </is>
      </c>
      <c r="D62" s="449" t="inlineStr">
        <is>
          <t>Numerical</t>
        </is>
      </c>
      <c r="E62" s="449" t="inlineStr">
        <is>
          <t>N/A</t>
        </is>
      </c>
      <c r="F62" s="459" t="n"/>
      <c r="G62" s="499" t="n"/>
      <c r="H62" s="499" t="n"/>
      <c r="I62" s="499" t="n"/>
      <c r="J62" s="499" t="n"/>
      <c r="K62" s="499" t="n"/>
      <c r="L62" s="499" t="n"/>
      <c r="M62" s="499" t="n"/>
      <c r="N62" s="499" t="n"/>
      <c r="O62" s="499" t="n"/>
      <c r="P62" s="499" t="n"/>
      <c r="Q62" s="499" t="n"/>
      <c r="R62" s="499" t="n"/>
      <c r="S62" s="499" t="n"/>
      <c r="T62" s="499" t="n"/>
    </row>
    <row r="63" ht="15" customHeight="1">
      <c r="A63" s="369" t="n"/>
      <c r="B63" s="449" t="inlineStr">
        <is>
          <t>Linkages</t>
        </is>
      </c>
      <c r="C63" s="449" t="inlineStr">
        <is>
          <t>Linkages with other ETS</t>
        </is>
      </c>
      <c r="D63" s="449" t="inlineStr">
        <is>
          <t>Free</t>
        </is>
      </c>
      <c r="E63" s="449" t="inlineStr">
        <is>
          <t>Enter the instrument IDs of relevant instruments (N/A if no link)</t>
        </is>
      </c>
      <c r="F63" s="459" t="n"/>
      <c r="G63" s="499" t="n"/>
      <c r="H63" s="499" t="n"/>
      <c r="I63" s="499" t="n"/>
      <c r="J63" s="499" t="n"/>
      <c r="K63" s="499" t="n"/>
      <c r="L63" s="499" t="n"/>
      <c r="M63" s="499" t="n"/>
      <c r="N63" s="499" t="n"/>
      <c r="O63" s="499" t="n"/>
      <c r="P63" s="499" t="n"/>
      <c r="Q63" s="499" t="n"/>
      <c r="R63" s="499" t="n"/>
      <c r="S63" s="499" t="n"/>
      <c r="T63" s="499" t="n"/>
    </row>
    <row r="64" ht="15" customHeight="1">
      <c r="A64" s="369" t="n"/>
      <c r="B64" s="449" t="inlineStr">
        <is>
          <t>Market stabilisation mechanism</t>
        </is>
      </c>
      <c r="C64" s="449" t="inlineStr">
        <is>
          <t>The existence of any mechanism or provision within the trading system designed to stabilize the market, prevent extreme price fluctuations, or address imbalances in supply and demand. E.g., secondary markets/ offsets and credits</t>
        </is>
      </c>
      <c r="D64" s="449" t="inlineStr">
        <is>
          <t>Dichotomous, free for details</t>
        </is>
      </c>
      <c r="E64" s="449" t="inlineStr">
        <is>
          <t>yes/no</t>
        </is>
      </c>
      <c r="F64" s="459" t="n"/>
      <c r="G64" s="499" t="n"/>
      <c r="H64" s="499" t="n"/>
      <c r="I64" s="499" t="n"/>
      <c r="J64" s="499" t="n"/>
      <c r="K64" s="499" t="n"/>
      <c r="L64" s="499" t="n"/>
      <c r="M64" s="499" t="n"/>
      <c r="N64" s="499" t="n"/>
      <c r="O64" s="499" t="n"/>
      <c r="P64" s="499" t="n"/>
      <c r="Q64" s="499" t="n"/>
      <c r="R64" s="499" t="n"/>
      <c r="S64" s="499" t="n"/>
      <c r="T64" s="499" t="n"/>
    </row>
    <row r="65" ht="15" customHeight="1">
      <c r="A65" s="369" t="n"/>
      <c r="B65" s="449" t="inlineStr">
        <is>
          <t>Revenue (annual)</t>
        </is>
      </c>
      <c r="C65" s="449" t="inlineStr">
        <is>
          <t>The yearly revenue generated from the trading system, including any fees, fines, or other financial flows associated with emissions trading. (for the system, rather than for the government)</t>
        </is>
      </c>
      <c r="D65" s="449" t="inlineStr">
        <is>
          <t>Free</t>
        </is>
      </c>
      <c r="E65" s="449" t="inlineStr">
        <is>
          <t>In domestic currency (collection year -1)</t>
        </is>
      </c>
      <c r="F65" s="459" t="n"/>
      <c r="G65" s="499" t="n"/>
      <c r="H65" s="499" t="n"/>
      <c r="I65" s="499" t="n"/>
      <c r="J65" s="499" t="n"/>
      <c r="K65" s="499" t="n"/>
      <c r="L65" s="499" t="n"/>
      <c r="M65" s="499" t="n"/>
      <c r="N65" s="499" t="n"/>
      <c r="O65" s="499" t="n"/>
      <c r="P65" s="499" t="n"/>
      <c r="Q65" s="499" t="n"/>
      <c r="R65" s="499" t="n"/>
      <c r="S65" s="499" t="n"/>
      <c r="T65" s="499" t="n"/>
    </row>
    <row r="66" ht="15" customHeight="1">
      <c r="A66" s="369" t="n"/>
      <c r="B66" s="449" t="inlineStr">
        <is>
          <t>Offset use allowed</t>
        </is>
      </c>
      <c r="C66" s="449" t="inlineStr">
        <is>
          <t>Rules of which offsets are allowed or reference to such rules; "No" if no offsets allowed</t>
        </is>
      </c>
      <c r="D66" s="449" t="inlineStr">
        <is>
          <t>Free</t>
        </is>
      </c>
      <c r="E66" s="449" t="inlineStr">
        <is>
          <t>No if none; otherwise description of the applicable rules</t>
        </is>
      </c>
      <c r="F66" s="459" t="n"/>
      <c r="G66" s="499" t="n"/>
      <c r="H66" s="499" t="n"/>
      <c r="I66" s="499" t="n"/>
      <c r="J66" s="499" t="n"/>
      <c r="K66" s="499" t="n"/>
      <c r="L66" s="499" t="n"/>
      <c r="M66" s="499" t="n"/>
      <c r="N66" s="499" t="n"/>
      <c r="O66" s="499" t="n"/>
      <c r="P66" s="499" t="n"/>
      <c r="Q66" s="499" t="n"/>
      <c r="R66" s="499" t="n"/>
      <c r="S66" s="499" t="n"/>
      <c r="T66" s="499" t="n"/>
    </row>
    <row r="67" ht="15" customHeight="1">
      <c r="A67" s="361" t="n"/>
      <c r="B67" s="449" t="inlineStr">
        <is>
          <t>Penalties for non-compliance per unit</t>
        </is>
      </c>
      <c r="C67" s="449" t="inlineStr">
        <is>
          <t>The consequences or fines imposed on entities that fail to comply with the regulations and requirements of the emissions trading system</t>
        </is>
      </c>
      <c r="D67" s="449" t="inlineStr">
        <is>
          <t>Catgorial, free for details</t>
        </is>
      </c>
      <c r="E67" s="449" t="inlineStr">
        <is>
          <t>administrative action (e.g. warning, permit withdrawal); legal action (e.g. prosecution); monetary fines</t>
        </is>
      </c>
      <c r="F67" s="459" t="n"/>
      <c r="G67" s="499" t="n"/>
      <c r="H67" s="499" t="n"/>
      <c r="I67" s="499" t="n"/>
      <c r="J67" s="499" t="n"/>
      <c r="K67" s="499" t="n"/>
      <c r="L67" s="499" t="n"/>
      <c r="M67" s="499" t="n"/>
      <c r="N67" s="499" t="n"/>
      <c r="O67" s="499" t="n"/>
      <c r="P67" s="499" t="n"/>
      <c r="Q67" s="499" t="n"/>
      <c r="R67" s="499" t="n"/>
      <c r="S67" s="499" t="n"/>
      <c r="T67" s="499" t="n"/>
    </row>
    <row r="68" ht="15" customHeight="1">
      <c r="A68" s="452" t="inlineStr">
        <is>
          <t>Regulatory instruments</t>
        </is>
      </c>
      <c r="B68" s="448" t="inlineStr">
        <is>
          <t>Compliance monitoring</t>
        </is>
      </c>
      <c r="C68" s="448" t="inlineStr">
        <is>
          <t>Captures whether methods, processes, or systems are in place to monitor and ensure compliance with the regulatory aspects of the climate change mitigation policy</t>
        </is>
      </c>
      <c r="D68" s="448" t="inlineStr">
        <is>
          <t>Categorial (single choice), free for details</t>
        </is>
      </c>
      <c r="E68" s="448" t="inlineStr">
        <is>
          <t>No compliance monitoring; Self-monitoring and reporting; Inspections or audits conducted by government authorities or third parties; Other</t>
        </is>
      </c>
      <c r="F68" s="459" t="n"/>
      <c r="G68" s="499" t="n"/>
      <c r="H68" s="499" t="n"/>
      <c r="I68" s="499" t="n"/>
      <c r="J68" s="499" t="n"/>
      <c r="K68" s="499" t="n"/>
      <c r="L68" s="499" t="n"/>
      <c r="M68" s="499" t="n"/>
      <c r="N68" s="499" t="n"/>
      <c r="O68" s="499" t="n"/>
      <c r="P68" s="499" t="n"/>
      <c r="Q68" s="499" t="n"/>
      <c r="R68" s="499" t="n"/>
      <c r="S68" s="499" t="n"/>
      <c r="T68" s="499" t="n"/>
    </row>
    <row r="69" ht="15" customHeight="1">
      <c r="A69" s="369" t="n"/>
      <c r="B69" s="448" t="inlineStr">
        <is>
          <t>Compliance monitoring details</t>
        </is>
      </c>
      <c r="C69" s="448" t="inlineStr">
        <is>
          <t>Captures details on the compliance method (i.e. details on Self-monitoring and reporting; Inspections or audits conducted by government authorities or third parties; Other)</t>
        </is>
      </c>
      <c r="D69" s="448" t="inlineStr">
        <is>
          <t>Free</t>
        </is>
      </c>
      <c r="E69" s="448" t="inlineStr">
        <is>
          <t>N/A</t>
        </is>
      </c>
      <c r="F69" s="459" t="n"/>
      <c r="G69" s="499" t="n"/>
      <c r="H69" s="499" t="n"/>
      <c r="I69" s="499" t="n"/>
      <c r="J69" s="499" t="n"/>
      <c r="K69" s="499" t="n"/>
      <c r="L69" s="499" t="n"/>
      <c r="M69" s="499" t="n"/>
      <c r="N69" s="499" t="n"/>
      <c r="O69" s="499" t="n"/>
      <c r="P69" s="499" t="n"/>
      <c r="Q69" s="499" t="n"/>
      <c r="R69" s="499" t="n"/>
      <c r="S69" s="499" t="n"/>
      <c r="T69" s="499" t="n"/>
    </row>
    <row r="70" ht="15" customHeight="1">
      <c r="A70" s="369" t="n"/>
      <c r="B70" s="448" t="inlineStr">
        <is>
          <t>Compliance enforcement</t>
        </is>
      </c>
      <c r="C70" s="448" t="inlineStr">
        <is>
          <t>The consequences imposed on agents that do not adhere to the regulatory requirements of the climate change mitigation policy</t>
        </is>
      </c>
      <c r="D70" s="448" t="inlineStr">
        <is>
          <t>Categorial (multiple choice), free for details</t>
        </is>
      </c>
      <c r="E70" s="448" t="inlineStr">
        <is>
          <t>No compliance enforcement; Monetary penalties; Prohibitions; Compliance order; Other</t>
        </is>
      </c>
      <c r="F70" s="459" t="n"/>
      <c r="G70" s="499" t="n"/>
      <c r="H70" s="499" t="n"/>
      <c r="I70" s="499" t="n"/>
      <c r="J70" s="499" t="n"/>
      <c r="K70" s="499" t="n"/>
      <c r="L70" s="499" t="n"/>
      <c r="M70" s="499" t="n"/>
      <c r="N70" s="499" t="n"/>
      <c r="O70" s="499" t="n"/>
      <c r="P70" s="499" t="n"/>
      <c r="Q70" s="499" t="n"/>
      <c r="R70" s="499" t="n"/>
      <c r="S70" s="499" t="n"/>
      <c r="T70" s="499" t="n"/>
    </row>
    <row r="71" ht="15" customHeight="1">
      <c r="A71" s="369" t="n"/>
      <c r="B71" s="448" t="inlineStr">
        <is>
          <t>Compliance enforcement details</t>
        </is>
      </c>
      <c r="C71" s="448" t="inlineStr">
        <is>
          <t>Captures details on the enforcement method and process (i.e. detao;s on Monetary penalties; Prohibitions; Compliance order; Other)</t>
        </is>
      </c>
      <c r="D71" s="448" t="inlineStr">
        <is>
          <t>Free</t>
        </is>
      </c>
      <c r="E71" s="448" t="inlineStr">
        <is>
          <t>N/A</t>
        </is>
      </c>
      <c r="F71" s="459" t="n"/>
      <c r="G71" s="499" t="n"/>
      <c r="H71" s="499" t="n"/>
      <c r="I71" s="499" t="n"/>
      <c r="J71" s="499" t="n"/>
      <c r="K71" s="499" t="n"/>
      <c r="L71" s="499" t="n"/>
      <c r="M71" s="499" t="n"/>
      <c r="N71" s="499" t="n"/>
      <c r="O71" s="499" t="n"/>
      <c r="P71" s="499" t="n"/>
      <c r="Q71" s="499" t="n"/>
      <c r="R71" s="499" t="n"/>
      <c r="S71" s="499" t="n"/>
      <c r="T71" s="499" t="n"/>
    </row>
    <row r="72" ht="15" customHeight="1">
      <c r="A72" s="369" t="n"/>
      <c r="B72" s="448" t="inlineStr">
        <is>
          <t>Compliance promotion</t>
        </is>
      </c>
      <c r="C72" s="448" t="inlineStr">
        <is>
          <t>Initiatives or activities aimed at encouraging and facilitating compliance with the regulatory measures of the climate change mitigation policy</t>
        </is>
      </c>
      <c r="D72" s="448" t="inlineStr">
        <is>
          <t>Categorial (multiple choice), free for details</t>
        </is>
      </c>
      <c r="E72" s="448" t="inlineStr">
        <is>
          <t>No compliance promotion; Regulatory incentives (e.g. weights, banking, pooling, trading); Information and direct assistance; Financial support; Other incentives or support</t>
        </is>
      </c>
      <c r="F72" s="459" t="n"/>
      <c r="G72" s="499" t="n"/>
      <c r="H72" s="499" t="n"/>
      <c r="I72" s="499" t="n"/>
      <c r="J72" s="499" t="n"/>
      <c r="K72" s="499" t="n"/>
      <c r="L72" s="499" t="n"/>
      <c r="M72" s="499" t="n"/>
      <c r="N72" s="499" t="n"/>
      <c r="O72" s="499" t="n"/>
      <c r="P72" s="499" t="n"/>
      <c r="Q72" s="499" t="n"/>
      <c r="R72" s="499" t="n"/>
      <c r="S72" s="499" t="n"/>
      <c r="T72" s="499" t="n"/>
    </row>
    <row r="73" ht="15" customHeight="1">
      <c r="A73" s="361" t="n"/>
      <c r="B73" s="448" t="inlineStr">
        <is>
          <t>Compliance promotion details</t>
        </is>
      </c>
      <c r="C73" s="448" t="inlineStr">
        <is>
          <t>Captures details on compliance promotion methods and processes (e.g. details on regulatory incentives such as weights, banking, pooling, trading, or other; information/direct assistance; financial support; other compliance promotion processes)</t>
        </is>
      </c>
      <c r="D73" s="448" t="inlineStr">
        <is>
          <t>Free</t>
        </is>
      </c>
      <c r="E73" s="448" t="inlineStr">
        <is>
          <t>N/A</t>
        </is>
      </c>
      <c r="F73" s="459" t="n"/>
      <c r="G73" s="499" t="n"/>
      <c r="H73" s="499" t="n"/>
      <c r="I73" s="499" t="n"/>
      <c r="J73" s="499" t="n"/>
      <c r="K73" s="499" t="n"/>
      <c r="L73" s="499" t="n"/>
      <c r="M73" s="499" t="n"/>
      <c r="N73" s="499" t="n"/>
      <c r="O73" s="499" t="n"/>
      <c r="P73" s="499" t="n"/>
      <c r="Q73" s="499" t="n"/>
      <c r="R73" s="499" t="n"/>
      <c r="S73" s="499" t="n"/>
      <c r="T73" s="499" t="n"/>
    </row>
    <row r="74" ht="15" customHeight="1">
      <c r="A74" s="452" t="inlineStr">
        <is>
          <t>Government investment and consumption</t>
        </is>
      </c>
      <c r="B74" s="448" t="inlineStr">
        <is>
          <t>Public investment: Co-financing</t>
        </is>
      </c>
      <c r="C74" s="448" t="inlineStr">
        <is>
          <t>Indicates whether the government is financing the project/technology completely or is co-financing it</t>
        </is>
      </c>
      <c r="D74" s="448" t="inlineStr">
        <is>
          <t>Categorial (single choice)</t>
        </is>
      </c>
      <c r="E74" s="448" t="inlineStr">
        <is>
          <t>Yes; No</t>
        </is>
      </c>
      <c r="F74" s="459" t="n"/>
      <c r="G74" s="499" t="n"/>
      <c r="H74" s="499" t="n"/>
      <c r="I74" s="499" t="n"/>
      <c r="J74" s="499" t="n"/>
      <c r="K74" s="499" t="n"/>
      <c r="L74" s="499" t="n"/>
      <c r="M74" s="499" t="n"/>
      <c r="N74" s="499" t="n"/>
      <c r="O74" s="499" t="n"/>
      <c r="P74" s="499" t="n"/>
      <c r="Q74" s="499" t="n"/>
      <c r="R74" s="499" t="n"/>
      <c r="S74" s="499" t="n"/>
      <c r="T74" s="499" t="n"/>
    </row>
    <row r="75" ht="15" customHeight="1">
      <c r="A75" s="369" t="n"/>
      <c r="B75" s="448" t="inlineStr">
        <is>
          <t>Public investment: Selection process</t>
        </is>
      </c>
      <c r="C75" s="448" t="inlineStr">
        <is>
          <t>Details regarding how the project or investment is chosen as an investment target. If there's a structured selection process, it indicates the criteria for selection</t>
        </is>
      </c>
      <c r="D75" s="448" t="inlineStr">
        <is>
          <t>Categorial (single choice), free
for details</t>
        </is>
      </c>
      <c r="E75" s="448" t="inlineStr">
        <is>
          <t>Yes, No</t>
        </is>
      </c>
      <c r="F75" s="459" t="n"/>
      <c r="G75" s="499" t="n"/>
      <c r="H75" s="499" t="n"/>
      <c r="I75" s="499" t="n"/>
      <c r="J75" s="499" t="n"/>
      <c r="K75" s="499" t="n"/>
      <c r="L75" s="499" t="n"/>
      <c r="M75" s="499" t="n"/>
      <c r="N75" s="499" t="n"/>
      <c r="O75" s="499" t="n"/>
      <c r="P75" s="499" t="n"/>
      <c r="Q75" s="499" t="n"/>
      <c r="R75" s="499" t="n"/>
      <c r="S75" s="499" t="n"/>
      <c r="T75" s="499" t="n"/>
    </row>
    <row r="76" ht="15" customHeight="1">
      <c r="A76" s="369" t="n"/>
      <c r="B76" s="448" t="inlineStr">
        <is>
          <t>Public procurement: Tender process</t>
        </is>
      </c>
      <c r="C76" s="448" t="inlineStr">
        <is>
          <t>Indicates the type of tender/ purchase process</t>
        </is>
      </c>
      <c r="D76" s="448" t="inlineStr">
        <is>
          <t>Categorial (single choice), free
for details</t>
        </is>
      </c>
      <c r="E76" s="448" t="inlineStr">
        <is>
          <t>Open tender; Direct purchase; Negotiated purchase; Accelerated public tender</t>
        </is>
      </c>
      <c r="F76" s="459" t="n"/>
      <c r="G76" s="499" t="n"/>
      <c r="H76" s="499" t="n"/>
      <c r="I76" s="499" t="n"/>
      <c r="J76" s="499" t="n"/>
      <c r="K76" s="499" t="n"/>
      <c r="L76" s="499" t="n"/>
      <c r="M76" s="499" t="n"/>
      <c r="N76" s="499" t="n"/>
      <c r="O76" s="499" t="n"/>
      <c r="P76" s="499" t="n"/>
      <c r="Q76" s="499" t="n"/>
      <c r="R76" s="499" t="n"/>
      <c r="S76" s="499" t="n"/>
      <c r="T76" s="499" t="n"/>
    </row>
    <row r="77" ht="15" customHeight="1">
      <c r="A77" s="369" t="n"/>
      <c r="B77" s="448" t="inlineStr">
        <is>
          <t>Public procurement: Award criteria tender process</t>
        </is>
      </c>
      <c r="C77" s="448" t="inlineStr">
        <is>
          <t>Indicates if there is a premium given to bidders that comply with specific requirements in the tender process</t>
        </is>
      </c>
      <c r="D77" s="448" t="inlineStr">
        <is>
          <t>Free</t>
        </is>
      </c>
      <c r="E77" s="448" t="inlineStr">
        <is>
          <t>N/A</t>
        </is>
      </c>
      <c r="F77" s="459" t="n"/>
      <c r="G77" s="499" t="n"/>
      <c r="H77" s="499" t="n"/>
      <c r="I77" s="499" t="n"/>
      <c r="J77" s="499" t="n"/>
      <c r="K77" s="499" t="n"/>
      <c r="L77" s="499" t="n"/>
      <c r="M77" s="499" t="n"/>
      <c r="N77" s="499" t="n"/>
      <c r="O77" s="499" t="n"/>
      <c r="P77" s="499" t="n"/>
      <c r="Q77" s="499" t="n"/>
      <c r="R77" s="499" t="n"/>
      <c r="S77" s="499" t="n"/>
      <c r="T77" s="499" t="n"/>
    </row>
    <row r="78" ht="15" customHeight="1">
      <c r="A78" s="369" t="n"/>
      <c r="B78" s="448" t="inlineStr">
        <is>
          <t>Public procurement: Compliance monitoring</t>
        </is>
      </c>
      <c r="C78" s="448" t="inlineStr">
        <is>
          <t>The methods, processes, or systems in place to monitor and ensure compliance with the regulatory aspects of the climate change mitigation policy</t>
        </is>
      </c>
      <c r="D78" s="448" t="inlineStr">
        <is>
          <t>Categorial (single choice), free
for details</t>
        </is>
      </c>
      <c r="E78" s="448" t="inlineStr">
        <is>
          <t>No compliance monitoring; Self-monitoring and reporting; Inspections or audits conducted by government authorities or third parties; Other</t>
        </is>
      </c>
      <c r="F78" s="459" t="n"/>
      <c r="G78" s="499" t="n"/>
      <c r="H78" s="499" t="n"/>
      <c r="I78" s="499" t="n"/>
      <c r="J78" s="499" t="n"/>
      <c r="K78" s="499" t="n"/>
      <c r="L78" s="499" t="n"/>
      <c r="M78" s="499" t="n"/>
      <c r="N78" s="499" t="n"/>
      <c r="O78" s="499" t="n"/>
      <c r="P78" s="499" t="n"/>
      <c r="Q78" s="499" t="n"/>
      <c r="R78" s="499" t="n"/>
      <c r="S78" s="499" t="n"/>
      <c r="T78" s="499" t="n"/>
    </row>
    <row r="79" ht="15" customHeight="1">
      <c r="A79" s="369" t="n"/>
      <c r="B79" s="448" t="inlineStr">
        <is>
          <t>Public procurement: Compliance enforcement</t>
        </is>
      </c>
      <c r="C79" s="448" t="inlineStr">
        <is>
          <t>The consequences imposed on agents that do not adhere to the regulatory requirements of the climate change mitigation policy</t>
        </is>
      </c>
      <c r="D79" s="448" t="inlineStr">
        <is>
          <t>Categorial (multiple choice), free
for details</t>
        </is>
      </c>
      <c r="E79" s="448" t="inlineStr">
        <is>
          <t>No compliance enforcement; Monetary penalties; Prohibitions; Compliance order; Other</t>
        </is>
      </c>
      <c r="F79" s="459" t="n"/>
      <c r="G79" s="499" t="n"/>
      <c r="H79" s="499" t="n"/>
      <c r="I79" s="499" t="n"/>
      <c r="J79" s="499" t="n"/>
      <c r="K79" s="499" t="n"/>
      <c r="L79" s="499" t="n"/>
      <c r="M79" s="499" t="n"/>
      <c r="N79" s="499" t="n"/>
      <c r="O79" s="499" t="n"/>
      <c r="P79" s="499" t="n"/>
      <c r="Q79" s="499" t="n"/>
      <c r="R79" s="499" t="n"/>
      <c r="S79" s="499" t="n"/>
      <c r="T79" s="499" t="n"/>
    </row>
    <row r="80" ht="15" customHeight="1">
      <c r="A80" s="369" t="n"/>
      <c r="B80" s="448" t="inlineStr">
        <is>
          <t>Public procurement: Life-cycle costing</t>
        </is>
      </c>
      <c r="C80" s="448" t="inlineStr">
        <is>
          <t>Evaluating the financial proposals while considering the total costs over the life cycle of a product, service or works including (i) purchase price and all associated costs (delivery, installation, insurance, etc.); (ii) operating costs, including energy, fuel and water use, spares, and maintenance (iii) end-of-life costs, such as decommissioning or disposal; and (iv) costs imputed to environmental externalities.</t>
        </is>
      </c>
      <c r="D80" s="448" t="inlineStr">
        <is>
          <t>Categorial (single choice)</t>
        </is>
      </c>
      <c r="E80" s="448" t="inlineStr">
        <is>
          <t>Yes; No</t>
        </is>
      </c>
      <c r="F80" s="459" t="n"/>
      <c r="G80" s="499" t="n"/>
      <c r="H80" s="499" t="n"/>
      <c r="I80" s="499" t="n"/>
      <c r="J80" s="499" t="n"/>
      <c r="K80" s="499" t="n"/>
      <c r="L80" s="499" t="n"/>
      <c r="M80" s="499" t="n"/>
      <c r="N80" s="499" t="n"/>
      <c r="O80" s="499" t="n"/>
      <c r="P80" s="499" t="n"/>
      <c r="Q80" s="499" t="n"/>
      <c r="R80" s="499" t="n"/>
      <c r="S80" s="499" t="n"/>
      <c r="T80" s="499" t="n"/>
    </row>
    <row r="81" ht="15" customHeight="1">
      <c r="A81" s="361" t="n"/>
      <c r="B81" s="449" t="inlineStr">
        <is>
          <t>Public investment/procurement: Annual expenditure</t>
        </is>
      </c>
      <c r="C81" s="449" t="inlineStr">
        <is>
          <t>The financial allocation or budget earmarked in the year preceding the data collecting</t>
        </is>
      </c>
      <c r="D81" s="449" t="inlineStr">
        <is>
          <t>Numerical</t>
        </is>
      </c>
      <c r="E81" s="449" t="inlineStr">
        <is>
          <t>in millions of domestic currency, USD or otherwise applicable unit</t>
        </is>
      </c>
      <c r="F81" s="459" t="n"/>
      <c r="G81" s="499" t="n"/>
      <c r="H81" s="499" t="n"/>
      <c r="I81" s="499" t="n"/>
      <c r="J81" s="499" t="n"/>
      <c r="K81" s="499" t="n"/>
      <c r="L81" s="499" t="n"/>
      <c r="M81" s="499" t="n"/>
      <c r="N81" s="499" t="n"/>
      <c r="O81" s="499" t="n"/>
      <c r="P81" s="499" t="n"/>
      <c r="Q81" s="499" t="n"/>
      <c r="R81" s="499" t="n"/>
      <c r="S81" s="499" t="n"/>
      <c r="T81" s="499" t="n"/>
    </row>
    <row r="82" ht="15" customHeight="1">
      <c r="A82" s="452" t="inlineStr">
        <is>
          <t>Information instruments</t>
        </is>
      </c>
      <c r="B82" s="448" t="inlineStr">
        <is>
          <t>Instrument linkage</t>
        </is>
      </c>
      <c r="C82" s="448" t="inlineStr">
        <is>
          <t>Captures whether the information instrument is directly linked to other instruments</t>
        </is>
      </c>
      <c r="D82" s="448" t="inlineStr">
        <is>
          <t>Free</t>
        </is>
      </c>
      <c r="E82" s="448" t="inlineStr">
        <is>
          <t>N/A</t>
        </is>
      </c>
      <c r="F82" s="459" t="n"/>
      <c r="G82" s="499" t="n"/>
      <c r="H82" s="499" t="n"/>
      <c r="I82" s="499" t="n"/>
      <c r="J82" s="499" t="n"/>
      <c r="K82" s="499" t="n"/>
      <c r="L82" s="499" t="n"/>
      <c r="M82" s="499" t="n"/>
      <c r="N82" s="499" t="n"/>
      <c r="O82" s="499" t="n"/>
      <c r="P82" s="499" t="n"/>
      <c r="Q82" s="499" t="n"/>
      <c r="R82" s="499" t="n"/>
      <c r="S82" s="499" t="n"/>
      <c r="T82" s="499" t="n"/>
    </row>
    <row r="83" ht="15" customHeight="1">
      <c r="A83" s="369" t="n"/>
      <c r="B83" s="448" t="inlineStr">
        <is>
          <t>Responsibility information capturing</t>
        </is>
      </c>
      <c r="C83" s="448" t="inlineStr">
        <is>
          <t>Details on who is responsible for capturing the required information.</t>
        </is>
      </c>
      <c r="D83" s="448" t="inlineStr">
        <is>
          <t>Categorial (single choice)</t>
        </is>
      </c>
      <c r="E83" s="448" t="inlineStr">
        <is>
          <t>Government authorities (inspections or audits); Third parties (inspections or audits); The regulated agents (self-reporting)</t>
        </is>
      </c>
      <c r="F83" s="459" t="n"/>
      <c r="G83" s="499" t="n"/>
      <c r="H83" s="499" t="n"/>
      <c r="I83" s="499" t="n"/>
      <c r="J83" s="499" t="n"/>
      <c r="K83" s="499" t="n"/>
      <c r="L83" s="499" t="n"/>
      <c r="M83" s="499" t="n"/>
      <c r="N83" s="499" t="n"/>
      <c r="O83" s="499" t="n"/>
      <c r="P83" s="499" t="n"/>
      <c r="Q83" s="499" t="n"/>
      <c r="R83" s="499" t="n"/>
      <c r="S83" s="499" t="n"/>
      <c r="T83" s="499" t="n"/>
    </row>
    <row r="84" ht="15" customHeight="1">
      <c r="A84" s="369" t="n"/>
      <c r="B84" s="448" t="inlineStr">
        <is>
          <t>Information transmission</t>
        </is>
      </c>
      <c r="C84" s="448" t="inlineStr">
        <is>
          <t>Indicates how the information is transmitted to the government.</t>
        </is>
      </c>
      <c r="D84" s="448" t="inlineStr">
        <is>
          <t>Free</t>
        </is>
      </c>
      <c r="E84" s="448" t="inlineStr">
        <is>
          <t>N/A</t>
        </is>
      </c>
      <c r="F84" s="459" t="n"/>
      <c r="G84" s="499" t="n"/>
      <c r="H84" s="499" t="n"/>
      <c r="I84" s="499" t="n"/>
      <c r="J84" s="499" t="n"/>
      <c r="K84" s="499" t="n"/>
      <c r="L84" s="499" t="n"/>
      <c r="M84" s="499" t="n"/>
      <c r="N84" s="499" t="n"/>
      <c r="O84" s="499" t="n"/>
      <c r="P84" s="499" t="n"/>
      <c r="Q84" s="499" t="n"/>
      <c r="R84" s="499" t="n"/>
      <c r="S84" s="499" t="n"/>
      <c r="T84" s="499" t="n"/>
    </row>
    <row r="85" ht="15" customHeight="1">
      <c r="A85" s="369" t="n"/>
      <c r="B85" s="448" t="inlineStr">
        <is>
          <t>Frequency of information provision</t>
        </is>
      </c>
      <c r="C85" s="448" t="inlineStr">
        <is>
          <t>Indicates how often the information has to be provided.</t>
        </is>
      </c>
      <c r="D85" s="448" t="inlineStr">
        <is>
          <t>Categorial (single choice), free for details</t>
        </is>
      </c>
      <c r="E85" s="448" t="inlineStr">
        <is>
          <t>In real-time; Quarterly; Annually; Other, details:__</t>
        </is>
      </c>
      <c r="F85" s="459" t="n"/>
      <c r="G85" s="499" t="n"/>
      <c r="H85" s="499" t="n"/>
      <c r="I85" s="499" t="n"/>
      <c r="J85" s="499" t="n"/>
      <c r="K85" s="499" t="n"/>
      <c r="L85" s="499" t="n"/>
      <c r="M85" s="499" t="n"/>
      <c r="N85" s="499" t="n"/>
      <c r="O85" s="499" t="n"/>
      <c r="P85" s="499" t="n"/>
      <c r="Q85" s="499" t="n"/>
      <c r="R85" s="499" t="n"/>
      <c r="S85" s="499" t="n"/>
      <c r="T85" s="499" t="n"/>
    </row>
    <row r="86" ht="15" customHeight="1">
      <c r="A86" s="369" t="n"/>
      <c r="B86" s="448" t="inlineStr">
        <is>
          <t>Public availability of information</t>
        </is>
      </c>
      <c r="C86" s="448" t="inlineStr">
        <is>
          <t>Details about whether the information is publicly available and, if so, where it can be accessed.</t>
        </is>
      </c>
      <c r="D86" s="448" t="inlineStr">
        <is>
          <t>Free</t>
        </is>
      </c>
      <c r="E86" s="448" t="inlineStr">
        <is>
          <t>N/A</t>
        </is>
      </c>
      <c r="F86" s="459" t="n"/>
      <c r="G86" s="499" t="n"/>
      <c r="H86" s="499" t="n"/>
      <c r="I86" s="499" t="n"/>
      <c r="J86" s="499" t="n"/>
      <c r="K86" s="499" t="n"/>
      <c r="L86" s="499" t="n"/>
      <c r="M86" s="499" t="n"/>
      <c r="N86" s="499" t="n"/>
      <c r="O86" s="499" t="n"/>
      <c r="P86" s="499" t="n"/>
      <c r="Q86" s="499" t="n"/>
      <c r="R86" s="499" t="n"/>
      <c r="S86" s="499" t="n"/>
      <c r="T86" s="499" t="n"/>
    </row>
    <row r="87" ht="15" customHeight="1">
      <c r="A87" s="369" t="n"/>
      <c r="B87" s="448" t="inlineStr">
        <is>
          <t>For labels: Type</t>
        </is>
      </c>
      <c r="C87" s="448" t="inlineStr">
        <is>
          <t>Indicates how labels are assigned and designed.</t>
        </is>
      </c>
      <c r="D87" s="448" t="inlineStr">
        <is>
          <t>Categorial</t>
        </is>
      </c>
      <c r="E87" s="448" t="inlineStr">
        <is>
          <t>Binary (based on a single threshold value); Categorial; Continuously</t>
        </is>
      </c>
      <c r="F87" s="459" t="n"/>
      <c r="G87" s="499" t="n"/>
      <c r="H87" s="499" t="n"/>
      <c r="I87" s="499" t="n"/>
      <c r="J87" s="499" t="n"/>
      <c r="K87" s="499" t="n"/>
      <c r="L87" s="499" t="n"/>
      <c r="M87" s="499" t="n"/>
      <c r="N87" s="499" t="n"/>
      <c r="O87" s="499" t="n"/>
      <c r="P87" s="499" t="n"/>
      <c r="Q87" s="499" t="n"/>
      <c r="R87" s="499" t="n"/>
      <c r="S87" s="499" t="n"/>
      <c r="T87" s="499" t="n"/>
    </row>
    <row r="88" ht="15" customHeight="1">
      <c r="A88" s="369" t="n"/>
      <c r="B88" s="448" t="inlineStr">
        <is>
          <t>Compliance monitoring</t>
        </is>
      </c>
      <c r="C88" s="448" t="inlineStr">
        <is>
          <t>The methods, processes, or systems in place to monitor and ensure compliance with the regulatory aspects of the climate change mitigation policy.</t>
        </is>
      </c>
      <c r="D88" s="448" t="inlineStr">
        <is>
          <t>Categorial (single choice), free for details</t>
        </is>
      </c>
      <c r="E88" s="448" t="inlineStr">
        <is>
          <t>No compliance monitoring Random; Targeted, according to a criteria:__; Regular temporal intervals:__; Irregular temporal intervals; Inspections/audits with prior notice; Inspections/audits without prior notice</t>
        </is>
      </c>
      <c r="F88" s="459" t="n"/>
      <c r="G88" s="499" t="n"/>
      <c r="H88" s="499" t="n"/>
      <c r="I88" s="499" t="n"/>
      <c r="J88" s="499" t="n"/>
      <c r="K88" s="499" t="n"/>
      <c r="L88" s="499" t="n"/>
      <c r="M88" s="499" t="n"/>
      <c r="N88" s="499" t="n"/>
      <c r="O88" s="499" t="n"/>
      <c r="P88" s="499" t="n"/>
      <c r="Q88" s="499" t="n"/>
      <c r="R88" s="499" t="n"/>
      <c r="S88" s="499" t="n"/>
      <c r="T88" s="499" t="n"/>
    </row>
    <row r="89" ht="15" customHeight="1">
      <c r="A89" s="369" t="n"/>
      <c r="B89" s="448" t="inlineStr">
        <is>
          <t>Compliance enforcement</t>
        </is>
      </c>
      <c r="C89" s="448" t="inlineStr">
        <is>
          <t>The consequences imposed on agents that do not adhere to the regulatory requirements of the climate change mitigation policy.</t>
        </is>
      </c>
      <c r="D89" s="448" t="inlineStr">
        <is>
          <t>Categorial (multiple choice), free for details</t>
        </is>
      </c>
      <c r="E89" s="448" t="inlineStr">
        <is>
          <t>No compliance enforcement; Monetary penalties; Prohibitions; Compliance order; Other</t>
        </is>
      </c>
      <c r="F89" s="459" t="n"/>
      <c r="G89" s="499" t="n"/>
      <c r="H89" s="499" t="n"/>
      <c r="I89" s="499" t="n"/>
      <c r="J89" s="499" t="n"/>
      <c r="K89" s="499" t="n"/>
      <c r="L89" s="499" t="n"/>
      <c r="M89" s="499" t="n"/>
      <c r="N89" s="499" t="n"/>
      <c r="O89" s="499" t="n"/>
      <c r="P89" s="499" t="n"/>
      <c r="Q89" s="499" t="n"/>
      <c r="R89" s="499" t="n"/>
      <c r="S89" s="499" t="n"/>
      <c r="T89" s="499" t="n"/>
    </row>
    <row r="90" ht="15" customHeight="1">
      <c r="A90" s="369" t="n"/>
      <c r="B90" s="448" t="inlineStr">
        <is>
          <t>Compliance promotion</t>
        </is>
      </c>
      <c r="C90" s="448" t="inlineStr">
        <is>
          <t>Initiatives or activities aimed at encouraging and facilitating compliance with the regulatory measures of the climate change mitigation policy.</t>
        </is>
      </c>
      <c r="D90" s="448" t="inlineStr">
        <is>
          <t>Categorial (multiple choice), free for details</t>
        </is>
      </c>
      <c r="E90" s="448" t="inlineStr">
        <is>
          <t>No compliance promotion; Information and direct assistance; Financial support; Other incentives or support</t>
        </is>
      </c>
      <c r="F90" s="459" t="n"/>
      <c r="G90" s="499" t="n"/>
      <c r="H90" s="499" t="n"/>
      <c r="I90" s="499" t="n"/>
      <c r="J90" s="499" t="n"/>
      <c r="K90" s="499" t="n"/>
      <c r="L90" s="499" t="n"/>
      <c r="M90" s="499" t="n"/>
      <c r="N90" s="499" t="n"/>
      <c r="O90" s="499" t="n"/>
      <c r="P90" s="499" t="n"/>
      <c r="Q90" s="499" t="n"/>
      <c r="R90" s="499" t="n"/>
      <c r="S90" s="499" t="n"/>
      <c r="T90" s="499" t="n"/>
    </row>
    <row r="91" ht="15" customHeight="1">
      <c r="A91" s="361" t="n"/>
      <c r="B91" s="448" t="inlineStr">
        <is>
          <t>Details on capacity building, training/education, information campaigns and award schemes</t>
        </is>
      </c>
      <c r="C91" s="448" t="inlineStr">
        <is>
          <t>Indicates details on the frequency, the target group and the annual budget allocated</t>
        </is>
      </c>
      <c r="D91" s="448" t="inlineStr">
        <is>
          <t>Free</t>
        </is>
      </c>
      <c r="E91" s="448" t="inlineStr">
        <is>
          <t>N/A</t>
        </is>
      </c>
      <c r="F91" s="459" t="n"/>
      <c r="G91" s="499" t="n"/>
      <c r="H91" s="499" t="n"/>
      <c r="I91" s="499" t="n"/>
      <c r="J91" s="499" t="n"/>
      <c r="K91" s="499" t="n"/>
      <c r="L91" s="499" t="n"/>
      <c r="M91" s="499" t="n"/>
      <c r="N91" s="499" t="n"/>
      <c r="O91" s="499" t="n"/>
      <c r="P91" s="499" t="n"/>
      <c r="Q91" s="499" t="n"/>
      <c r="R91" s="499" t="n"/>
      <c r="S91" s="499" t="n"/>
      <c r="T91" s="499" t="n"/>
    </row>
    <row r="92" ht="15" customHeight="1">
      <c r="A92" s="452" t="inlineStr">
        <is>
          <t>Voluntary approaches</t>
        </is>
      </c>
      <c r="B92" s="449" t="inlineStr">
        <is>
          <t>Incentives for Participation</t>
        </is>
      </c>
      <c r="C92" s="449" t="inlineStr">
        <is>
          <t>The rewards, benefits, or positive inducements offered to encourage voluntary participation in climate change mitigation activities or programs</t>
        </is>
      </c>
      <c r="D92" s="449" t="inlineStr">
        <is>
          <t>Categorial (single choice)</t>
        </is>
      </c>
      <c r="E92" s="449" t="inlineStr">
        <is>
          <t>Financial; Regulatory; Reputational; None</t>
        </is>
      </c>
      <c r="F92" s="459" t="n"/>
      <c r="G92" s="499" t="n"/>
      <c r="H92" s="499" t="n"/>
      <c r="I92" s="499" t="n"/>
      <c r="J92" s="499" t="n"/>
      <c r="K92" s="499" t="n"/>
      <c r="L92" s="499" t="n"/>
      <c r="M92" s="499" t="n"/>
      <c r="N92" s="499" t="n"/>
      <c r="O92" s="499" t="n"/>
      <c r="P92" s="499" t="n"/>
      <c r="Q92" s="499" t="n"/>
      <c r="R92" s="499" t="n"/>
      <c r="S92" s="499" t="n"/>
      <c r="T92" s="499" t="n"/>
    </row>
    <row r="93" ht="15" customHeight="1">
      <c r="A93" s="369" t="n"/>
      <c r="B93" s="449" t="inlineStr">
        <is>
          <t>Monitoring</t>
        </is>
      </c>
      <c r="C93" s="449" t="inlineStr">
        <is>
          <t>The processes and systems in place to track and assess voluntary actions or initiatives related to climate change mitigation.</t>
        </is>
      </c>
      <c r="D93" s="449" t="inlineStr">
        <is>
          <t>Dichotomous, free for details</t>
        </is>
      </c>
      <c r="E93" s="449" t="inlineStr">
        <is>
          <t>Yes/no, free for detail</t>
        </is>
      </c>
      <c r="F93" s="459" t="n"/>
      <c r="G93" s="499" t="n"/>
      <c r="H93" s="499" t="n"/>
      <c r="I93" s="499" t="n"/>
      <c r="J93" s="499" t="n"/>
      <c r="K93" s="499" t="n"/>
      <c r="L93" s="499" t="n"/>
      <c r="M93" s="499" t="n"/>
      <c r="N93" s="499" t="n"/>
      <c r="O93" s="499" t="n"/>
      <c r="P93" s="499" t="n"/>
      <c r="Q93" s="499" t="n"/>
      <c r="R93" s="499" t="n"/>
      <c r="S93" s="499" t="n"/>
      <c r="T93" s="499" t="n"/>
    </row>
    <row r="94">
      <c r="A94" s="361" t="n"/>
      <c r="B94" s="449" t="inlineStr">
        <is>
          <t>Sanctions for non-compliance</t>
        </is>
      </c>
      <c r="C94" s="449" t="inlineStr">
        <is>
          <t>The consequences or penalties imposed on agents or individuals who fail to fulfill their voluntary commitments or obligations related to climate change mitigation.</t>
        </is>
      </c>
      <c r="D94" s="449" t="inlineStr">
        <is>
          <t>Dichotomous, free for details</t>
        </is>
      </c>
      <c r="E94" s="449" t="inlineStr">
        <is>
          <t>Yes/no, free for detail</t>
        </is>
      </c>
      <c r="F94" s="459" t="n"/>
      <c r="G94" s="499" t="n"/>
      <c r="H94" s="499" t="n"/>
      <c r="I94" s="499" t="n"/>
      <c r="J94" s="499" t="n"/>
      <c r="K94" s="499" t="n"/>
      <c r="L94" s="499" t="n"/>
      <c r="M94" s="499" t="n"/>
      <c r="N94" s="499" t="n"/>
      <c r="O94" s="499" t="n"/>
      <c r="P94" s="499" t="n"/>
      <c r="Q94" s="499" t="n"/>
      <c r="R94" s="499" t="n"/>
      <c r="S94" s="499" t="n"/>
      <c r="T94" s="499" t="n"/>
    </row>
    <row r="95" ht="15" customHeight="1"/>
  </sheetData>
  <mergeCells count="15">
    <mergeCell ref="A4:A7"/>
    <mergeCell ref="A23:A37"/>
    <mergeCell ref="A48:A50"/>
    <mergeCell ref="A2:E2"/>
    <mergeCell ref="A74:A81"/>
    <mergeCell ref="A43:A46"/>
    <mergeCell ref="A51:A57"/>
    <mergeCell ref="A92:A94"/>
    <mergeCell ref="A82:A91"/>
    <mergeCell ref="A47:E47"/>
    <mergeCell ref="A41:A42"/>
    <mergeCell ref="A38:A40"/>
    <mergeCell ref="A68:A73"/>
    <mergeCell ref="A8:A22"/>
    <mergeCell ref="A58:A6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63.796875" bestFit="1" customWidth="1" min="1" max="1"/>
    <col width="29.3984375" bestFit="1" customWidth="1" min="2" max="2"/>
    <col width="9.06640625" customWidth="1" min="3" max="3"/>
    <col width="16.6640625" customWidth="1" min="4" max="4"/>
    <col width="19.33203125" customWidth="1" min="6" max="6"/>
    <col width="16.6640625" customWidth="1" min="7" max="7"/>
    <col width="21.73046875" customWidth="1" min="9" max="9"/>
    <col width="22.3984375" customWidth="1" min="10" max="10"/>
    <col width="21.59765625" customWidth="1" min="11" max="11"/>
  </cols>
  <sheetData>
    <row r="1" ht="20.25" customHeight="1">
      <c r="A1" s="462" t="inlineStr">
        <is>
          <t>English name</t>
        </is>
      </c>
      <c r="B1" s="462" t="inlineStr">
        <is>
          <t>Domestic instrument name</t>
        </is>
      </c>
      <c r="C1" s="462" t="inlineStr">
        <is>
          <t>Status</t>
        </is>
      </c>
      <c r="D1" s="462" t="inlineStr">
        <is>
          <t>Start year</t>
        </is>
      </c>
      <c r="E1" s="462" t="inlineStr">
        <is>
          <t>End year</t>
        </is>
      </c>
      <c r="F1" s="462" t="inlineStr">
        <is>
          <t>Instrument category</t>
        </is>
      </c>
      <c r="G1" s="462" t="inlineStr">
        <is>
          <t>Instrument group</t>
        </is>
      </c>
      <c r="H1" s="462" t="inlineStr">
        <is>
          <t>Emission sector</t>
        </is>
      </c>
      <c r="I1" s="462" t="inlineStr">
        <is>
          <t>Sub-sector</t>
        </is>
      </c>
      <c r="J1" s="462" t="inlineStr">
        <is>
          <t>Legal document</t>
        </is>
      </c>
      <c r="K1" s="462" t="inlineStr">
        <is>
          <t>Weblinks</t>
        </is>
      </c>
    </row>
    <row r="2">
      <c r="A2" s="505" t="inlineStr">
        <is>
          <t>Electric vehicle purchase subsidy</t>
        </is>
      </c>
      <c r="B2" s="505" t="inlineStr">
        <is>
          <t>新能源汽车推广应用补贴</t>
        </is>
      </c>
      <c r="C2" s="505" t="inlineStr">
        <is>
          <t>Ended</t>
        </is>
      </c>
      <c r="D2" s="505" t="n">
        <v>2009</v>
      </c>
      <c r="E2" s="505" t="n">
        <v>2022</v>
      </c>
      <c r="F2" s="505" t="inlineStr">
        <is>
          <t>Economic</t>
        </is>
      </c>
      <c r="G2" s="505" t="inlineStr">
        <is>
          <t>Subsidy</t>
        </is>
      </c>
      <c r="H2" s="505" t="inlineStr">
        <is>
          <t>Transport</t>
        </is>
      </c>
      <c r="I2" s="505" t="inlineStr">
        <is>
          <t>Vehicle</t>
        </is>
      </c>
      <c r="J2" s="261" t="inlineStr">
        <is>
          <t>http://www.mof.gov.cn/gkml/caizhengwengao/2009niancaizhengbuwengao/caizhengwengao2009dierqi/200904/t20090413_132178.htm</t>
        </is>
      </c>
      <c r="K2" s="261" t="inlineStr">
        <is>
          <t>https://www.gov.cn/zhengce/zhengceku/2021-12/31/content_5665857.htm</t>
        </is>
      </c>
      <c r="L2" s="261" t="n"/>
      <c r="M2" s="261" t="n"/>
      <c r="N2" s="261" t="n"/>
      <c r="O2" s="261" t="n"/>
      <c r="P2" s="261" t="n"/>
      <c r="Q2" s="261" t="n"/>
      <c r="R2" s="261" t="n"/>
    </row>
    <row r="3">
      <c r="A3" s="505" t="inlineStr">
        <is>
          <t>Subsidy for the Construction of Electric Vehicle Charging Infrastructure</t>
        </is>
      </c>
      <c r="B3" s="505" t="inlineStr">
        <is>
          <t>电动汽车充电基础设施建设奖补</t>
        </is>
      </c>
      <c r="C3" s="505" t="inlineStr">
        <is>
          <t>Ended</t>
        </is>
      </c>
      <c r="D3" s="505" t="n">
        <v>2015</v>
      </c>
      <c r="E3" s="505" t="n">
        <v>2020</v>
      </c>
      <c r="F3" s="505" t="inlineStr">
        <is>
          <t>Economic</t>
        </is>
      </c>
      <c r="G3" s="505" t="inlineStr">
        <is>
          <t>Subsidy</t>
        </is>
      </c>
      <c r="H3" s="505" t="inlineStr">
        <is>
          <t>Transport</t>
        </is>
      </c>
      <c r="I3" s="505" t="inlineStr">
        <is>
          <t>Vehicle</t>
        </is>
      </c>
      <c r="J3" s="261" t="inlineStr">
        <is>
          <t>http://www.mof.gov.cn/gp/xxgkml/jjjss/201601/t20160120_2512185.htm</t>
        </is>
      </c>
      <c r="K3" s="261" t="inlineStr">
        <is>
          <t>https://www.gov.cn/zhengce/content/2015-10/09/content_10214.htm</t>
        </is>
      </c>
      <c r="L3" s="261" t="n"/>
      <c r="M3" s="261" t="n"/>
      <c r="N3" s="261" t="n"/>
      <c r="O3" s="261" t="n"/>
      <c r="P3" s="261" t="n"/>
      <c r="Q3" s="261" t="n"/>
      <c r="R3" s="261" t="n"/>
    </row>
    <row r="4">
      <c r="A4" s="261" t="inlineStr">
        <is>
          <t>Renewable electricity feed-in tariff</t>
        </is>
      </c>
      <c r="B4" s="261" t="inlineStr">
        <is>
          <t>可再生能源上网电价补贴</t>
        </is>
      </c>
      <c r="C4" s="261" t="inlineStr">
        <is>
          <t>Ended</t>
        </is>
      </c>
      <c r="D4" s="505" t="n">
        <v>2006</v>
      </c>
      <c r="E4" s="506" t="inlineStr">
        <is>
          <t>2021</t>
        </is>
      </c>
      <c r="F4" s="505" t="inlineStr">
        <is>
          <t>Economic</t>
        </is>
      </c>
      <c r="G4" s="505" t="inlineStr">
        <is>
          <t>Subsidy</t>
        </is>
      </c>
      <c r="H4" s="505" t="inlineStr">
        <is>
          <t>Energy</t>
        </is>
      </c>
      <c r="I4" s="261" t="inlineStr">
        <is>
          <t>Solar power; wind power</t>
        </is>
      </c>
      <c r="J4" s="261" t="inlineStr">
        <is>
          <t>https://www.ndrc.gov.cn/xxgk/zcfb/tz/200601/t20060120_965897.html</t>
        </is>
      </c>
      <c r="K4" s="261" t="inlineStr">
        <is>
          <t>https://zfxxgk.ndrc.gov.cn/web/iteminfo.jsp?id=19761</t>
        </is>
      </c>
      <c r="L4" s="261" t="n"/>
      <c r="M4" s="261" t="n"/>
      <c r="N4" s="261" t="n"/>
      <c r="O4" s="261" t="n"/>
      <c r="P4" s="261" t="n"/>
      <c r="Q4" s="261" t="n"/>
      <c r="R4" s="261" t="n"/>
    </row>
    <row r="5">
      <c r="A5" s="507" t="inlineStr">
        <is>
          <t>Value-added tax incentive</t>
        </is>
      </c>
      <c r="B5" s="507" t="inlineStr">
        <is>
          <t>风力发电增值税优惠</t>
        </is>
      </c>
      <c r="C5" s="261" t="inlineStr">
        <is>
          <t>Ended</t>
        </is>
      </c>
      <c r="D5" s="508" t="inlineStr">
        <is>
          <t>2015</t>
        </is>
      </c>
      <c r="E5" s="509" t="inlineStr">
        <is>
          <t>2025</t>
        </is>
      </c>
      <c r="F5" s="505" t="inlineStr">
        <is>
          <t>Economic</t>
        </is>
      </c>
      <c r="G5" s="505" t="inlineStr">
        <is>
          <t>Tax</t>
        </is>
      </c>
      <c r="H5" s="505" t="inlineStr">
        <is>
          <t>Energy</t>
        </is>
      </c>
      <c r="I5" s="261" t="inlineStr">
        <is>
          <t>Wind power</t>
        </is>
      </c>
      <c r="J5" s="261" t="inlineStr">
        <is>
          <t>http://www.mof.gov.cn/gkml/caizhengwengao/wg2015/wg201508/201601/t20160107_1645704.htm</t>
        </is>
      </c>
      <c r="K5" s="261" t="inlineStr">
        <is>
          <t>https://shanghai.chinatax.gov.cn/zcfw/zcfgk/zzs/201507/t417892.html</t>
        </is>
      </c>
      <c r="L5" s="261" t="n"/>
      <c r="M5" s="261" t="n"/>
      <c r="N5" s="261" t="n"/>
      <c r="O5" s="261" t="n"/>
      <c r="P5" s="261" t="n"/>
      <c r="Q5" s="261" t="n"/>
      <c r="R5" s="261" t="n"/>
    </row>
    <row r="6">
      <c r="A6" s="507" t="inlineStr">
        <is>
          <t>Value-added tax incentive</t>
        </is>
      </c>
      <c r="B6" s="507" t="inlineStr">
        <is>
          <t>核电增值税优惠</t>
        </is>
      </c>
      <c r="C6" s="261" t="inlineStr">
        <is>
          <t>Ended</t>
        </is>
      </c>
      <c r="D6" s="508" t="inlineStr">
        <is>
          <t>2008</t>
        </is>
      </c>
      <c r="E6" s="509" t="inlineStr">
        <is>
          <t>2025</t>
        </is>
      </c>
      <c r="F6" s="505" t="inlineStr">
        <is>
          <t>Economic</t>
        </is>
      </c>
      <c r="G6" s="505" t="inlineStr">
        <is>
          <t>Tax</t>
        </is>
      </c>
      <c r="H6" s="505" t="inlineStr">
        <is>
          <t>Energy</t>
        </is>
      </c>
      <c r="I6" s="261" t="inlineStr">
        <is>
          <t>Nuclear power</t>
        </is>
      </c>
      <c r="J6" s="261" t="inlineStr">
        <is>
          <t>http://www.mof.gov.cn/zhengwuxinxi/caizhengxinwen/200805/t20080519_29110.htm</t>
        </is>
      </c>
      <c r="K6" s="261" t="inlineStr">
        <is>
          <t>https://guizhou.chinatax.gov.cn/wjjb/zcfgk/szfl/ygsf/202203/t20220310_72917823.html</t>
        </is>
      </c>
      <c r="L6" s="261" t="n"/>
      <c r="M6" s="261" t="n"/>
      <c r="N6" s="261" t="n"/>
      <c r="O6" s="261" t="n"/>
      <c r="P6" s="261" t="n"/>
      <c r="Q6" s="261" t="n"/>
      <c r="R6" s="261" t="n"/>
    </row>
    <row r="7">
      <c r="A7" s="261" t="inlineStr">
        <is>
          <t>Vehicle purchase subsidy (fuel cell vehicle)</t>
        </is>
      </c>
      <c r="B7" s="261" t="inlineStr">
        <is>
          <t>燃料电池汽车示范应用奖补</t>
        </is>
      </c>
      <c r="C7" s="510" t="inlineStr">
        <is>
          <t>Ended</t>
        </is>
      </c>
      <c r="D7" s="505" t="n">
        <v>2021</v>
      </c>
      <c r="E7" s="506" t="inlineStr">
        <is>
          <t>2025</t>
        </is>
      </c>
      <c r="F7" s="511" t="inlineStr">
        <is>
          <t>Economic</t>
        </is>
      </c>
      <c r="G7" s="261" t="inlineStr">
        <is>
          <t>Subsidy</t>
        </is>
      </c>
      <c r="H7" s="261" t="inlineStr">
        <is>
          <t>Transport</t>
        </is>
      </c>
      <c r="I7" s="261" t="inlineStr">
        <is>
          <t>Vehicle</t>
        </is>
      </c>
      <c r="J7" s="261" t="inlineStr">
        <is>
          <t>https://www.gov.cn/zhengce/zhengceku/2020-09/21/content_5545221.htm</t>
        </is>
      </c>
      <c r="K7" s="261" t="inlineStr">
        <is>
          <t>http://jjs.mof.gov.cn/zhengcefagui/202009/t20200918_3591168.htm</t>
        </is>
      </c>
      <c r="L7" s="261" t="n"/>
      <c r="M7" s="261" t="n"/>
      <c r="N7" s="261" t="n"/>
      <c r="O7" s="261" t="n"/>
      <c r="P7" s="261" t="n"/>
      <c r="Q7" s="261" t="n"/>
      <c r="R7" s="261" t="n"/>
    </row>
    <row r="8">
      <c r="A8" s="261" t="inlineStr">
        <is>
          <t>Central bank targeted relending for the clean and efficient use of coal</t>
        </is>
      </c>
      <c r="B8" s="261" t="inlineStr">
        <is>
          <t>支持煤炭清洁高效利用专项再贷款</t>
        </is>
      </c>
      <c r="C8" s="510" t="inlineStr">
        <is>
          <t>Ended</t>
        </is>
      </c>
      <c r="D8" s="508" t="inlineStr">
        <is>
          <t>2021</t>
        </is>
      </c>
      <c r="E8" s="512" t="inlineStr">
        <is>
          <t>2023</t>
        </is>
      </c>
      <c r="F8" s="511" t="inlineStr">
        <is>
          <t>Economic</t>
        </is>
      </c>
      <c r="G8" s="261" t="inlineStr">
        <is>
          <t>Subsidy</t>
        </is>
      </c>
      <c r="H8" s="261" t="inlineStr">
        <is>
          <t>Energy</t>
        </is>
      </c>
      <c r="I8" s="261" t="inlineStr">
        <is>
          <t>Coal</t>
        </is>
      </c>
      <c r="J8" s="261" t="inlineStr">
        <is>
          <t>https://kj.jdz.gov.cn/zwzx/ztzl/kjjr/zc/t1036092.shtml</t>
        </is>
      </c>
      <c r="K8" s="261" t="inlineStr">
        <is>
          <t>https://www.gov.cn/zhengce/2021-11/18/content_5651619.htm</t>
        </is>
      </c>
      <c r="L8" s="261" t="n"/>
      <c r="M8" s="261" t="n"/>
      <c r="N8" s="261" t="n"/>
      <c r="O8" s="261" t="n"/>
      <c r="P8" s="261" t="n"/>
      <c r="Q8" s="261" t="n"/>
      <c r="R8" s="261" t="n"/>
    </row>
    <row r="9">
      <c r="A9" s="261" t="n"/>
      <c r="B9" s="261" t="n"/>
      <c r="C9" s="261" t="n"/>
      <c r="D9" s="261" t="n"/>
      <c r="E9" s="261" t="n"/>
      <c r="F9" s="261" t="n"/>
      <c r="G9" s="261" t="n"/>
      <c r="H9" s="261" t="n"/>
      <c r="I9" s="261" t="n"/>
      <c r="J9" s="261" t="n"/>
      <c r="K9" s="261" t="n"/>
      <c r="L9" s="261" t="n"/>
      <c r="M9" s="261" t="n"/>
      <c r="N9" s="261" t="n"/>
      <c r="O9" s="261" t="n"/>
      <c r="P9" s="261" t="n"/>
      <c r="Q9" s="261" t="n"/>
      <c r="R9" s="261" t="n"/>
    </row>
    <row r="10">
      <c r="A10" s="261" t="n"/>
      <c r="B10" s="261" t="n"/>
      <c r="C10" s="261" t="n"/>
      <c r="D10" s="261" t="n"/>
      <c r="E10" s="261" t="n"/>
      <c r="F10" s="261" t="n"/>
      <c r="G10" s="261" t="n"/>
      <c r="H10" s="261" t="n"/>
      <c r="I10" s="261" t="n"/>
      <c r="J10" s="261" t="n"/>
      <c r="K10" s="261" t="n"/>
      <c r="L10" s="261" t="n"/>
      <c r="M10" s="261" t="n"/>
      <c r="N10" s="261" t="n"/>
      <c r="O10" s="261" t="n"/>
      <c r="P10" s="261" t="n"/>
      <c r="Q10" s="261" t="n"/>
      <c r="R10" s="261" t="n"/>
    </row>
    <row r="11">
      <c r="A11" s="261" t="n"/>
      <c r="B11" s="261" t="n"/>
      <c r="C11" s="261" t="n"/>
      <c r="D11" s="261" t="n"/>
      <c r="E11" s="261" t="n"/>
      <c r="F11" s="261" t="n"/>
      <c r="G11" s="261" t="n"/>
      <c r="H11" s="261" t="n"/>
      <c r="I11" s="261" t="n"/>
      <c r="J11" s="261" t="n"/>
      <c r="K11" s="261" t="n"/>
      <c r="L11" s="261" t="n"/>
      <c r="M11" s="261" t="n"/>
      <c r="N11" s="261" t="n"/>
      <c r="O11" s="261" t="n"/>
      <c r="P11" s="261" t="n"/>
      <c r="Q11" s="261" t="n"/>
      <c r="R11" s="261" t="n"/>
    </row>
    <row r="12">
      <c r="A12" s="261" t="n"/>
      <c r="B12" s="261" t="n"/>
      <c r="C12" s="261" t="n"/>
      <c r="D12" s="261" t="n"/>
      <c r="E12" s="261" t="n"/>
      <c r="F12" s="261" t="n"/>
      <c r="G12" s="261" t="n"/>
      <c r="H12" s="261" t="n"/>
      <c r="I12" s="261" t="n"/>
      <c r="J12" s="261" t="n"/>
      <c r="K12" s="261" t="n"/>
      <c r="L12" s="261" t="n"/>
      <c r="M12" s="261" t="n"/>
      <c r="N12" s="261" t="n"/>
      <c r="O12" s="261" t="n"/>
      <c r="P12" s="261" t="n"/>
      <c r="Q12" s="261" t="n"/>
      <c r="R12" s="261" t="n"/>
    </row>
    <row r="13">
      <c r="A13" s="261" t="n"/>
      <c r="B13" s="261" t="n"/>
      <c r="C13" s="261" t="n"/>
      <c r="D13" s="261" t="n"/>
      <c r="E13" s="261" t="n"/>
      <c r="F13" s="261" t="n"/>
      <c r="G13" s="261" t="n"/>
      <c r="H13" s="261" t="n"/>
      <c r="I13" s="261" t="n"/>
      <c r="J13" s="261" t="n"/>
      <c r="K13" s="261" t="n"/>
      <c r="L13" s="261" t="n"/>
      <c r="M13" s="261" t="n"/>
      <c r="N13" s="261" t="n"/>
      <c r="O13" s="261" t="n"/>
      <c r="P13" s="261" t="n"/>
      <c r="Q13" s="261" t="n"/>
      <c r="R13" s="261" t="n"/>
    </row>
    <row r="14">
      <c r="A14" s="261" t="n"/>
      <c r="B14" s="261" t="n"/>
      <c r="C14" s="261" t="n"/>
      <c r="D14" s="261" t="n"/>
      <c r="E14" s="261" t="n"/>
      <c r="F14" s="261" t="n"/>
      <c r="G14" s="261" t="n"/>
      <c r="H14" s="261" t="n"/>
      <c r="I14" s="261" t="n"/>
      <c r="J14" s="261" t="n"/>
      <c r="K14" s="261" t="n"/>
      <c r="L14" s="261" t="n"/>
      <c r="M14" s="261" t="n"/>
      <c r="N14" s="261" t="n"/>
      <c r="O14" s="261" t="n"/>
      <c r="P14" s="261" t="n"/>
      <c r="Q14" s="261" t="n"/>
      <c r="R14" s="261" t="n"/>
    </row>
    <row r="15">
      <c r="A15" s="261" t="n"/>
      <c r="B15" s="261" t="n"/>
      <c r="C15" s="261" t="n"/>
      <c r="D15" s="261" t="n"/>
      <c r="E15" s="261" t="n"/>
      <c r="F15" s="261" t="n"/>
      <c r="G15" s="261" t="n"/>
      <c r="H15" s="261" t="n"/>
      <c r="I15" s="261" t="n"/>
      <c r="J15" s="261" t="n"/>
      <c r="K15" s="261" t="n"/>
      <c r="L15" s="261" t="n"/>
      <c r="M15" s="261" t="n"/>
      <c r="N15" s="261" t="n"/>
      <c r="O15" s="261" t="n"/>
      <c r="P15" s="261" t="n"/>
      <c r="Q15" s="261" t="n"/>
      <c r="R15" s="261" t="n"/>
    </row>
    <row r="16">
      <c r="A16" s="261" t="n"/>
      <c r="B16" s="261" t="n"/>
      <c r="C16" s="261" t="n"/>
      <c r="D16" s="261" t="n"/>
      <c r="E16" s="261" t="n"/>
      <c r="F16" s="261" t="n"/>
      <c r="G16" s="261" t="n"/>
      <c r="H16" s="261" t="n"/>
      <c r="I16" s="261" t="n"/>
      <c r="J16" s="261" t="n"/>
      <c r="K16" s="261" t="n"/>
      <c r="L16" s="261" t="n"/>
      <c r="M16" s="261" t="n"/>
      <c r="N16" s="261" t="n"/>
      <c r="O16" s="261" t="n"/>
      <c r="P16" s="261" t="n"/>
      <c r="Q16" s="261" t="n"/>
      <c r="R16" s="261" t="n"/>
    </row>
    <row r="17">
      <c r="A17" s="261" t="n"/>
      <c r="B17" s="261" t="n"/>
      <c r="C17" s="261" t="n"/>
      <c r="D17" s="261" t="n"/>
      <c r="E17" s="261" t="n"/>
      <c r="F17" s="261" t="n"/>
      <c r="G17" s="261" t="n"/>
      <c r="H17" s="261" t="n"/>
      <c r="I17" s="261" t="n"/>
      <c r="J17" s="261" t="n"/>
      <c r="K17" s="261" t="n"/>
      <c r="L17" s="261" t="n"/>
      <c r="M17" s="261" t="n"/>
      <c r="N17" s="261" t="n"/>
      <c r="O17" s="261" t="n"/>
      <c r="P17" s="261" t="n"/>
      <c r="Q17" s="261" t="n"/>
      <c r="R17" s="261" t="n"/>
    </row>
    <row r="18">
      <c r="A18" s="261" t="n"/>
      <c r="B18" s="261" t="n"/>
      <c r="C18" s="261" t="n"/>
      <c r="D18" s="261" t="n"/>
      <c r="E18" s="261" t="n"/>
      <c r="F18" s="261" t="n"/>
      <c r="G18" s="261" t="n"/>
      <c r="H18" s="261" t="n"/>
      <c r="I18" s="261" t="n"/>
      <c r="J18" s="261" t="n"/>
      <c r="K18" s="261" t="n"/>
      <c r="L18" s="261" t="n"/>
      <c r="M18" s="261" t="n"/>
      <c r="N18" s="261" t="n"/>
      <c r="O18" s="261" t="n"/>
      <c r="P18" s="261" t="n"/>
      <c r="Q18" s="261" t="n"/>
      <c r="R18" s="261" t="n"/>
    </row>
    <row r="19">
      <c r="A19" s="261" t="n"/>
      <c r="B19" s="261" t="n"/>
      <c r="C19" s="261" t="n"/>
      <c r="D19" s="261" t="n"/>
      <c r="E19" s="261" t="n"/>
      <c r="F19" s="261" t="n"/>
      <c r="G19" s="261" t="n"/>
      <c r="H19" s="261" t="n"/>
      <c r="I19" s="261" t="n"/>
      <c r="J19" s="261" t="n"/>
      <c r="K19" s="261" t="n"/>
      <c r="L19" s="261" t="n"/>
      <c r="M19" s="261" t="n"/>
      <c r="N19" s="261" t="n"/>
      <c r="O19" s="261" t="n"/>
      <c r="P19" s="261" t="n"/>
      <c r="Q19" s="261" t="n"/>
      <c r="R19" s="26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2015-06-05T18:19:34Z</dcterms:created>
  <dcterms:modified xmlns:dcterms="http://purl.org/dc/terms/" xmlns:xsi="http://www.w3.org/2001/XMLSchema-instance" xsi:type="dcterms:W3CDTF">2026-09-17T06:21:54Z</dcterms:modified>
  <cp:lastModifiedBy>Danqing</cp:lastModifiedBy>
</cp:coreProperties>
</file>